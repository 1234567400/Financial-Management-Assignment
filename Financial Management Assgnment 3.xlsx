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2E3D824-6830-4D1C-BAF6-B8352A222ED8}" xr6:coauthVersionLast="36" xr6:coauthVersionMax="36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INTRO" sheetId="9" r:id="rId1"/>
    <sheet name="sheet1" sheetId="1" r:id="rId2"/>
    <sheet name="sheet2" sheetId="2" r:id="rId3"/>
    <sheet name="sheet3" sheetId="4" r:id="rId4"/>
    <sheet name="sheet4" sheetId="5" r:id="rId5"/>
    <sheet name="sheet5" sheetId="10" r:id="rId6"/>
    <sheet name="sheet6" sheetId="6" r:id="rId7"/>
  </sheets>
  <externalReferences>
    <externalReference r:id="rId8"/>
  </externalReferences>
  <calcPr calcId="191029"/>
</workbook>
</file>

<file path=xl/calcChain.xml><?xml version="1.0" encoding="utf-8"?>
<calcChain xmlns="http://schemas.openxmlformats.org/spreadsheetml/2006/main">
  <c r="B1707" i="2" l="1"/>
  <c r="B1705" i="2"/>
  <c r="E20" i="6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E4" i="1"/>
  <c r="D4" i="1"/>
  <c r="B1683" i="1" s="1"/>
  <c r="F16" i="6" s="1"/>
  <c r="B1688" i="1" l="1"/>
  <c r="D16" i="6" s="1"/>
  <c r="B1684" i="1"/>
  <c r="B1685" i="1" s="1"/>
  <c r="D1683" i="1"/>
  <c r="D1684" i="1"/>
  <c r="D1685" i="1" s="1"/>
  <c r="E5" i="5" l="1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4" i="5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4" i="4"/>
  <c r="D61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4" i="2"/>
  <c r="D1704" i="2" l="1"/>
  <c r="B1720" i="4"/>
  <c r="D18" i="6" s="1"/>
  <c r="D1466" i="5"/>
  <c r="D1717" i="4"/>
  <c r="D1718" i="4" s="1"/>
  <c r="D1716" i="4"/>
  <c r="B1469" i="5"/>
  <c r="D19" i="6" s="1"/>
  <c r="D1703" i="2"/>
  <c r="B1466" i="5"/>
  <c r="D1465" i="5"/>
  <c r="B1465" i="5"/>
  <c r="F19" i="6" s="1"/>
  <c r="B1716" i="4"/>
  <c r="F18" i="6" s="1"/>
  <c r="B1717" i="4"/>
  <c r="D17" i="6" l="1"/>
  <c r="C6" i="6"/>
  <c r="J2" i="6" s="1"/>
  <c r="H6" i="6" s="1"/>
  <c r="D1467" i="5"/>
  <c r="C11" i="6"/>
  <c r="B1467" i="5"/>
  <c r="B1718" i="4"/>
  <c r="H11" i="6" l="1"/>
  <c r="E21" i="6"/>
  <c r="E17" i="6"/>
  <c r="E19" i="6"/>
  <c r="E18" i="6"/>
  <c r="E16" i="6"/>
  <c r="H10" i="6"/>
  <c r="H12" i="6" s="1"/>
  <c r="C10" i="6"/>
  <c r="C12" i="6" s="1"/>
  <c r="D1705" i="2"/>
  <c r="B1704" i="2"/>
  <c r="B1703" i="2"/>
  <c r="F17" i="6" s="1"/>
</calcChain>
</file>

<file path=xl/sharedStrings.xml><?xml version="1.0" encoding="utf-8"?>
<sst xmlns="http://schemas.openxmlformats.org/spreadsheetml/2006/main" count="1151" uniqueCount="1113">
  <si>
    <t>DATE</t>
  </si>
  <si>
    <t>METRIC</t>
  </si>
  <si>
    <t>KSE-100 (Market)</t>
  </si>
  <si>
    <t>PRICE (PKR)</t>
  </si>
  <si>
    <t xml:space="preserve">KSE-100 </t>
  </si>
  <si>
    <t>COMPANY RETURN</t>
  </si>
  <si>
    <t>INDEX RETURN</t>
  </si>
  <si>
    <t xml:space="preserve">Average </t>
  </si>
  <si>
    <t xml:space="preserve">Standard Deviation </t>
  </si>
  <si>
    <t>Coefficient of Variation (CV)</t>
  </si>
  <si>
    <t>ANALYSIS</t>
  </si>
  <si>
    <t>Regression Analysis</t>
  </si>
  <si>
    <t>PRICE</t>
  </si>
  <si>
    <t>KSE-100</t>
  </si>
  <si>
    <t xml:space="preserve">COMPANY RETURN </t>
  </si>
  <si>
    <t>AVERAGE</t>
  </si>
  <si>
    <t>STANDARD DEVIATION</t>
  </si>
  <si>
    <t>COEFFICIENT OF VARIATION</t>
  </si>
  <si>
    <t>ALLIED BANK LIMITED 01 JAN 2019 - 31 DEC 2025</t>
  </si>
  <si>
    <t>Company</t>
  </si>
  <si>
    <t>REGRESSION ANALYSIS</t>
  </si>
  <si>
    <t>12/31/2025</t>
  </si>
  <si>
    <t>12/30/2025</t>
  </si>
  <si>
    <t>12/29/2025</t>
  </si>
  <si>
    <t>12/26/2025</t>
  </si>
  <si>
    <t>12/24/2025</t>
  </si>
  <si>
    <t>12/23/2025</t>
  </si>
  <si>
    <t>12/22/2025</t>
  </si>
  <si>
    <t>12/19/2025</t>
  </si>
  <si>
    <t>12/18/2025</t>
  </si>
  <si>
    <t>12/17/2025</t>
  </si>
  <si>
    <t>12/16/2025</t>
  </si>
  <si>
    <t>12/15/2025</t>
  </si>
  <si>
    <t>11/28/2025</t>
  </si>
  <si>
    <t>11/27/2025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</si>
  <si>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</si>
  <si>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</si>
  <si>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</si>
  <si>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</si>
  <si>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</si>
  <si>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</si>
  <si>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</si>
  <si>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</si>
  <si>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</si>
  <si>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</si>
  <si>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</si>
  <si>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</si>
  <si>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</si>
  <si>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</si>
  <si>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</si>
  <si>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</si>
  <si>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</si>
  <si>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</si>
  <si>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</si>
  <si>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</si>
  <si>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</si>
  <si>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</si>
  <si>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</si>
  <si>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</si>
  <si>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10/13/2025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</si>
  <si>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</si>
  <si>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</si>
  <si>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</si>
  <si>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</si>
  <si>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</si>
  <si>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</si>
  <si>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</si>
  <si>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</si>
  <si>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</si>
  <si>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</si>
  <si>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</si>
  <si>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</si>
  <si>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</si>
  <si>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</si>
  <si>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</si>
  <si>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</si>
  <si>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</si>
  <si>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</si>
  <si>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</si>
  <si>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</si>
  <si>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</si>
  <si>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</si>
  <si>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</si>
  <si>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08/13/2025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</si>
  <si>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</si>
  <si>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</si>
  <si>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</si>
  <si>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</si>
  <si>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</si>
  <si>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</si>
  <si>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</si>
  <si>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</si>
  <si>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</si>
  <si>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</si>
  <si>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</si>
  <si>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</si>
  <si>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</si>
  <si>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</si>
  <si>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</si>
  <si>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</si>
  <si>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</si>
  <si>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</si>
  <si>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</si>
  <si>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</si>
  <si>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</si>
  <si>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06/19/2025</t>
  </si>
  <si>
    <t>06/18/2025</t>
  </si>
  <si>
    <t>06/17/2025</t>
  </si>
  <si>
    <t>06/16/2025</t>
  </si>
  <si>
    <t>06/13/2025</t>
  </si>
  <si>
    <t>05/30/2025</t>
  </si>
  <si>
    <t>05/29/2025</t>
  </si>
  <si>
    <t>05/27/2025</t>
  </si>
  <si>
    <t>05/26/2025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</si>
  <si>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</si>
  <si>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</si>
  <si>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</si>
  <si>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</si>
  <si>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</si>
  <si>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</si>
  <si>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</si>
  <si>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</si>
  <si>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</si>
  <si>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</si>
  <si>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</si>
  <si>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</si>
  <si>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</si>
  <si>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</si>
  <si>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</si>
  <si>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</si>
  <si>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04/21/2025</t>
  </si>
  <si>
    <t>04/18/2025</t>
  </si>
  <si>
    <t>04/17/2025</t>
  </si>
  <si>
    <t>04/16/2025</t>
  </si>
  <si>
    <t>04/15/2025</t>
  </si>
  <si>
    <t>04/14/2025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</si>
  <si>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</si>
  <si>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</si>
  <si>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</si>
  <si>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</si>
  <si>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</si>
  <si>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</si>
  <si>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</si>
  <si>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</si>
  <si>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</si>
  <si>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03/14/2025</t>
  </si>
  <si>
    <t>03/13/2025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</si>
  <si>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</si>
  <si>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</si>
  <si>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</si>
  <si>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</si>
  <si>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</si>
  <si>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</si>
  <si>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</si>
  <si>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02/19/2025</t>
  </si>
  <si>
    <t>02/18/2025</t>
  </si>
  <si>
    <t>02/17/2025</t>
  </si>
  <si>
    <t>02/14/2025</t>
  </si>
  <si>
    <t>02/13/2025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</si>
  <si>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</si>
  <si>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</si>
  <si>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</si>
  <si>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</si>
  <si>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</si>
  <si>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</si>
  <si>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</si>
  <si>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</si>
  <si>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</si>
  <si>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01/20/2025</t>
  </si>
  <si>
    <t>01/17/2025</t>
  </si>
  <si>
    <t>01/16/2025</t>
  </si>
  <si>
    <t>01/15/2025</t>
  </si>
  <si>
    <t>01/14/2025</t>
  </si>
  <si>
    <t>01/13/2025</t>
  </si>
  <si>
    <t>12/31/2024</t>
  </si>
  <si>
    <t>12/30/2024</t>
  </si>
  <si>
    <t>12/27/2024</t>
  </si>
  <si>
    <t>12/26/2024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</si>
  <si>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</si>
  <si>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</si>
  <si>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</si>
  <si>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</si>
  <si>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</si>
  <si>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</si>
  <si>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</si>
  <si>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</si>
  <si>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11/29/2024</t>
  </si>
  <si>
    <t>11/28/2024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</si>
  <si>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</si>
  <si>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</si>
  <si>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</si>
  <si>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</si>
  <si>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</si>
  <si>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</si>
  <si>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</si>
  <si>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</si>
  <si>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</si>
  <si>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</si>
  <si>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</si>
  <si>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</si>
  <si>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</si>
  <si>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</si>
  <si>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</si>
  <si>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</si>
  <si>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</si>
  <si>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</si>
  <si>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</si>
  <si>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</si>
  <si>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</si>
  <si>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</si>
  <si>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</si>
  <si>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</si>
  <si>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10/14/2024</t>
  </si>
  <si>
    <t>09/30/2024</t>
  </si>
  <si>
    <t>09/27/2024</t>
  </si>
  <si>
    <t>09/26/2024</t>
  </si>
  <si>
    <t>09/25/2024</t>
  </si>
  <si>
    <t>09/24/2024</t>
  </si>
  <si>
    <t>09/23/2024</t>
  </si>
  <si>
    <t>09/20/2024</t>
  </si>
  <si>
    <t>09/19/2024</t>
  </si>
  <si>
    <t>09/18/2024</t>
  </si>
  <si>
    <t>09/16/2024</t>
  </si>
  <si>
    <t>09/13/2024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</si>
  <si>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</si>
  <si>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</si>
  <si>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</si>
  <si>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</si>
  <si>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</si>
  <si>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</si>
  <si>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</si>
  <si>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</si>
  <si>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</si>
  <si>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</si>
  <si>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</si>
  <si>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08/15/2024</t>
  </si>
  <si>
    <t>08/13/2024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</si>
  <si>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</si>
  <si>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</si>
  <si>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</si>
  <si>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</si>
  <si>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</si>
  <si>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</si>
  <si>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</si>
  <si>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</si>
  <si>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</si>
  <si>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</si>
  <si>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07/15/2024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</si>
  <si>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</si>
  <si>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</si>
  <si>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</si>
  <si>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</si>
  <si>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</si>
  <si>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</si>
  <si>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</si>
  <si>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06/14/2024</t>
  </si>
  <si>
    <t>06/13/2024</t>
  </si>
  <si>
    <t>05/31/2024</t>
  </si>
  <si>
    <t>05/30/2024</t>
  </si>
  <si>
    <t>05/29/2024</t>
  </si>
  <si>
    <t>05/27/2024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</si>
  <si>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</si>
  <si>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</si>
  <si>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</si>
  <si>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</si>
  <si>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</si>
  <si>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</si>
  <si>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</si>
  <si>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</si>
  <si>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</si>
  <si>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</si>
  <si>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</si>
  <si>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</si>
  <si>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</si>
  <si>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</si>
  <si>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</si>
  <si>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</si>
  <si>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</si>
  <si>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</si>
  <si>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</si>
  <si>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</si>
  <si>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</si>
  <si>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</si>
  <si>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03/29/2024</t>
  </si>
  <si>
    <t>03/28/2024</t>
  </si>
  <si>
    <t>03/27/2024</t>
  </si>
  <si>
    <t>03/26/2024</t>
  </si>
  <si>
    <t>03/25/2024</t>
  </si>
  <si>
    <t>03/22/2024</t>
  </si>
  <si>
    <t>03/21/2024</t>
  </si>
  <si>
    <t>03/20/2024</t>
  </si>
  <si>
    <t>03/19/2024</t>
  </si>
  <si>
    <t>03/18/2024</t>
  </si>
  <si>
    <t>03/15/2024</t>
  </si>
  <si>
    <t>03/14/2024</t>
  </si>
  <si>
    <t>03/13/2024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</si>
  <si>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</si>
  <si>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</si>
  <si>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</si>
  <si>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</si>
  <si>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</si>
  <si>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</si>
  <si>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</si>
  <si>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</si>
  <si>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02/19/2024</t>
  </si>
  <si>
    <t>02/16/2024</t>
  </si>
  <si>
    <t>02/15/2024</t>
  </si>
  <si>
    <t>02/14/2024</t>
  </si>
  <si>
    <t>02/13/2024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</si>
  <si>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</si>
  <si>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</si>
  <si>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</si>
  <si>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</si>
  <si>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</si>
  <si>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</si>
  <si>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</si>
  <si>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</si>
  <si>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</si>
  <si>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</si>
  <si>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</si>
  <si>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</si>
  <si>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01/15/2024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</si>
  <si>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</si>
  <si>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</si>
  <si>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</si>
  <si>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</si>
  <si>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</si>
  <si>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</si>
  <si>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</si>
  <si>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</si>
  <si>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</si>
  <si>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</si>
  <si>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</si>
  <si>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</si>
  <si>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11/30/2023</t>
  </si>
  <si>
    <t>11/29/2023</t>
  </si>
  <si>
    <t>11/28/2023</t>
  </si>
  <si>
    <t>11/27/2023</t>
  </si>
  <si>
    <t>11/24/2023</t>
  </si>
  <si>
    <t>11/23/2023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</si>
  <si>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</si>
  <si>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</si>
  <si>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</si>
  <si>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</si>
  <si>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</si>
  <si>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</si>
  <si>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</si>
  <si>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</si>
  <si>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</si>
  <si>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</si>
  <si>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</si>
  <si>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</si>
  <si>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</si>
  <si>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</si>
  <si>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</si>
  <si>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</si>
  <si>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</si>
  <si>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</si>
  <si>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</si>
  <si>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</si>
  <si>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</si>
  <si>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</si>
  <si>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</si>
  <si>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</si>
  <si>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</si>
  <si>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</si>
  <si>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</si>
  <si>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</si>
  <si>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</si>
  <si>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09/18/2023</t>
  </si>
  <si>
    <t>09/15/2023</t>
  </si>
  <si>
    <t>09/14/2023</t>
  </si>
  <si>
    <t>09/13/2023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</si>
  <si>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</si>
  <si>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</si>
  <si>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</si>
  <si>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</si>
  <si>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</si>
  <si>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</si>
  <si>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</si>
  <si>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</si>
  <si>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</si>
  <si>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</si>
  <si>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</si>
  <si>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</si>
  <si>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08/15/2023</t>
  </si>
  <si>
    <t>07/31/2023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</si>
  <si>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</si>
  <si>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</si>
  <si>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</si>
  <si>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</si>
  <si>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</si>
  <si>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</si>
  <si>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</si>
  <si>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</si>
  <si>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07/17/2023</t>
  </si>
  <si>
    <t>07/14/2023</t>
  </si>
  <si>
    <t>07/13/2023</t>
  </si>
  <si>
    <t>06/27/2023</t>
  </si>
  <si>
    <t>06/26/2023</t>
  </si>
  <si>
    <t>06/23/2023</t>
  </si>
  <si>
    <t>06/22/2023</t>
  </si>
  <si>
    <t>06/21/2023</t>
  </si>
  <si>
    <t>06/20/2023</t>
  </si>
  <si>
    <t>06/19/2023</t>
  </si>
  <si>
    <t>06/16/2023</t>
  </si>
  <si>
    <t>06/15/2023</t>
  </si>
  <si>
    <t>06/14/2023</t>
  </si>
  <si>
    <t>06/13/2023</t>
  </si>
  <si>
    <t>05/31/2023</t>
  </si>
  <si>
    <t>05/30/2023</t>
  </si>
  <si>
    <t>05/29/2023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</si>
  <si>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</si>
  <si>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</si>
  <si>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</si>
  <si>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</si>
  <si>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</si>
  <si>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</si>
  <si>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</si>
  <si>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</si>
  <si>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</si>
  <si>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</si>
  <si>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04/28/2023</t>
  </si>
  <si>
    <t>04/27/2023</t>
  </si>
  <si>
    <t>04/26/2023</t>
  </si>
  <si>
    <t>04/20/2023</t>
  </si>
  <si>
    <t>04/19/2023</t>
  </si>
  <si>
    <t>04/18/2023</t>
  </si>
  <si>
    <t>04/17/2023</t>
  </si>
  <si>
    <t>04/13/2023</t>
  </si>
  <si>
    <t>03/31/2023</t>
  </si>
  <si>
    <t>03/30/2023</t>
  </si>
  <si>
    <t>03/29/2023</t>
  </si>
  <si>
    <t>03/28/2023</t>
  </si>
  <si>
    <t>03/27/2023</t>
  </si>
  <si>
    <t>03/24/2023</t>
  </si>
  <si>
    <t>03/22/2023</t>
  </si>
  <si>
    <t>03/21/2023</t>
  </si>
  <si>
    <t>03/20/2023</t>
  </si>
  <si>
    <t>03/17/2023</t>
  </si>
  <si>
    <t>03/16/2023</t>
  </si>
  <si>
    <t>03/15/2023</t>
  </si>
  <si>
    <t>03/14/2023</t>
  </si>
  <si>
    <t>03/13/2023</t>
  </si>
  <si>
    <t>02/28/2023</t>
  </si>
  <si>
    <t>02/27/2023</t>
  </si>
  <si>
    <t>02/24/2023</t>
  </si>
  <si>
    <t>02/23/2023</t>
  </si>
  <si>
    <t>02/22/2023</t>
  </si>
  <si>
    <t>02/21/2023</t>
  </si>
  <si>
    <t>02/20/2023</t>
  </si>
  <si>
    <t>02/17/2023</t>
  </si>
  <si>
    <t>02/16/2023</t>
  </si>
  <si>
    <t>02/15/2023</t>
  </si>
  <si>
    <t>02/14/2023</t>
  </si>
  <si>
    <t>02/13/2023</t>
  </si>
  <si>
    <t>01/31/2023</t>
  </si>
  <si>
    <t>01/30/2023</t>
  </si>
  <si>
    <t>01/27/2023</t>
  </si>
  <si>
    <t>01/26/2023</t>
  </si>
  <si>
    <t>01/25/2023</t>
  </si>
  <si>
    <t>01/24/2023</t>
  </si>
  <si>
    <t>01/23/2023</t>
  </si>
  <si>
    <t>01/20/2023</t>
  </si>
  <si>
    <t>01/19/2023</t>
  </si>
  <si>
    <t>01/18/2023</t>
  </si>
  <si>
    <t>01/17/2023</t>
  </si>
  <si>
    <t>01/16/2023</t>
  </si>
  <si>
    <t>01/13/2023</t>
  </si>
  <si>
    <t>12/30/2022</t>
  </si>
  <si>
    <t>12/29/2022</t>
  </si>
  <si>
    <t>12/28/2022</t>
  </si>
  <si>
    <t>12/27/2022</t>
  </si>
  <si>
    <t>12/26/2022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</si>
  <si>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</si>
  <si>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</si>
  <si>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</si>
  <si>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</si>
  <si>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</si>
  <si>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</si>
  <si>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</si>
  <si>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</si>
  <si>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</si>
  <si>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11/30/2022</t>
  </si>
  <si>
    <t>11/29/2022</t>
  </si>
  <si>
    <t>11/28/2022</t>
  </si>
  <si>
    <t>11/25/2022</t>
  </si>
  <si>
    <t>11/24/2022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</si>
  <si>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</si>
  <si>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</si>
  <si>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</si>
  <si>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</si>
  <si>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</si>
  <si>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</si>
  <si>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</si>
  <si>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</si>
  <si>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</si>
  <si>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</si>
  <si>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</si>
  <si>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</si>
  <si>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</si>
  <si>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</si>
  <si>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</si>
  <si>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</si>
  <si>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</si>
  <si>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</si>
  <si>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</si>
  <si>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</si>
  <si>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</si>
  <si>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09/30/2022</t>
  </si>
  <si>
    <t>09/29/2022</t>
  </si>
  <si>
    <t>09/28/2022</t>
  </si>
  <si>
    <t>09/27/2022</t>
  </si>
  <si>
    <t>09/26/2022</t>
  </si>
  <si>
    <t>09/23/2022</t>
  </si>
  <si>
    <t>09/22/2022</t>
  </si>
  <si>
    <t>09/21/2022</t>
  </si>
  <si>
    <t>09/20/2022</t>
  </si>
  <si>
    <t>09/19/2022</t>
  </si>
  <si>
    <t>09/16/2022</t>
  </si>
  <si>
    <t>09/15/2022</t>
  </si>
  <si>
    <t>09/14/2022</t>
  </si>
  <si>
    <t>09/13/2022</t>
  </si>
  <si>
    <t>08/31/2022</t>
  </si>
  <si>
    <t>08/30/2022</t>
  </si>
  <si>
    <t>08/29/2022</t>
  </si>
  <si>
    <t>08/26/2022</t>
  </si>
  <si>
    <t>08/25/2022</t>
  </si>
  <si>
    <t>08/24/2022</t>
  </si>
  <si>
    <t>08/23/2022</t>
  </si>
  <si>
    <t>08/22/2022</t>
  </si>
  <si>
    <t>08/19/2022</t>
  </si>
  <si>
    <t>08/18/2022</t>
  </si>
  <si>
    <t>08/17/2022</t>
  </si>
  <si>
    <t>08/16/2022</t>
  </si>
  <si>
    <t>08/15/2022</t>
  </si>
  <si>
    <t>07/29/2022</t>
  </si>
  <si>
    <t>07/28/2022</t>
  </si>
  <si>
    <t>07/27/2022</t>
  </si>
  <si>
    <t>07/26/2022</t>
  </si>
  <si>
    <t>07/25/2022</t>
  </si>
  <si>
    <t>07/22/2022</t>
  </si>
  <si>
    <t>07/21/2022</t>
  </si>
  <si>
    <t>07/20/2022</t>
  </si>
  <si>
    <t>07/19/2022</t>
  </si>
  <si>
    <t>07/18/2022</t>
  </si>
  <si>
    <t>07/15/2022</t>
  </si>
  <si>
    <t>07/14/2022</t>
  </si>
  <si>
    <t>07/13/2022</t>
  </si>
  <si>
    <t>06/30/2022</t>
  </si>
  <si>
    <t>06/29/2022</t>
  </si>
  <si>
    <t>06/28/2022</t>
  </si>
  <si>
    <t>06/27/2022</t>
  </si>
  <si>
    <t>06/24/2022</t>
  </si>
  <si>
    <t>06/23/2022</t>
  </si>
  <si>
    <t>06/22/2022</t>
  </si>
  <si>
    <t>06/21/2022</t>
  </si>
  <si>
    <t>06/20/2022</t>
  </si>
  <si>
    <t>06/17/2022</t>
  </si>
  <si>
    <t>06/16/2022</t>
  </si>
  <si>
    <t>06/15/2022</t>
  </si>
  <si>
    <t>06/14/2022</t>
  </si>
  <si>
    <t>06/13/2022</t>
  </si>
  <si>
    <t>05/31/2022</t>
  </si>
  <si>
    <t>05/30/2022</t>
  </si>
  <si>
    <t>05/27/2022</t>
  </si>
  <si>
    <t>05/26/2022</t>
  </si>
  <si>
    <t>05/25/2022</t>
  </si>
  <si>
    <t>05/24/2022</t>
  </si>
  <si>
    <t>05/23/2022</t>
  </si>
  <si>
    <t>05/20/2022</t>
  </si>
  <si>
    <t>05/19/2022</t>
  </si>
  <si>
    <t>05/18/2022</t>
  </si>
  <si>
    <t>05/17/2022</t>
  </si>
  <si>
    <t>05/16/2022</t>
  </si>
  <si>
    <t>05/13/2022</t>
  </si>
  <si>
    <t>04/28/2022</t>
  </si>
  <si>
    <t>04/27/2022</t>
  </si>
  <si>
    <t>04/26/2022</t>
  </si>
  <si>
    <t>04/25/2022</t>
  </si>
  <si>
    <t>04/22/2022</t>
  </si>
  <si>
    <t>04/21/2022</t>
  </si>
  <si>
    <t>04/20/2022</t>
  </si>
  <si>
    <t>04/19/2022</t>
  </si>
  <si>
    <t>04/18/2022</t>
  </si>
  <si>
    <t>04/15/2022</t>
  </si>
  <si>
    <t>04/14/2022</t>
  </si>
  <si>
    <t>04/13/2022</t>
  </si>
  <si>
    <t>03/31/2022</t>
  </si>
  <si>
    <t>03/30/2022</t>
  </si>
  <si>
    <t>03/29/2022</t>
  </si>
  <si>
    <t>03/28/2022</t>
  </si>
  <si>
    <t>03/25/2022</t>
  </si>
  <si>
    <t>03/24/2022</t>
  </si>
  <si>
    <t>03/22/2022</t>
  </si>
  <si>
    <t>03/21/2022</t>
  </si>
  <si>
    <t>03/18/2022</t>
  </si>
  <si>
    <t>03/17/2022</t>
  </si>
  <si>
    <t>03/16/2022</t>
  </si>
  <si>
    <t>03/15/2022</t>
  </si>
  <si>
    <t>03/14/2022</t>
  </si>
  <si>
    <t>02/28/2022</t>
  </si>
  <si>
    <t>02/25/2022</t>
  </si>
  <si>
    <t>02/24/2022</t>
  </si>
  <si>
    <t>02/23/2022</t>
  </si>
  <si>
    <t>02/22/2022</t>
  </si>
  <si>
    <t>02/21/2022</t>
  </si>
  <si>
    <t>02/18/2022</t>
  </si>
  <si>
    <t>02/17/2022</t>
  </si>
  <si>
    <t>02/16/2022</t>
  </si>
  <si>
    <t>02/15/2022</t>
  </si>
  <si>
    <t>02/14/2022</t>
  </si>
  <si>
    <t>01/31/2022</t>
  </si>
  <si>
    <t>01/28/2022</t>
  </si>
  <si>
    <t>01/27/2022</t>
  </si>
  <si>
    <t>01/26/2022</t>
  </si>
  <si>
    <t>01/25/2022</t>
  </si>
  <si>
    <t>01/24/2022</t>
  </si>
  <si>
    <t>01/21/2022</t>
  </si>
  <si>
    <t>01/20/2022</t>
  </si>
  <si>
    <t>01/19/2022</t>
  </si>
  <si>
    <t>01/18/2022</t>
  </si>
  <si>
    <t>01/17/2022</t>
  </si>
  <si>
    <t>01/14/2022</t>
  </si>
  <si>
    <t>01/13/2022</t>
  </si>
  <si>
    <t>12/31/2021</t>
  </si>
  <si>
    <t>12/30/2021</t>
  </si>
  <si>
    <t>12/29/2021</t>
  </si>
  <si>
    <t>12/28/2021</t>
  </si>
  <si>
    <t>12/27/2021</t>
  </si>
  <si>
    <t>12/24/2021</t>
  </si>
  <si>
    <t>12/23/2021</t>
  </si>
  <si>
    <t>12/22/2021</t>
  </si>
  <si>
    <t>12/21/2021</t>
  </si>
  <si>
    <t>12/20/2021</t>
  </si>
  <si>
    <t>12/17/2021</t>
  </si>
  <si>
    <t>12/16/2021</t>
  </si>
  <si>
    <t>12/15/2021</t>
  </si>
  <si>
    <t>12/14/2021</t>
  </si>
  <si>
    <t>12/13/2021</t>
  </si>
  <si>
    <t>11/30/2021</t>
  </si>
  <si>
    <t>11/29/2021</t>
  </si>
  <si>
    <t>11/26/2021</t>
  </si>
  <si>
    <t>11/25/2021</t>
  </si>
  <si>
    <t>11/24/2021</t>
  </si>
  <si>
    <t>11/23/2021</t>
  </si>
  <si>
    <t>11/22/2021</t>
  </si>
  <si>
    <t>11/19/2021</t>
  </si>
  <si>
    <t>11/18/2021</t>
  </si>
  <si>
    <t>11/17/2021</t>
  </si>
  <si>
    <t>11/16/2021</t>
  </si>
  <si>
    <t>11/15/2021</t>
  </si>
  <si>
    <t>10/29/2021</t>
  </si>
  <si>
    <t>10/28/2021</t>
  </si>
  <si>
    <t>10/27/2021</t>
  </si>
  <si>
    <t>10/26/2021</t>
  </si>
  <si>
    <t>10/25/2021</t>
  </si>
  <si>
    <t>10/22/2021</t>
  </si>
  <si>
    <t>10/21/2021</t>
  </si>
  <si>
    <t>10/20/2021</t>
  </si>
  <si>
    <t>10/18/2021</t>
  </si>
  <si>
    <t>10/15/2021</t>
  </si>
  <si>
    <t>10/14/2021</t>
  </si>
  <si>
    <t>10/13/2021</t>
  </si>
  <si>
    <t>09/30/2021</t>
  </si>
  <si>
    <t>09/29/2021</t>
  </si>
  <si>
    <t>09/28/2021</t>
  </si>
  <si>
    <t>09/27/2021</t>
  </si>
  <si>
    <t>09/24/2021</t>
  </si>
  <si>
    <t>09/23/2021</t>
  </si>
  <si>
    <t>09/22/2021</t>
  </si>
  <si>
    <t>09/21/2021</t>
  </si>
  <si>
    <t>09/20/2021</t>
  </si>
  <si>
    <t>09/17/2021</t>
  </si>
  <si>
    <t>09/16/2021</t>
  </si>
  <si>
    <t>09/15/2021</t>
  </si>
  <si>
    <t>09/14/2021</t>
  </si>
  <si>
    <t>09/13/2021</t>
  </si>
  <si>
    <t>08/31/2021</t>
  </si>
  <si>
    <t>08/30/2021</t>
  </si>
  <si>
    <t>08/27/2021</t>
  </si>
  <si>
    <t>08/26/2021</t>
  </si>
  <si>
    <t>08/25/2021</t>
  </si>
  <si>
    <t>08/24/2021</t>
  </si>
  <si>
    <t>08/23/2021</t>
  </si>
  <si>
    <t>08/20/2021</t>
  </si>
  <si>
    <t>08/17/2021</t>
  </si>
  <si>
    <t>08/16/2021</t>
  </si>
  <si>
    <t>08/13/2021</t>
  </si>
  <si>
    <t>07/30/2021</t>
  </si>
  <si>
    <t>07/29/2021</t>
  </si>
  <si>
    <t>07/28/2021</t>
  </si>
  <si>
    <t>07/27/2021</t>
  </si>
  <si>
    <t>07/26/2021</t>
  </si>
  <si>
    <t>07/23/2021</t>
  </si>
  <si>
    <t>07/19/2021</t>
  </si>
  <si>
    <t>07/16/2021</t>
  </si>
  <si>
    <t>07/15/2021</t>
  </si>
  <si>
    <t>07/14/2021</t>
  </si>
  <si>
    <t>07/13/2021</t>
  </si>
  <si>
    <t>06/30/2021</t>
  </si>
  <si>
    <t>06/29/2021</t>
  </si>
  <si>
    <t>06/28/2021</t>
  </si>
  <si>
    <t>06/25/2021</t>
  </si>
  <si>
    <t>06/24/2021</t>
  </si>
  <si>
    <t>06/23/2021</t>
  </si>
  <si>
    <t>06/22/2021</t>
  </si>
  <si>
    <t>06/21/2021</t>
  </si>
  <si>
    <t>06/18/2021</t>
  </si>
  <si>
    <t>06/17/2021</t>
  </si>
  <si>
    <t>06/16/2021</t>
  </si>
  <si>
    <t>06/15/2021</t>
  </si>
  <si>
    <t>06/14/2021</t>
  </si>
  <si>
    <t>05/31/2021</t>
  </si>
  <si>
    <t>05/28/2021</t>
  </si>
  <si>
    <t>05/27/2021</t>
  </si>
  <si>
    <t>05/26/2021</t>
  </si>
  <si>
    <t>05/25/2021</t>
  </si>
  <si>
    <t>05/24/2021</t>
  </si>
  <si>
    <t>05/21/2021</t>
  </si>
  <si>
    <t>05/20/2021</t>
  </si>
  <si>
    <t>05/19/2021</t>
  </si>
  <si>
    <t>05/18/2021</t>
  </si>
  <si>
    <t>05/17/2021</t>
  </si>
  <si>
    <t>04/30/2021</t>
  </si>
  <si>
    <t>04/29/2021</t>
  </si>
  <si>
    <t>04/28/2021</t>
  </si>
  <si>
    <t>04/27/2021</t>
  </si>
  <si>
    <t>04/26/2021</t>
  </si>
  <si>
    <t>04/23/2021</t>
  </si>
  <si>
    <t>04/22/2021</t>
  </si>
  <si>
    <t>04/21/2021</t>
  </si>
  <si>
    <t>04/20/2021</t>
  </si>
  <si>
    <t>04/19/2021</t>
  </si>
  <si>
    <t>04/16/2021</t>
  </si>
  <si>
    <t>04/15/2021</t>
  </si>
  <si>
    <t>04/14/2021</t>
  </si>
  <si>
    <t>04/13/2021</t>
  </si>
  <si>
    <t>03/31/2021</t>
  </si>
  <si>
    <t>03/30/2021</t>
  </si>
  <si>
    <t>03/29/2021</t>
  </si>
  <si>
    <t>03/26/2021</t>
  </si>
  <si>
    <t>03/25/2021</t>
  </si>
  <si>
    <t>03/24/2021</t>
  </si>
  <si>
    <t>03/22/2021</t>
  </si>
  <si>
    <t>03/19/2021</t>
  </si>
  <si>
    <t>03/18/2021</t>
  </si>
  <si>
    <t>03/17/2021</t>
  </si>
  <si>
    <t>03/16/2021</t>
  </si>
  <si>
    <t>03/15/2021</t>
  </si>
  <si>
    <t>02/26/2021</t>
  </si>
  <si>
    <t>02/25/2021</t>
  </si>
  <si>
    <t>02/24/2021</t>
  </si>
  <si>
    <t>02/23/2021</t>
  </si>
  <si>
    <t>02/22/2021</t>
  </si>
  <si>
    <t>02/19/2021</t>
  </si>
  <si>
    <t>02/18/2021</t>
  </si>
  <si>
    <t>02/17/2021</t>
  </si>
  <si>
    <t>02/16/2021</t>
  </si>
  <si>
    <t>02/15/2021</t>
  </si>
  <si>
    <t>01/29/2021</t>
  </si>
  <si>
    <t>01/28/2021</t>
  </si>
  <si>
    <t>01/27/2021</t>
  </si>
  <si>
    <t>01/26/2021</t>
  </si>
  <si>
    <t>01/25/2021</t>
  </si>
  <si>
    <t>01/22/2021</t>
  </si>
  <si>
    <t>01/21/2021</t>
  </si>
  <si>
    <t>01/20/2021</t>
  </si>
  <si>
    <t>01/19/2021</t>
  </si>
  <si>
    <t>01/18/2021</t>
  </si>
  <si>
    <t>01/15/2021</t>
  </si>
  <si>
    <t>01/14/2021</t>
  </si>
  <si>
    <t>01/13/2021</t>
  </si>
  <si>
    <t>12/31/2020</t>
  </si>
  <si>
    <t>12/30/2020</t>
  </si>
  <si>
    <t>12/29/2020</t>
  </si>
  <si>
    <t>12/28/2020</t>
  </si>
  <si>
    <t>12/24/2020</t>
  </si>
  <si>
    <t>12/23/2020</t>
  </si>
  <si>
    <t>12/22/2020</t>
  </si>
  <si>
    <t>12/21/2020</t>
  </si>
  <si>
    <t>12/18/2020</t>
  </si>
  <si>
    <t>12/17/2020</t>
  </si>
  <si>
    <t>12/16/2020</t>
  </si>
  <si>
    <t>12/15/2020</t>
  </si>
  <si>
    <t>12/14/2020</t>
  </si>
  <si>
    <t>11/30/2020</t>
  </si>
  <si>
    <t>11/27/2020</t>
  </si>
  <si>
    <t>11/26/2020</t>
  </si>
  <si>
    <t>11/25/2020</t>
  </si>
  <si>
    <t>11/24/2020</t>
  </si>
  <si>
    <t>11/23/2020</t>
  </si>
  <si>
    <t>11/20/2020</t>
  </si>
  <si>
    <t>11/19/2020</t>
  </si>
  <si>
    <t>11/18/2020</t>
  </si>
  <si>
    <t>11/17/2020</t>
  </si>
  <si>
    <t>11/16/2020</t>
  </si>
  <si>
    <t>11/13/2020</t>
  </si>
  <si>
    <t>10/29/2020</t>
  </si>
  <si>
    <t>10/28/2020</t>
  </si>
  <si>
    <t>10/27/2020</t>
  </si>
  <si>
    <t>10/26/2020</t>
  </si>
  <si>
    <t>10/23/2020</t>
  </si>
  <si>
    <t>10/22/2020</t>
  </si>
  <si>
    <t>10/21/2020</t>
  </si>
  <si>
    <t>10/20/2020</t>
  </si>
  <si>
    <t>10/19/2020</t>
  </si>
  <si>
    <t>10/16/2020</t>
  </si>
  <si>
    <t>10/15/2020</t>
  </si>
  <si>
    <t>10/14/2020</t>
  </si>
  <si>
    <t>10/13/2020</t>
  </si>
  <si>
    <t>09/30/2020</t>
  </si>
  <si>
    <t>09/29/2020</t>
  </si>
  <si>
    <t>09/28/2020</t>
  </si>
  <si>
    <t>09/25/2020</t>
  </si>
  <si>
    <t>09/24/2020</t>
  </si>
  <si>
    <t>09/23/2020</t>
  </si>
  <si>
    <t>09/22/2020</t>
  </si>
  <si>
    <t>09/21/2020</t>
  </si>
  <si>
    <t>09/18/2020</t>
  </si>
  <si>
    <t>09/17/2020</t>
  </si>
  <si>
    <t>09/16/2020</t>
  </si>
  <si>
    <t>09/15/2020</t>
  </si>
  <si>
    <t>09/14/2020</t>
  </si>
  <si>
    <t>08/31/2020</t>
  </si>
  <si>
    <t>08/28/2020</t>
  </si>
  <si>
    <t>08/27/2020</t>
  </si>
  <si>
    <t>08/26/2020</t>
  </si>
  <si>
    <t>08/25/2020</t>
  </si>
  <si>
    <t>08/24/2020</t>
  </si>
  <si>
    <t>08/21/2020</t>
  </si>
  <si>
    <t>08/20/2020</t>
  </si>
  <si>
    <t>08/19/2020</t>
  </si>
  <si>
    <t>08/18/2020</t>
  </si>
  <si>
    <t>08/17/2020</t>
  </si>
  <si>
    <t>08/13/2020</t>
  </si>
  <si>
    <t>07/30/2020</t>
  </si>
  <si>
    <t>07/29/2020</t>
  </si>
  <si>
    <t>07/28/2020</t>
  </si>
  <si>
    <t>07/27/2020</t>
  </si>
  <si>
    <t>07/24/2020</t>
  </si>
  <si>
    <t>07/23/2020</t>
  </si>
  <si>
    <t>07/22/2020</t>
  </si>
  <si>
    <t>07/21/2020</t>
  </si>
  <si>
    <t>07/20/2020</t>
  </si>
  <si>
    <t>07/17/2020</t>
  </si>
  <si>
    <t>07/16/2020</t>
  </si>
  <si>
    <t>07/15/2020</t>
  </si>
  <si>
    <t>07/14/2020</t>
  </si>
  <si>
    <t>07/13/2020</t>
  </si>
  <si>
    <t>06/30/2020</t>
  </si>
  <si>
    <t>06/29/2020</t>
  </si>
  <si>
    <t>06/26/2020</t>
  </si>
  <si>
    <t>06/25/2020</t>
  </si>
  <si>
    <t>06/24/2020</t>
  </si>
  <si>
    <t>06/23/2020</t>
  </si>
  <si>
    <t>06/22/2020</t>
  </si>
  <si>
    <t>06/19/2020</t>
  </si>
  <si>
    <t>06/18/2020</t>
  </si>
  <si>
    <t>06/16/2020</t>
  </si>
  <si>
    <t>06/15/2020</t>
  </si>
  <si>
    <t>05/29/2020</t>
  </si>
  <si>
    <t>05/28/2020</t>
  </si>
  <si>
    <t>05/21/2020</t>
  </si>
  <si>
    <t>05/20/2020</t>
  </si>
  <si>
    <t>05/19/2020</t>
  </si>
  <si>
    <t>05/18/2020</t>
  </si>
  <si>
    <t>05/15/2020</t>
  </si>
  <si>
    <t>05/14/2020</t>
  </si>
  <si>
    <t>05/13/2020</t>
  </si>
  <si>
    <t>04/30/2020</t>
  </si>
  <si>
    <t>04/29/2020</t>
  </si>
  <si>
    <t>04/28/2020</t>
  </si>
  <si>
    <t>04/27/2020</t>
  </si>
  <si>
    <t>04/24/2020</t>
  </si>
  <si>
    <t>04/23/2020</t>
  </si>
  <si>
    <t>04/22/2020</t>
  </si>
  <si>
    <t>04/21/2020</t>
  </si>
  <si>
    <t>04/20/2020</t>
  </si>
  <si>
    <t>04/17/2020</t>
  </si>
  <si>
    <t>04/16/2020</t>
  </si>
  <si>
    <t>04/15/2020</t>
  </si>
  <si>
    <t>04/14/2020</t>
  </si>
  <si>
    <t>04/13/2020</t>
  </si>
  <si>
    <t>03/31/2020</t>
  </si>
  <si>
    <t>03/30/2020</t>
  </si>
  <si>
    <t>03/27/2020</t>
  </si>
  <si>
    <t>03/26/2020</t>
  </si>
  <si>
    <t>03/25/2020</t>
  </si>
  <si>
    <t>03/24/2020</t>
  </si>
  <si>
    <t>03/20/2020</t>
  </si>
  <si>
    <t>03/19/2020</t>
  </si>
  <si>
    <t>03/18/2020</t>
  </si>
  <si>
    <t>03/17/2020</t>
  </si>
  <si>
    <t>03/16/2020</t>
  </si>
  <si>
    <t>03/13/2020</t>
  </si>
  <si>
    <t>02/28/2020</t>
  </si>
  <si>
    <t>02/27/2020</t>
  </si>
  <si>
    <t>02/26/2020</t>
  </si>
  <si>
    <t>02/25/2020</t>
  </si>
  <si>
    <t>02/24/2020</t>
  </si>
  <si>
    <t>02/21/2020</t>
  </si>
  <si>
    <t>02/20/2020</t>
  </si>
  <si>
    <t>02/19/2020</t>
  </si>
  <si>
    <t>02/18/2020</t>
  </si>
  <si>
    <t>02/17/2020</t>
  </si>
  <si>
    <t>02/14/2020</t>
  </si>
  <si>
    <t>02/13/2020</t>
  </si>
  <si>
    <t>01/31/2020</t>
  </si>
  <si>
    <t>01/30/2020</t>
  </si>
  <si>
    <t>01/29/2020</t>
  </si>
  <si>
    <t>01/28/2020</t>
  </si>
  <si>
    <t>01/27/2020</t>
  </si>
  <si>
    <t>01/24/2020</t>
  </si>
  <si>
    <t>01/23/2020</t>
  </si>
  <si>
    <t>01/22/2020</t>
  </si>
  <si>
    <t>01/21/2020</t>
  </si>
  <si>
    <t>01/20/2020</t>
  </si>
  <si>
    <t>01/17/2020</t>
  </si>
  <si>
    <t>01/16/2020</t>
  </si>
  <si>
    <t>01/15/2020</t>
  </si>
  <si>
    <t>01/14/2020</t>
  </si>
  <si>
    <t>01/13/2020</t>
  </si>
  <si>
    <t>12/31/2019</t>
  </si>
  <si>
    <t>12/30/2019</t>
  </si>
  <si>
    <t>12/27/2019</t>
  </si>
  <si>
    <t>12/26/2019</t>
  </si>
  <si>
    <t>12/24/2019</t>
  </si>
  <si>
    <t>12/23/2019</t>
  </si>
  <si>
    <t>12/20/2019</t>
  </si>
  <si>
    <t>12/19/2019</t>
  </si>
  <si>
    <t>12/18/2019</t>
  </si>
  <si>
    <t>12/17/2019</t>
  </si>
  <si>
    <t>12/16/2019</t>
  </si>
  <si>
    <t>12/13/2019</t>
  </si>
  <si>
    <t>11/29/2019</t>
  </si>
  <si>
    <t>11/28/2019</t>
  </si>
  <si>
    <t>11/27/2019</t>
  </si>
  <si>
    <t>11/26/2019</t>
  </si>
  <si>
    <t>11/25/2019</t>
  </si>
  <si>
    <t>11/22/2019</t>
  </si>
  <si>
    <t>11/21/2019</t>
  </si>
  <si>
    <t>11/20/2019</t>
  </si>
  <si>
    <t>11/19/2019</t>
  </si>
  <si>
    <t>11/18/2019</t>
  </si>
  <si>
    <t>11/15/2019</t>
  </si>
  <si>
    <t>11/14/2019</t>
  </si>
  <si>
    <t>11/13/2019</t>
  </si>
  <si>
    <t>10/31/2019</t>
  </si>
  <si>
    <t>10/30/2019</t>
  </si>
  <si>
    <t>10/29/2019</t>
  </si>
  <si>
    <t>10/28/2019</t>
  </si>
  <si>
    <t>10/25/2019</t>
  </si>
  <si>
    <t>10/24/2019</t>
  </si>
  <si>
    <t>10/23/2019</t>
  </si>
  <si>
    <t>10/22/2019</t>
  </si>
  <si>
    <t>10/21/2019</t>
  </si>
  <si>
    <t>10/18/2019</t>
  </si>
  <si>
    <t>10/17/2019</t>
  </si>
  <si>
    <t>10/16/2019</t>
  </si>
  <si>
    <t>10/15/2019</t>
  </si>
  <si>
    <t>10/14/2019</t>
  </si>
  <si>
    <t>09/30/2019</t>
  </si>
  <si>
    <t>09/27/2019</t>
  </si>
  <si>
    <t>09/26/2019</t>
  </si>
  <si>
    <t>09/25/2019</t>
  </si>
  <si>
    <t>09/24/2019</t>
  </si>
  <si>
    <t>09/23/2019</t>
  </si>
  <si>
    <t>09/20/2019</t>
  </si>
  <si>
    <t>09/19/2019</t>
  </si>
  <si>
    <t>09/18/2019</t>
  </si>
  <si>
    <t>09/17/2019</t>
  </si>
  <si>
    <t>09/16/2019</t>
  </si>
  <si>
    <t>09/13/2019</t>
  </si>
  <si>
    <t>08/30/2019</t>
  </si>
  <si>
    <t>08/29/2019</t>
  </si>
  <si>
    <t>08/28/2019</t>
  </si>
  <si>
    <t>08/26/2019</t>
  </si>
  <si>
    <t>08/23/2019</t>
  </si>
  <si>
    <t>08/22/2019</t>
  </si>
  <si>
    <t>08/21/2019</t>
  </si>
  <si>
    <t>08/19/2019</t>
  </si>
  <si>
    <t>07/31/2019</t>
  </si>
  <si>
    <t>07/30/2019</t>
  </si>
  <si>
    <t>07/29/2019</t>
  </si>
  <si>
    <t>07/26/2019</t>
  </si>
  <si>
    <t>07/25/2019</t>
  </si>
  <si>
    <t>07/24/2019</t>
  </si>
  <si>
    <t>07/23/2019</t>
  </si>
  <si>
    <t>07/22/2019</t>
  </si>
  <si>
    <t>07/19/2019</t>
  </si>
  <si>
    <t>07/18/2019</t>
  </si>
  <si>
    <t>06/28/2019</t>
  </si>
  <si>
    <t>06/27/2019</t>
  </si>
  <si>
    <t>06/26/2019</t>
  </si>
  <si>
    <t>06/25/2019</t>
  </si>
  <si>
    <t>06/24/2019</t>
  </si>
  <si>
    <t>06/21/2019</t>
  </si>
  <si>
    <t>06/20/2019</t>
  </si>
  <si>
    <t>06/19/2019</t>
  </si>
  <si>
    <t>06/18/2019</t>
  </si>
  <si>
    <t>06/17/2019</t>
  </si>
  <si>
    <t>06/14/2019</t>
  </si>
  <si>
    <t>06/13/2019</t>
  </si>
  <si>
    <t>05/30/2019</t>
  </si>
  <si>
    <t>05/29/2019</t>
  </si>
  <si>
    <t>05/28/2019</t>
  </si>
  <si>
    <t>05/27/2019</t>
  </si>
  <si>
    <t>05/22/2019</t>
  </si>
  <si>
    <t>05/21/2019</t>
  </si>
  <si>
    <t>05/20/2019</t>
  </si>
  <si>
    <t>05/17/2019</t>
  </si>
  <si>
    <t>05/16/2019</t>
  </si>
  <si>
    <t>05/14/2019</t>
  </si>
  <si>
    <t>05/13/2019</t>
  </si>
  <si>
    <t>04/30/2019</t>
  </si>
  <si>
    <t>04/29/2019</t>
  </si>
  <si>
    <t>04/24/2019</t>
  </si>
  <si>
    <t>04/22/2019</t>
  </si>
  <si>
    <t>04/19/2019</t>
  </si>
  <si>
    <t>04/18/2019</t>
  </si>
  <si>
    <t>04/17/2019</t>
  </si>
  <si>
    <t>04/16/2019</t>
  </si>
  <si>
    <t>04/15/2019</t>
  </si>
  <si>
    <t>03/29/2019</t>
  </si>
  <si>
    <t>03/28/2019</t>
  </si>
  <si>
    <t>03/27/2019</t>
  </si>
  <si>
    <t>03/25/2019</t>
  </si>
  <si>
    <t>03/22/2019</t>
  </si>
  <si>
    <t>03/21/2019</t>
  </si>
  <si>
    <t>03/20/2019</t>
  </si>
  <si>
    <t>03/19/2019</t>
  </si>
  <si>
    <t>03/18/2019</t>
  </si>
  <si>
    <t>03/15/2019</t>
  </si>
  <si>
    <t>03/13/2019</t>
  </si>
  <si>
    <t>02/28/2019</t>
  </si>
  <si>
    <t>02/27/2019</t>
  </si>
  <si>
    <t>02/26/2019</t>
  </si>
  <si>
    <t>02/25/2019</t>
  </si>
  <si>
    <t>02/22/2019</t>
  </si>
  <si>
    <t>02/21/2019</t>
  </si>
  <si>
    <t>02/20/2019</t>
  </si>
  <si>
    <t>02/19/2019</t>
  </si>
  <si>
    <t>02/18/2019</t>
  </si>
  <si>
    <t>02/15/2019</t>
  </si>
  <si>
    <t>02/14/2019</t>
  </si>
  <si>
    <t>02/13/2019</t>
  </si>
  <si>
    <t>01/31/2019</t>
  </si>
  <si>
    <t>01/30/2019</t>
  </si>
  <si>
    <t>01/29/2019</t>
  </si>
  <si>
    <t>01/28/2019</t>
  </si>
  <si>
    <t>01/25/2019</t>
  </si>
  <si>
    <t>01/24/2019</t>
  </si>
  <si>
    <t>01/23/2019</t>
  </si>
  <si>
    <t>01/22/2019</t>
  </si>
  <si>
    <t>01/21/2019</t>
  </si>
  <si>
    <t>01/18/2019</t>
  </si>
  <si>
    <t>01/17/2019</t>
  </si>
  <si>
    <t>01/16/2019</t>
  </si>
  <si>
    <t>01/15/2019</t>
  </si>
  <si>
    <t>01/14/2019</t>
  </si>
  <si>
    <t>Regression analysis</t>
  </si>
  <si>
    <t>NESTLE PAKISTAN LIMITED 01 Jan 2019 – 31 Dec 2025</t>
  </si>
  <si>
    <t>National Foods Limited 01 Jan 2019 – 31 Dec 2025</t>
  </si>
  <si>
    <t>Portfolio Beta</t>
  </si>
  <si>
    <t>Weight 1</t>
  </si>
  <si>
    <t>Weight 4</t>
  </si>
  <si>
    <t>Weight 2</t>
  </si>
  <si>
    <t>Weight 3</t>
  </si>
  <si>
    <t>PORTFOLIO BETA OF COMPANIES</t>
  </si>
  <si>
    <t>CAPM</t>
  </si>
  <si>
    <t>Risk free rate</t>
  </si>
  <si>
    <t>Market Return</t>
  </si>
  <si>
    <t>Required Rate of Return</t>
  </si>
  <si>
    <t>NEW PORTFOLIO BETA</t>
  </si>
  <si>
    <t>KSE-100 INDEX</t>
  </si>
  <si>
    <t>LUCKY CORE (Company)</t>
  </si>
  <si>
    <t>KSE-100 (Index)</t>
  </si>
  <si>
    <t xml:space="preserve">AVERAGE </t>
  </si>
  <si>
    <t xml:space="preserve">STANDARD DEVIATION </t>
  </si>
  <si>
    <t xml:space="preserve">COEFFICIENT OF VARIATION </t>
  </si>
  <si>
    <t xml:space="preserve">REGRESSION ANALYSIS </t>
  </si>
  <si>
    <t>BETA (Slope)</t>
  </si>
  <si>
    <t>LUCKY CORE INDUSTRIES LIMITED 01 JAN 2019 - 31 DEC 2025</t>
  </si>
  <si>
    <t>Beta 1</t>
  </si>
  <si>
    <t>Beta 2</t>
  </si>
  <si>
    <t>Beta 3</t>
  </si>
  <si>
    <t>Beta 4</t>
  </si>
  <si>
    <t>Asset</t>
  </si>
  <si>
    <t>Beta</t>
  </si>
  <si>
    <t>Actual Return</t>
  </si>
  <si>
    <t>Required Return</t>
  </si>
  <si>
    <t>Lucky core</t>
  </si>
  <si>
    <t xml:space="preserve">Allied bank </t>
  </si>
  <si>
    <t>National foods</t>
  </si>
  <si>
    <t>Nestle Pakistan</t>
  </si>
  <si>
    <t>Market return</t>
  </si>
  <si>
    <t>Intrepretation</t>
  </si>
  <si>
    <t>undervalued</t>
  </si>
  <si>
    <t>overvalued</t>
  </si>
  <si>
    <t>Nestlé Pakistan has a beta of 0.006, which is extremely low, indicating that its returns are almost independent of market movements and it is highly stable.</t>
  </si>
  <si>
    <t>These beta values are consistent with the scatter plots, where the slopes of the regression lines are relatively flat, showing low sensitivity to the KSE-100 index.</t>
  </si>
  <si>
    <t>Overall, the analysis suggests that all selected companies are defensive stocks with lower risk and lower volatility compared to the market.</t>
  </si>
  <si>
    <t xml:space="preserve">The beta values of the selected companies were estimated using regression analysis of their returns against the KSE-100 index. </t>
  </si>
  <si>
    <t>Lucky Core Industries has a beta of 0.674, which means it is moderately sensitive to market movements but still less risky than the market.</t>
  </si>
  <si>
    <t xml:space="preserve"> Allied Bank Limited has a beta of 0.565, indicating relatively stable performance with lower fluctuations compared to the market.</t>
  </si>
  <si>
    <t xml:space="preserve"> National Foods Limited shows a beta of 0.686, suggesting moderate risk and some responsiveness to market changes.</t>
  </si>
  <si>
    <t xml:space="preserve">    The results show that all companies have beta values less than 1, indicating that they are less volatile than the overall market.</t>
  </si>
  <si>
    <t>Financial Management</t>
  </si>
  <si>
    <t xml:space="preserve">   INTERPRETATIONS</t>
  </si>
  <si>
    <t>Assignment 3</t>
  </si>
  <si>
    <t xml:space="preserve">Hifza Zaheer </t>
  </si>
  <si>
    <t xml:space="preserve">Amna Kauser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</si>
</sst>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%"/>
    <numFmt numFmtId="165" formatCode="0.00\x"/>
    <numFmt numFmtId="166" formatCode="0.000"/>
    <numFmt numFmtId="167" formatCode="0.00000"/>
  </numFmts>
  <fonts count="27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theme="1"/>
      <name val="Times New Roman"/>
      <family val="1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9"/>
      <color theme="1"/>
      <name val="Arial"/>
      <family val="2"/>
    </font>
    <font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Times New Roman"/>
      <family val="1"/>
    </font>
    <font>
      <sz val="10"/>
      <color rgb="FF000000"/>
      <name val="Arial"/>
      <charset val="1"/>
    </font>
    <font>
      <b/>
      <sz val="13"/>
      <color rgb="FFFF0000"/>
      <name val="Arial"/>
      <family val="2"/>
    </font>
    <font>
      <b/>
      <sz val="11"/>
      <color theme="1"/>
      <name val="Calibri"/>
      <family val="2"/>
      <charset val="1"/>
    </font>
    <font>
      <sz val="16"/>
      <color theme="1"/>
      <name val="Times New Roman"/>
      <family val="1"/>
    </font>
    <font>
      <b/>
      <sz val="22"/>
      <color theme="0"/>
      <name val="Times New Roman"/>
      <family val="1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charset val="1"/>
    </font>
    <font>
      <b/>
      <sz val="10"/>
      <color rgb="FFFF0000"/>
      <name val="Arial"/>
      <family val="2"/>
    </font>
    <font>
      <b/>
      <u/>
      <sz val="14"/>
      <color theme="1"/>
      <name val="Calibri"/>
      <family val="2"/>
      <scheme val="minor"/>
    </font>
    <font>
      <b/>
      <sz val="24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FFFFF"/>
        <bgColor rgb="FFF2F9EE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39997558519241921"/>
        <bgColor rgb="FF0066CC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6E4F7"/>
        <bgColor rgb="FFD9D9D9"/>
      </patternFill>
    </fill>
    <fill>
      <patternFill patternType="solid">
        <fgColor rgb="FFC6EFCE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0"/>
        <bgColor rgb="FF003366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/>
      </left>
      <right style="thin">
        <color theme="1" tint="0.499984740745262"/>
      </right>
      <top style="thin">
        <color theme="1"/>
      </top>
      <bottom style="thin">
        <color theme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/>
      </top>
      <bottom style="thin">
        <color theme="1"/>
      </bottom>
      <diagonal/>
    </border>
    <border>
      <left style="thin">
        <color theme="1" tint="0.499984740745262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2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</cellStyleXfs>
  <cellXfs count="108">
    <xf numFmtId="0" fontId="0" fillId="0" borderId="0" xfId="0"/>
    <xf numFmtId="0" fontId="2" fillId="0" borderId="0" xfId="1"/>
    <xf numFmtId="0" fontId="2" fillId="0" borderId="0" xfId="1" applyAlignment="1">
      <alignment horizontal="center"/>
    </xf>
    <xf numFmtId="0" fontId="0" fillId="0" borderId="0" xfId="0" applyAlignment="1">
      <alignment horizontal="center"/>
    </xf>
    <xf numFmtId="0" fontId="10" fillId="4" borderId="3" xfId="1" applyFont="1" applyFill="1" applyBorder="1" applyAlignment="1">
      <alignment horizontal="center"/>
    </xf>
    <xf numFmtId="0" fontId="10" fillId="4" borderId="9" xfId="1" applyFont="1" applyFill="1" applyBorder="1" applyAlignment="1">
      <alignment horizontal="center"/>
    </xf>
    <xf numFmtId="15" fontId="12" fillId="5" borderId="5" xfId="1" applyNumberFormat="1" applyFont="1" applyFill="1" applyBorder="1" applyAlignment="1">
      <alignment horizontal="center" vertical="center"/>
    </xf>
    <xf numFmtId="0" fontId="12" fillId="5" borderId="5" xfId="1" applyFont="1" applyFill="1" applyBorder="1" applyAlignment="1">
      <alignment horizontal="center" vertical="center" wrapText="1"/>
    </xf>
    <xf numFmtId="4" fontId="12" fillId="5" borderId="5" xfId="1" applyNumberFormat="1" applyFont="1" applyFill="1" applyBorder="1" applyAlignment="1">
      <alignment horizontal="center" vertical="center" wrapText="1"/>
    </xf>
    <xf numFmtId="15" fontId="12" fillId="5" borderId="2" xfId="1" applyNumberFormat="1" applyFont="1" applyFill="1" applyBorder="1" applyAlignment="1">
      <alignment horizontal="center" vertical="center"/>
    </xf>
    <xf numFmtId="0" fontId="12" fillId="5" borderId="2" xfId="1" applyFont="1" applyFill="1" applyBorder="1" applyAlignment="1">
      <alignment horizontal="center" vertical="center" wrapText="1"/>
    </xf>
    <xf numFmtId="4" fontId="12" fillId="5" borderId="2" xfId="1" applyNumberFormat="1" applyFont="1" applyFill="1" applyBorder="1" applyAlignment="1">
      <alignment horizontal="center" vertical="center" wrapText="1"/>
    </xf>
    <xf numFmtId="15" fontId="12" fillId="6" borderId="2" xfId="1" applyNumberFormat="1" applyFont="1" applyFill="1" applyBorder="1" applyAlignment="1">
      <alignment horizontal="center" vertical="center"/>
    </xf>
    <xf numFmtId="0" fontId="12" fillId="6" borderId="2" xfId="1" applyFont="1" applyFill="1" applyBorder="1" applyAlignment="1">
      <alignment horizontal="center" vertical="center" wrapText="1"/>
    </xf>
    <xf numFmtId="164" fontId="12" fillId="0" borderId="5" xfId="1" applyNumberFormat="1" applyFont="1" applyBorder="1" applyAlignment="1">
      <alignment horizontal="center"/>
    </xf>
    <xf numFmtId="15" fontId="12" fillId="12" borderId="2" xfId="1" applyNumberFormat="1" applyFont="1" applyFill="1" applyBorder="1" applyAlignment="1">
      <alignment horizontal="center" vertical="center"/>
    </xf>
    <xf numFmtId="0" fontId="12" fillId="12" borderId="2" xfId="1" applyFont="1" applyFill="1" applyBorder="1" applyAlignment="1">
      <alignment horizontal="center" vertical="center" wrapText="1"/>
    </xf>
    <xf numFmtId="4" fontId="12" fillId="12" borderId="2" xfId="1" applyNumberFormat="1" applyFont="1" applyFill="1" applyBorder="1" applyAlignment="1">
      <alignment horizontal="center" vertical="center" wrapText="1"/>
    </xf>
    <xf numFmtId="164" fontId="12" fillId="12" borderId="5" xfId="1" applyNumberFormat="1" applyFont="1" applyFill="1" applyBorder="1" applyAlignment="1">
      <alignment horizontal="center"/>
    </xf>
    <xf numFmtId="164" fontId="12" fillId="9" borderId="5" xfId="1" applyNumberFormat="1" applyFont="1" applyFill="1" applyBorder="1" applyAlignment="1">
      <alignment horizontal="center"/>
    </xf>
    <xf numFmtId="0" fontId="11" fillId="8" borderId="2" xfId="0" applyFont="1" applyFill="1" applyBorder="1" applyAlignment="1">
      <alignment horizontal="center"/>
    </xf>
    <xf numFmtId="0" fontId="13" fillId="8" borderId="2" xfId="0" applyFont="1" applyFill="1" applyBorder="1"/>
    <xf numFmtId="0" fontId="12" fillId="0" borderId="2" xfId="0" applyFont="1" applyBorder="1" applyAlignment="1">
      <alignment horizontal="center"/>
    </xf>
    <xf numFmtId="14" fontId="12" fillId="0" borderId="2" xfId="0" applyNumberFormat="1" applyFont="1" applyBorder="1" applyAlignment="1">
      <alignment horizontal="center"/>
    </xf>
    <xf numFmtId="164" fontId="12" fillId="0" borderId="2" xfId="0" applyNumberFormat="1" applyFont="1" applyBorder="1" applyAlignment="1">
      <alignment horizontal="center"/>
    </xf>
    <xf numFmtId="0" fontId="5" fillId="11" borderId="10" xfId="0" applyFont="1" applyFill="1" applyBorder="1" applyAlignment="1">
      <alignment horizontal="center" vertical="center"/>
    </xf>
    <xf numFmtId="0" fontId="0" fillId="0" borderId="11" xfId="0" applyBorder="1"/>
    <xf numFmtId="15" fontId="15" fillId="5" borderId="2" xfId="0" applyNumberFormat="1" applyFont="1" applyFill="1" applyBorder="1" applyAlignment="1">
      <alignment horizontal="center" vertical="center"/>
    </xf>
    <xf numFmtId="4" fontId="15" fillId="5" borderId="2" xfId="0" applyNumberFormat="1" applyFont="1" applyFill="1" applyBorder="1" applyAlignment="1">
      <alignment horizontal="center" vertical="center" wrapText="1"/>
    </xf>
    <xf numFmtId="4" fontId="2" fillId="5" borderId="2" xfId="0" applyNumberFormat="1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/>
    </xf>
    <xf numFmtId="0" fontId="14" fillId="0" borderId="0" xfId="0" applyFont="1"/>
    <xf numFmtId="0" fontId="5" fillId="2" borderId="13" xfId="0" applyFont="1" applyFill="1" applyBorder="1" applyAlignment="1">
      <alignment horizontal="center" vertical="center"/>
    </xf>
    <xf numFmtId="14" fontId="16" fillId="13" borderId="13" xfId="0" applyNumberFormat="1" applyFont="1" applyFill="1" applyBorder="1" applyAlignment="1">
      <alignment horizontal="center" vertical="center"/>
    </xf>
    <xf numFmtId="4" fontId="16" fillId="13" borderId="13" xfId="0" applyNumberFormat="1" applyFont="1" applyFill="1" applyBorder="1" applyAlignment="1">
      <alignment horizontal="center" vertical="center"/>
    </xf>
    <xf numFmtId="14" fontId="16" fillId="3" borderId="13" xfId="0" applyNumberFormat="1" applyFont="1" applyFill="1" applyBorder="1" applyAlignment="1">
      <alignment horizontal="center" vertical="center"/>
    </xf>
    <xf numFmtId="4" fontId="16" fillId="3" borderId="13" xfId="0" applyNumberFormat="1" applyFont="1" applyFill="1" applyBorder="1" applyAlignment="1">
      <alignment horizontal="center" vertical="center"/>
    </xf>
    <xf numFmtId="10" fontId="16" fillId="3" borderId="13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16" fillId="0" borderId="13" xfId="0" applyNumberFormat="1" applyFont="1" applyBorder="1" applyAlignment="1">
      <alignment horizontal="center" vertical="center"/>
    </xf>
    <xf numFmtId="0" fontId="19" fillId="0" borderId="0" xfId="0" applyFont="1"/>
    <xf numFmtId="0" fontId="18" fillId="0" borderId="2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3" fillId="0" borderId="0" xfId="0" applyFont="1"/>
    <xf numFmtId="0" fontId="1" fillId="15" borderId="12" xfId="3" applyBorder="1" applyAlignment="1">
      <alignment horizontal="center" vertical="center"/>
    </xf>
    <xf numFmtId="0" fontId="1" fillId="15" borderId="12" xfId="3" applyBorder="1" applyAlignment="1">
      <alignment horizontal="left" vertical="center"/>
    </xf>
    <xf numFmtId="0" fontId="1" fillId="15" borderId="12" xfId="3" applyBorder="1"/>
    <xf numFmtId="0" fontId="1" fillId="15" borderId="12" xfId="3" applyBorder="1" applyAlignment="1">
      <alignment vertical="center"/>
    </xf>
    <xf numFmtId="167" fontId="1" fillId="15" borderId="12" xfId="3" applyNumberFormat="1" applyBorder="1" applyAlignment="1">
      <alignment horizontal="center" vertical="center"/>
    </xf>
    <xf numFmtId="0" fontId="22" fillId="15" borderId="12" xfId="3" applyFont="1" applyBorder="1" applyAlignment="1">
      <alignment horizontal="center" vertical="center"/>
    </xf>
    <xf numFmtId="0" fontId="1" fillId="16" borderId="12" xfId="4" applyBorder="1"/>
    <xf numFmtId="0" fontId="22" fillId="16" borderId="12" xfId="4" applyFont="1" applyBorder="1" applyAlignment="1">
      <alignment horizontal="center" vertical="center"/>
    </xf>
    <xf numFmtId="0" fontId="22" fillId="16" borderId="12" xfId="4" applyFont="1" applyBorder="1" applyAlignment="1">
      <alignment horizontal="left" vertical="center"/>
    </xf>
    <xf numFmtId="0" fontId="22" fillId="16" borderId="12" xfId="4" applyFont="1" applyBorder="1"/>
    <xf numFmtId="0" fontId="22" fillId="16" borderId="12" xfId="4" applyFont="1" applyBorder="1" applyAlignment="1">
      <alignment horizontal="center"/>
    </xf>
    <xf numFmtId="0" fontId="21" fillId="14" borderId="18" xfId="2" applyBorder="1" applyAlignment="1">
      <alignment vertical="center" wrapText="1"/>
    </xf>
    <xf numFmtId="166" fontId="21" fillId="14" borderId="12" xfId="2" applyNumberFormat="1" applyBorder="1" applyAlignment="1">
      <alignment vertical="center" wrapText="1"/>
    </xf>
    <xf numFmtId="10" fontId="21" fillId="14" borderId="12" xfId="2" applyNumberFormat="1" applyBorder="1" applyAlignment="1">
      <alignment vertical="center" wrapText="1"/>
    </xf>
    <xf numFmtId="10" fontId="21" fillId="14" borderId="12" xfId="2" applyNumberFormat="1" applyBorder="1"/>
    <xf numFmtId="0" fontId="21" fillId="14" borderId="16" xfId="2" applyBorder="1"/>
    <xf numFmtId="0" fontId="21" fillId="14" borderId="12" xfId="2" applyBorder="1" applyAlignment="1">
      <alignment vertical="center" wrapText="1"/>
    </xf>
    <xf numFmtId="0" fontId="21" fillId="14" borderId="12" xfId="2" applyBorder="1"/>
    <xf numFmtId="0" fontId="21" fillId="14" borderId="22" xfId="2" applyBorder="1" applyAlignment="1">
      <alignment vertical="center" wrapText="1"/>
    </xf>
    <xf numFmtId="0" fontId="21" fillId="14" borderId="19" xfId="2" applyBorder="1" applyAlignment="1">
      <alignment vertical="center" wrapText="1"/>
    </xf>
    <xf numFmtId="10" fontId="21" fillId="14" borderId="19" xfId="2" applyNumberFormat="1" applyBorder="1" applyAlignment="1">
      <alignment vertical="center" wrapText="1"/>
    </xf>
    <xf numFmtId="0" fontId="21" fillId="14" borderId="19" xfId="2" applyBorder="1"/>
    <xf numFmtId="0" fontId="21" fillId="14" borderId="23" xfId="2" applyBorder="1"/>
    <xf numFmtId="9" fontId="21" fillId="14" borderId="12" xfId="2" applyNumberFormat="1" applyBorder="1" applyAlignment="1">
      <alignment horizontal="center"/>
    </xf>
    <xf numFmtId="164" fontId="21" fillId="14" borderId="12" xfId="2" applyNumberFormat="1" applyBorder="1"/>
    <xf numFmtId="10" fontId="21" fillId="14" borderId="2" xfId="2" applyNumberFormat="1" applyBorder="1" applyAlignment="1">
      <alignment horizontal="center"/>
    </xf>
    <xf numFmtId="9" fontId="21" fillId="14" borderId="2" xfId="2" applyNumberFormat="1" applyBorder="1" applyAlignment="1">
      <alignment horizontal="center"/>
    </xf>
    <xf numFmtId="0" fontId="21" fillId="14" borderId="2" xfId="2" applyBorder="1"/>
    <xf numFmtId="10" fontId="21" fillId="14" borderId="12" xfId="2" applyNumberFormat="1" applyBorder="1" applyAlignment="1"/>
    <xf numFmtId="0" fontId="20" fillId="9" borderId="0" xfId="0" applyFont="1" applyFill="1" applyAlignment="1">
      <alignment horizontal="center"/>
    </xf>
    <xf numFmtId="0" fontId="26" fillId="0" borderId="0" xfId="0" applyFont="1" applyAlignment="1">
      <alignment horizontal="center"/>
    </xf>
    <xf numFmtId="165" fontId="1" fillId="15" borderId="12" xfId="3" applyNumberFormat="1" applyBorder="1" applyAlignment="1">
      <alignment horizontal="center" vertical="center"/>
    </xf>
    <xf numFmtId="0" fontId="22" fillId="15" borderId="12" xfId="3" applyFont="1" applyBorder="1" applyAlignment="1">
      <alignment horizontal="center" vertical="center"/>
    </xf>
    <xf numFmtId="10" fontId="1" fillId="15" borderId="12" xfId="3" applyNumberFormat="1" applyBorder="1" applyAlignment="1">
      <alignment horizontal="center" vertical="center"/>
    </xf>
    <xf numFmtId="0" fontId="24" fillId="17" borderId="15" xfId="0" applyFont="1" applyFill="1" applyBorder="1" applyAlignment="1">
      <alignment horizontal="center" vertical="center"/>
    </xf>
    <xf numFmtId="0" fontId="24" fillId="17" borderId="0" xfId="0" applyFont="1" applyFill="1" applyAlignment="1">
      <alignment horizontal="center" vertical="center"/>
    </xf>
    <xf numFmtId="0" fontId="17" fillId="17" borderId="14" xfId="0" applyFont="1" applyFill="1" applyBorder="1" applyAlignment="1">
      <alignment horizontal="center" vertical="center"/>
    </xf>
    <xf numFmtId="0" fontId="8" fillId="10" borderId="4" xfId="1" applyFont="1" applyFill="1" applyBorder="1" applyAlignment="1">
      <alignment horizontal="center" vertical="center"/>
    </xf>
    <xf numFmtId="0" fontId="6" fillId="10" borderId="4" xfId="1" applyFont="1" applyFill="1" applyBorder="1" applyAlignment="1">
      <alignment horizontal="center" vertical="center"/>
    </xf>
    <xf numFmtId="0" fontId="22" fillId="16" borderId="12" xfId="4" applyFont="1" applyBorder="1" applyAlignment="1">
      <alignment horizontal="center" vertical="center"/>
    </xf>
    <xf numFmtId="164" fontId="22" fillId="16" borderId="12" xfId="4" applyNumberFormat="1" applyFont="1" applyBorder="1" applyAlignment="1">
      <alignment horizontal="center" vertical="center"/>
    </xf>
    <xf numFmtId="0" fontId="8" fillId="4" borderId="6" xfId="1" applyFont="1" applyFill="1" applyBorder="1" applyAlignment="1">
      <alignment horizontal="center" vertical="center"/>
    </xf>
    <xf numFmtId="0" fontId="8" fillId="4" borderId="7" xfId="1" applyFont="1" applyFill="1" applyBorder="1" applyAlignment="1">
      <alignment horizontal="center" vertical="center"/>
    </xf>
    <xf numFmtId="0" fontId="8" fillId="4" borderId="8" xfId="1" applyFont="1" applyFill="1" applyBorder="1" applyAlignment="1">
      <alignment horizontal="center" vertical="center"/>
    </xf>
    <xf numFmtId="164" fontId="22" fillId="16" borderId="12" xfId="4" applyNumberFormat="1" applyFont="1" applyBorder="1" applyAlignment="1">
      <alignment horizontal="center"/>
    </xf>
    <xf numFmtId="0" fontId="22" fillId="16" borderId="12" xfId="4" applyFont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22" fillId="16" borderId="12" xfId="4" applyNumberFormat="1" applyFont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4" fillId="11" borderId="0" xfId="0" applyFont="1" applyFill="1" applyAlignment="1">
      <alignment horizontal="center" vertical="center"/>
    </xf>
    <xf numFmtId="0" fontId="1" fillId="16" borderId="12" xfId="4" applyBorder="1" applyAlignment="1">
      <alignment horizontal="center"/>
    </xf>
    <xf numFmtId="0" fontId="25" fillId="16" borderId="12" xfId="4" applyFont="1" applyBorder="1" applyAlignment="1">
      <alignment horizontal="left"/>
    </xf>
    <xf numFmtId="0" fontId="1" fillId="16" borderId="12" xfId="4" applyBorder="1" applyAlignment="1">
      <alignment horizontal="left"/>
    </xf>
    <xf numFmtId="0" fontId="21" fillId="14" borderId="16" xfId="2" applyBorder="1" applyAlignment="1">
      <alignment horizontal="center"/>
    </xf>
    <xf numFmtId="0" fontId="21" fillId="14" borderId="18" xfId="2" applyBorder="1" applyAlignment="1">
      <alignment horizontal="center"/>
    </xf>
    <xf numFmtId="0" fontId="11" fillId="7" borderId="0" xfId="0" applyFont="1" applyFill="1" applyAlignment="1">
      <alignment horizontal="center"/>
    </xf>
    <xf numFmtId="0" fontId="11" fillId="7" borderId="2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21" fillId="14" borderId="17" xfId="2" applyBorder="1" applyAlignment="1">
      <alignment horizontal="center"/>
    </xf>
    <xf numFmtId="0" fontId="21" fillId="14" borderId="2" xfId="2" applyBorder="1" applyAlignment="1">
      <alignment horizontal="center"/>
    </xf>
    <xf numFmtId="0" fontId="21" fillId="14" borderId="12" xfId="2" applyBorder="1" applyAlignment="1">
      <alignment horizontal="center"/>
    </xf>
  </cellXfs>
  <cellStyles count="5">
    <cellStyle name="40% - Accent3" xfId="3" builtinId="39"/>
    <cellStyle name="60% - Accent3" xfId="4" builtinId="40"/>
    <cellStyle name="Good" xfId="2" builtinId="26"/>
    <cellStyle name="Normal" xfId="0" builtinId="0"/>
    <cellStyle name="Normal 2" xfId="1" xr:uid="{00000000-0005-0000-0000-000001000000}"/>
  </cellStyles>
  <dxfs count="1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.0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67326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2F9EE"/>
      <rgbColor rgb="FFCCFFFF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Allied Bank limited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sheet2!$E$3</c:f>
              <c:strCache>
                <c:ptCount val="1"/>
                <c:pt idx="0">
                  <c:v>INDEX RETURN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>
                <a:gsLst>
                  <a:gs pos="0">
                    <a:schemeClr val="accent1">
                      <a:tint val="50000"/>
                    </a:schemeClr>
                  </a:gs>
                  <a:gs pos="35000">
                    <a:schemeClr val="accent1">
                      <a:tint val="37000"/>
                    </a:schemeClr>
                  </a:gs>
                  <a:gs pos="100000">
                    <a:schemeClr val="accent1">
                      <a:tint val="15000"/>
                    </a:schemeClr>
                  </a:gs>
                </a:gsLst>
                <a:lin ang="16200000" scaled="1"/>
                <a:tileRect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sheet2!$D$4:$D$1699</c:f>
              <c:numCache>
                <c:formatCode>0.0000%</c:formatCode>
                <c:ptCount val="1696"/>
                <c:pt idx="0">
                  <c:v>-1.3114037484289421E-3</c:v>
                </c:pt>
                <c:pt idx="1">
                  <c:v>1.8612799036514119E-3</c:v>
                </c:pt>
                <c:pt idx="2">
                  <c:v>3.1852380690866279E-3</c:v>
                </c:pt>
                <c:pt idx="3">
                  <c:v>5.6331805379135711E-3</c:v>
                </c:pt>
                <c:pt idx="4">
                  <c:v>2.9356375318489044E-3</c:v>
                </c:pt>
                <c:pt idx="5">
                  <c:v>1.55331188283591E-3</c:v>
                </c:pt>
                <c:pt idx="6">
                  <c:v>-8.3143949891916022E-4</c:v>
                </c:pt>
                <c:pt idx="7">
                  <c:v>-1.1885201007777499E-2</c:v>
                </c:pt>
                <c:pt idx="8">
                  <c:v>1.455879084240945E-2</c:v>
                </c:pt>
                <c:pt idx="9">
                  <c:v>8.3421389244205373E-4</c:v>
                </c:pt>
                <c:pt idx="10">
                  <c:v>-1.5547781664723257E-3</c:v>
                </c:pt>
                <c:pt idx="11">
                  <c:v>-9.7872106449661909E-3</c:v>
                </c:pt>
                <c:pt idx="12">
                  <c:v>-4.7063974169538952E-3</c:v>
                </c:pt>
                <c:pt idx="13">
                  <c:v>-1.6936188811188936E-3</c:v>
                </c:pt>
                <c:pt idx="14">
                  <c:v>4.3725404459982555E-4</c:v>
                </c:pt>
                <c:pt idx="15">
                  <c:v>6.9899278991689701E-3</c:v>
                </c:pt>
                <c:pt idx="16">
                  <c:v>1.5652076695175873E-2</c:v>
                </c:pt>
                <c:pt idx="17">
                  <c:v>-6.1114506361465782E-3</c:v>
                </c:pt>
                <c:pt idx="18">
                  <c:v>1.9483411266979669E-3</c:v>
                </c:pt>
                <c:pt idx="19">
                  <c:v>-1.5077581007730689E-2</c:v>
                </c:pt>
                <c:pt idx="20">
                  <c:v>-9.8592320753687255E-4</c:v>
                </c:pt>
                <c:pt idx="21">
                  <c:v>9.5106441802598786E-3</c:v>
                </c:pt>
                <c:pt idx="22">
                  <c:v>1.7554717830416951E-2</c:v>
                </c:pt>
                <c:pt idx="23">
                  <c:v>1.1553784860557775E-2</c:v>
                </c:pt>
                <c:pt idx="24">
                  <c:v>1.2537041258262986E-3</c:v>
                </c:pt>
                <c:pt idx="25">
                  <c:v>-1.0815734046792152E-3</c:v>
                </c:pt>
                <c:pt idx="26">
                  <c:v>5.1496252217198444E-3</c:v>
                </c:pt>
                <c:pt idx="27">
                  <c:v>3.8483630097645946E-3</c:v>
                </c:pt>
                <c:pt idx="28">
                  <c:v>6.0676105171914643E-3</c:v>
                </c:pt>
                <c:pt idx="29">
                  <c:v>-2.3636573273376951E-3</c:v>
                </c:pt>
                <c:pt idx="30">
                  <c:v>-6.9273487147190685E-3</c:v>
                </c:pt>
                <c:pt idx="31">
                  <c:v>9.4781251806044398E-3</c:v>
                </c:pt>
                <c:pt idx="32">
                  <c:v>9.038954980172681E-3</c:v>
                </c:pt>
                <c:pt idx="33">
                  <c:v>4.5105734872004088E-3</c:v>
                </c:pt>
                <c:pt idx="34">
                  <c:v>-1.4604017547910419E-2</c:v>
                </c:pt>
                <c:pt idx="35">
                  <c:v>-3.4013605442176839E-2</c:v>
                </c:pt>
                <c:pt idx="36">
                  <c:v>-7.4164268319681387E-3</c:v>
                </c:pt>
                <c:pt idx="37">
                  <c:v>-1.4132154744366254E-2</c:v>
                </c:pt>
                <c:pt idx="38">
                  <c:v>3.8209606986911354E-4</c:v>
                </c:pt>
                <c:pt idx="39">
                  <c:v>-5.9145911335395486E-3</c:v>
                </c:pt>
                <c:pt idx="40">
                  <c:v>-7.004687752572937E-3</c:v>
                </c:pt>
                <c:pt idx="41">
                  <c:v>4.0032458750338604E-3</c:v>
                </c:pt>
                <c:pt idx="42">
                  <c:v>1.0330126803672859E-2</c:v>
                </c:pt>
                <c:pt idx="43">
                  <c:v>-7.8091106290672325E-3</c:v>
                </c:pt>
                <c:pt idx="44">
                  <c:v>-1.3640010698047517E-2</c:v>
                </c:pt>
                <c:pt idx="45">
                  <c:v>-1.7293944491169156E-2</c:v>
                </c:pt>
                <c:pt idx="46">
                  <c:v>2.265423318054933E-3</c:v>
                </c:pt>
                <c:pt idx="47">
                  <c:v>-2.084085633221559E-2</c:v>
                </c:pt>
                <c:pt idx="48">
                  <c:v>-4.4367759428148877E-2</c:v>
                </c:pt>
                <c:pt idx="49">
                  <c:v>-1.7485227162646583E-2</c:v>
                </c:pt>
                <c:pt idx="50">
                  <c:v>3.8763446070361716E-4</c:v>
                </c:pt>
                <c:pt idx="51">
                  <c:v>1.8908911379906117E-2</c:v>
                </c:pt>
                <c:pt idx="52">
                  <c:v>-1.7748896755734427E-2</c:v>
                </c:pt>
                <c:pt idx="53">
                  <c:v>1.4569472099461482E-3</c:v>
                </c:pt>
                <c:pt idx="54">
                  <c:v>5.373317639834195E-2</c:v>
                </c:pt>
                <c:pt idx="55">
                  <c:v>3.7593585727180925E-2</c:v>
                </c:pt>
                <c:pt idx="56">
                  <c:v>-3.8396732193004761E-2</c:v>
                </c:pt>
                <c:pt idx="57">
                  <c:v>-1.0558755178336886E-2</c:v>
                </c:pt>
                <c:pt idx="58">
                  <c:v>2.5324149108589952E-3</c:v>
                </c:pt>
                <c:pt idx="59">
                  <c:v>-4.5878497605243082E-3</c:v>
                </c:pt>
                <c:pt idx="60">
                  <c:v>6.542407477037121E-2</c:v>
                </c:pt>
                <c:pt idx="61">
                  <c:v>9.9820973254487865E-3</c:v>
                </c:pt>
                <c:pt idx="62">
                  <c:v>-4.3881944084236631E-2</c:v>
                </c:pt>
                <c:pt idx="63">
                  <c:v>0.10002282323405227</c:v>
                </c:pt>
                <c:pt idx="64">
                  <c:v>1.93683475833187E-2</c:v>
                </c:pt>
                <c:pt idx="65">
                  <c:v>1.0936673134591719E-2</c:v>
                </c:pt>
                <c:pt idx="66">
                  <c:v>1.0997503269527965E-2</c:v>
                </c:pt>
                <c:pt idx="67">
                  <c:v>-8.9089505256284183E-4</c:v>
                </c:pt>
                <c:pt idx="68">
                  <c:v>2.3762846789040598E-4</c:v>
                </c:pt>
                <c:pt idx="69">
                  <c:v>3.4575260804769747E-3</c:v>
                </c:pt>
                <c:pt idx="70">
                  <c:v>-7.9247737891064134E-3</c:v>
                </c:pt>
                <c:pt idx="71">
                  <c:v>-5.7038692226273014E-3</c:v>
                </c:pt>
                <c:pt idx="72">
                  <c:v>-9.4361602982292892E-3</c:v>
                </c:pt>
                <c:pt idx="73">
                  <c:v>4.622856808473407E-3</c:v>
                </c:pt>
                <c:pt idx="74">
                  <c:v>-6.4327485380124942E-4</c:v>
                </c:pt>
                <c:pt idx="75">
                  <c:v>-3.4384288128679026E-3</c:v>
                </c:pt>
                <c:pt idx="76">
                  <c:v>1.7514157277133014E-3</c:v>
                </c:pt>
                <c:pt idx="77">
                  <c:v>-6.1502756019727435E-3</c:v>
                </c:pt>
                <c:pt idx="78">
                  <c:v>-5.7113187954309971E-3</c:v>
                </c:pt>
                <c:pt idx="79">
                  <c:v>-1.9001554672654121E-3</c:v>
                </c:pt>
                <c:pt idx="80">
                  <c:v>-2.0686088605413643E-3</c:v>
                </c:pt>
                <c:pt idx="81">
                  <c:v>-3.4928996793402731E-3</c:v>
                </c:pt>
                <c:pt idx="82">
                  <c:v>3.15928542707785E-3</c:v>
                </c:pt>
                <c:pt idx="83">
                  <c:v>-2.8067361668003728E-3</c:v>
                </c:pt>
                <c:pt idx="84">
                  <c:v>-2.6849471579548632E-3</c:v>
                </c:pt>
                <c:pt idx="85">
                  <c:v>-1.2467561773665687E-2</c:v>
                </c:pt>
                <c:pt idx="86">
                  <c:v>1.1284134506873059E-4</c:v>
                </c:pt>
                <c:pt idx="87">
                  <c:v>-9.3896713615022279E-3</c:v>
                </c:pt>
                <c:pt idx="88">
                  <c:v>-1.0890596495107518E-2</c:v>
                </c:pt>
                <c:pt idx="89">
                  <c:v>-8.2241350951258296E-3</c:v>
                </c:pt>
                <c:pt idx="90">
                  <c:v>-1.676549865229118E-2</c:v>
                </c:pt>
                <c:pt idx="91">
                  <c:v>-8.1805058012083681E-3</c:v>
                </c:pt>
                <c:pt idx="92">
                  <c:v>1.499330655957168E-3</c:v>
                </c:pt>
                <c:pt idx="93">
                  <c:v>-3.2734241466825471E-2</c:v>
                </c:pt>
                <c:pt idx="94">
                  <c:v>1.1632171862719408E-2</c:v>
                </c:pt>
                <c:pt idx="95">
                  <c:v>7.442989864864847E-3</c:v>
                </c:pt>
                <c:pt idx="96">
                  <c:v>7.3956682514519998E-4</c:v>
                </c:pt>
                <c:pt idx="97">
                  <c:v>1.1758417958311155E-2</c:v>
                </c:pt>
                <c:pt idx="98">
                  <c:v>-2.6652452025586353E-3</c:v>
                </c:pt>
                <c:pt idx="99">
                  <c:v>-6.4085588687040305E-3</c:v>
                </c:pt>
                <c:pt idx="100">
                  <c:v>1.0273422869067452E-2</c:v>
                </c:pt>
                <c:pt idx="101">
                  <c:v>1.6054800385300607E-4</c:v>
                </c:pt>
                <c:pt idx="102">
                  <c:v>-4.5282616802514216E-3</c:v>
                </c:pt>
                <c:pt idx="103">
                  <c:v>1.78397136969961E-2</c:v>
                </c:pt>
                <c:pt idx="104">
                  <c:v>-7.0441614738566164E-4</c:v>
                </c:pt>
                <c:pt idx="105">
                  <c:v>6.3253176290965982E-3</c:v>
                </c:pt>
                <c:pt idx="106">
                  <c:v>7.0937465895446611E-4</c:v>
                </c:pt>
                <c:pt idx="107">
                  <c:v>3.7243947858471814E-3</c:v>
                </c:pt>
                <c:pt idx="108">
                  <c:v>2.8272133363370186E-2</c:v>
                </c:pt>
                <c:pt idx="109">
                  <c:v>-9.096489759473159E-3</c:v>
                </c:pt>
                <c:pt idx="110">
                  <c:v>-4.8531832421812852E-2</c:v>
                </c:pt>
                <c:pt idx="111">
                  <c:v>-3.9328708426851558E-2</c:v>
                </c:pt>
                <c:pt idx="112">
                  <c:v>-4.4266770670826891E-2</c:v>
                </c:pt>
                <c:pt idx="113">
                  <c:v>-4.1751626371491664E-3</c:v>
                </c:pt>
                <c:pt idx="114">
                  <c:v>1.9047147875129841E-2</c:v>
                </c:pt>
                <c:pt idx="115">
                  <c:v>-1.6792611251049707E-3</c:v>
                </c:pt>
                <c:pt idx="116">
                  <c:v>-3.3878894879992343E-2</c:v>
                </c:pt>
                <c:pt idx="117">
                  <c:v>2.030185004868543E-2</c:v>
                </c:pt>
                <c:pt idx="118">
                  <c:v>3.3615136876006473E-2</c:v>
                </c:pt>
                <c:pt idx="119">
                  <c:v>9.9966788442377968E-2</c:v>
                </c:pt>
                <c:pt idx="120">
                  <c:v>9.9975645396979951E-2</c:v>
                </c:pt>
                <c:pt idx="121">
                  <c:v>-3.3256813232091224E-2</c:v>
                </c:pt>
                <c:pt idx="122">
                  <c:v>7.7707913156956562E-3</c:v>
                </c:pt>
                <c:pt idx="123">
                  <c:v>-8.2946055650332164E-3</c:v>
                </c:pt>
                <c:pt idx="124">
                  <c:v>1.3534462198902995E-2</c:v>
                </c:pt>
                <c:pt idx="125">
                  <c:v>3.4223345871616281E-2</c:v>
                </c:pt>
                <c:pt idx="126">
                  <c:v>3.286414878033244E-2</c:v>
                </c:pt>
                <c:pt idx="127">
                  <c:v>1.3294611164891916E-2</c:v>
                </c:pt>
                <c:pt idx="128">
                  <c:v>2.751989389920409E-2</c:v>
                </c:pt>
                <c:pt idx="129">
                  <c:v>6.9503546099290867E-2</c:v>
                </c:pt>
                <c:pt idx="130">
                  <c:v>-2.0525161016348792E-3</c:v>
                </c:pt>
                <c:pt idx="131">
                  <c:v>4.3269585763863139E-2</c:v>
                </c:pt>
                <c:pt idx="132">
                  <c:v>-4.5057114652376155E-2</c:v>
                </c:pt>
                <c:pt idx="133">
                  <c:v>3.3296903460837836E-2</c:v>
                </c:pt>
                <c:pt idx="134">
                  <c:v>2.483383244467193E-3</c:v>
                </c:pt>
                <c:pt idx="135">
                  <c:v>-2.8386913632815272E-2</c:v>
                </c:pt>
                <c:pt idx="136">
                  <c:v>4.204675028506296E-3</c:v>
                </c:pt>
                <c:pt idx="137">
                  <c:v>-1.7298130121156937E-2</c:v>
                </c:pt>
                <c:pt idx="138">
                  <c:v>-2.218722180373902E-2</c:v>
                </c:pt>
                <c:pt idx="139">
                  <c:v>1.9976252008102352E-2</c:v>
                </c:pt>
                <c:pt idx="140">
                  <c:v>3.3270785219399433E-2</c:v>
                </c:pt>
                <c:pt idx="141">
                  <c:v>-2.9352014010507865E-2</c:v>
                </c:pt>
                <c:pt idx="142">
                  <c:v>7.6944797402230935E-3</c:v>
                </c:pt>
                <c:pt idx="143">
                  <c:v>1.8990073370737923E-2</c:v>
                </c:pt>
                <c:pt idx="144">
                  <c:v>2.970150359232664E-2</c:v>
                </c:pt>
                <c:pt idx="145">
                  <c:v>-1.9107817494914237E-2</c:v>
                </c:pt>
                <c:pt idx="146">
                  <c:v>6.6976744186046405E-2</c:v>
                </c:pt>
                <c:pt idx="147">
                  <c:v>7.1043797330002075E-3</c:v>
                </c:pt>
                <c:pt idx="148">
                  <c:v>-1.2565525747764381E-2</c:v>
                </c:pt>
                <c:pt idx="149">
                  <c:v>1.8290289661668877E-2</c:v>
                </c:pt>
                <c:pt idx="150">
                  <c:v>-1.6457680250783211E-3</c:v>
                </c:pt>
                <c:pt idx="151">
                  <c:v>-2.657495701109922E-3</c:v>
                </c:pt>
                <c:pt idx="152">
                  <c:v>-5.468322787281711E-4</c:v>
                </c:pt>
                <c:pt idx="153">
                  <c:v>-7.0257611241220466E-4</c:v>
                </c:pt>
                <c:pt idx="154">
                  <c:v>-1.091703056768674E-3</c:v>
                </c:pt>
                <c:pt idx="155">
                  <c:v>-5.5831265508684775E-3</c:v>
                </c:pt>
                <c:pt idx="156">
                  <c:v>-1.0844306738960988E-3</c:v>
                </c:pt>
                <c:pt idx="157">
                  <c:v>8.3574162305709073E-3</c:v>
                </c:pt>
                <c:pt idx="158">
                  <c:v>1.4862327909887182E-3</c:v>
                </c:pt>
                <c:pt idx="159">
                  <c:v>6.3764465086987507E-3</c:v>
                </c:pt>
                <c:pt idx="160">
                  <c:v>-6.3360450563204182E-3</c:v>
                </c:pt>
                <c:pt idx="161">
                  <c:v>-2.5089605734766967E-2</c:v>
                </c:pt>
                <c:pt idx="162">
                  <c:v>4.7029702970297037E-2</c:v>
                </c:pt>
                <c:pt idx="163">
                  <c:v>1.9199999999999591E-3</c:v>
                </c:pt>
                <c:pt idx="164">
                  <c:v>-2.3994241382069214E-4</c:v>
                </c:pt>
                <c:pt idx="165">
                  <c:v>-2.9797470318926076E-2</c:v>
                </c:pt>
                <c:pt idx="166">
                  <c:v>-8.6923076923076572E-3</c:v>
                </c:pt>
                <c:pt idx="167">
                  <c:v>-3.5822888081287634E-2</c:v>
                </c:pt>
                <c:pt idx="168">
                  <c:v>5.5936754176610978E-3</c:v>
                </c:pt>
                <c:pt idx="169">
                  <c:v>-1.7124562579107271E-3</c:v>
                </c:pt>
                <c:pt idx="170">
                  <c:v>1.9198664440734568E-2</c:v>
                </c:pt>
                <c:pt idx="171">
                  <c:v>1.3770290022309346E-2</c:v>
                </c:pt>
                <c:pt idx="172">
                  <c:v>1.5388166499969401E-4</c:v>
                </c:pt>
                <c:pt idx="173">
                  <c:v>-2.7622189825827793E-3</c:v>
                </c:pt>
                <c:pt idx="174">
                  <c:v>-1.1902956785443465E-2</c:v>
                </c:pt>
                <c:pt idx="175">
                  <c:v>1.0625379477839617E-3</c:v>
                </c:pt>
                <c:pt idx="176">
                  <c:v>3.0421521858137061E-2</c:v>
                </c:pt>
                <c:pt idx="177">
                  <c:v>-1.5475823837388289E-2</c:v>
                </c:pt>
                <c:pt idx="178">
                  <c:v>-1.6910069177555639E-3</c:v>
                </c:pt>
                <c:pt idx="179">
                  <c:v>-8.2329623418204937E-3</c:v>
                </c:pt>
                <c:pt idx="180">
                  <c:v>-2.0898641588296636E-2</c:v>
                </c:pt>
                <c:pt idx="181">
                  <c:v>7.3684210526315016E-3</c:v>
                </c:pt>
                <c:pt idx="182">
                  <c:v>-7.3886110903799464E-3</c:v>
                </c:pt>
                <c:pt idx="183">
                  <c:v>-3.7302297821533088E-4</c:v>
                </c:pt>
                <c:pt idx="184">
                  <c:v>2.2386389075442981E-4</c:v>
                </c:pt>
                <c:pt idx="185">
                  <c:v>7.1396362543212728E-3</c:v>
                </c:pt>
                <c:pt idx="186">
                  <c:v>-2.6912388474477158E-2</c:v>
                </c:pt>
                <c:pt idx="187">
                  <c:v>7.7382268405926111E-3</c:v>
                </c:pt>
                <c:pt idx="188">
                  <c:v>1.1856823266219266E-2</c:v>
                </c:pt>
                <c:pt idx="189">
                  <c:v>4.4943820224718671E-3</c:v>
                </c:pt>
                <c:pt idx="190">
                  <c:v>-3.3594624860021549E-3</c:v>
                </c:pt>
                <c:pt idx="191">
                  <c:v>-1.3419816595840366E-3</c:v>
                </c:pt>
                <c:pt idx="192">
                  <c:v>-5.7079318013343976E-3</c:v>
                </c:pt>
                <c:pt idx="193">
                  <c:v>3.7078235076018815E-4</c:v>
                </c:pt>
                <c:pt idx="194">
                  <c:v>-8.8908646365862449E-4</c:v>
                </c:pt>
                <c:pt idx="195">
                  <c:v>1.063272182703098E-2</c:v>
                </c:pt>
                <c:pt idx="196">
                  <c:v>-1.0667456848655438E-2</c:v>
                </c:pt>
                <c:pt idx="197">
                  <c:v>3.4939042521558044E-3</c:v>
                </c:pt>
                <c:pt idx="198">
                  <c:v>1.4173703256936249E-2</c:v>
                </c:pt>
                <c:pt idx="199">
                  <c:v>-2.4777589883096866E-2</c:v>
                </c:pt>
                <c:pt idx="200">
                  <c:v>-7.8780363265009302E-3</c:v>
                </c:pt>
                <c:pt idx="201">
                  <c:v>-2.4739867568944435E-3</c:v>
                </c:pt>
                <c:pt idx="202">
                  <c:v>-1.136608877059193E-2</c:v>
                </c:pt>
                <c:pt idx="203">
                  <c:v>9.8801307664365071E-3</c:v>
                </c:pt>
                <c:pt idx="204">
                  <c:v>3.6456434560699961E-3</c:v>
                </c:pt>
                <c:pt idx="205">
                  <c:v>-9.7472924187725213E-3</c:v>
                </c:pt>
                <c:pt idx="206">
                  <c:v>8.1525695152133097E-3</c:v>
                </c:pt>
                <c:pt idx="207">
                  <c:v>2.1842009464871596E-4</c:v>
                </c:pt>
                <c:pt idx="208">
                  <c:v>-1.0090090090090131E-2</c:v>
                </c:pt>
                <c:pt idx="209">
                  <c:v>-8.6453272363532993E-3</c:v>
                </c:pt>
                <c:pt idx="210">
                  <c:v>-2.1430102150154392E-4</c:v>
                </c:pt>
                <c:pt idx="211">
                  <c:v>2.1452024808464046E-2</c:v>
                </c:pt>
                <c:pt idx="212">
                  <c:v>-7.6750416334805749E-3</c:v>
                </c:pt>
                <c:pt idx="213">
                  <c:v>-2.1674734484501334E-3</c:v>
                </c:pt>
                <c:pt idx="214">
                  <c:v>7.3508005822415642E-3</c:v>
                </c:pt>
                <c:pt idx="215">
                  <c:v>1.4546260060547876E-2</c:v>
                </c:pt>
                <c:pt idx="216">
                  <c:v>4.0168970814132246E-2</c:v>
                </c:pt>
                <c:pt idx="217">
                  <c:v>-6.9933566683334669E-2</c:v>
                </c:pt>
                <c:pt idx="218">
                  <c:v>4.8812002009906456E-3</c:v>
                </c:pt>
                <c:pt idx="219">
                  <c:v>-4.8574898207015271E-3</c:v>
                </c:pt>
                <c:pt idx="220">
                  <c:v>9.2950092950089692E-4</c:v>
                </c:pt>
                <c:pt idx="221">
                  <c:v>-7.8588268914756888E-4</c:v>
                </c:pt>
                <c:pt idx="222">
                  <c:v>3.2972546770841374E-3</c:v>
                </c:pt>
                <c:pt idx="223">
                  <c:v>-7.7524893314367248E-3</c:v>
                </c:pt>
                <c:pt idx="224">
                  <c:v>-6.6412321605199788E-3</c:v>
                </c:pt>
                <c:pt idx="225">
                  <c:v>-1.8174250832408468E-2</c:v>
                </c:pt>
                <c:pt idx="226">
                  <c:v>4.6693149348385771E-3</c:v>
                </c:pt>
                <c:pt idx="227">
                  <c:v>1.7803943821818834E-2</c:v>
                </c:pt>
                <c:pt idx="228">
                  <c:v>-3.6749116607774574E-3</c:v>
                </c:pt>
                <c:pt idx="229">
                  <c:v>2.2177273712345541E-2</c:v>
                </c:pt>
                <c:pt idx="230">
                  <c:v>-9.0199727969073728E-3</c:v>
                </c:pt>
                <c:pt idx="231">
                  <c:v>-2.356806170547154E-3</c:v>
                </c:pt>
                <c:pt idx="232">
                  <c:v>4.3755828132846543E-3</c:v>
                </c:pt>
                <c:pt idx="233">
                  <c:v>-4.214285714285739E-3</c:v>
                </c:pt>
                <c:pt idx="234">
                  <c:v>-6.5285268237296875E-3</c:v>
                </c:pt>
                <c:pt idx="235">
                  <c:v>2.9893238434162812E-3</c:v>
                </c:pt>
                <c:pt idx="236">
                  <c:v>2.8174167581412324E-2</c:v>
                </c:pt>
                <c:pt idx="237">
                  <c:v>6.259204712812918E-3</c:v>
                </c:pt>
                <c:pt idx="238">
                  <c:v>-1.379811183732736E-2</c:v>
                </c:pt>
                <c:pt idx="239">
                  <c:v>5.1828600627781551E-3</c:v>
                </c:pt>
                <c:pt idx="240">
                  <c:v>1.129484718736159E-2</c:v>
                </c:pt>
                <c:pt idx="241">
                  <c:v>-1.5478735166210625E-3</c:v>
                </c:pt>
                <c:pt idx="242">
                  <c:v>4.424452474004413E-4</c:v>
                </c:pt>
                <c:pt idx="243">
                  <c:v>-3.2341051084160063E-3</c:v>
                </c:pt>
                <c:pt idx="244">
                  <c:v>1.5298507462686652E-2</c:v>
                </c:pt>
                <c:pt idx="245">
                  <c:v>-1.4705882352941176E-2</c:v>
                </c:pt>
                <c:pt idx="246">
                  <c:v>-1.4492753623188406E-2</c:v>
                </c:pt>
                <c:pt idx="247">
                  <c:v>-1.3510615483594156E-2</c:v>
                </c:pt>
                <c:pt idx="248">
                  <c:v>6.4028776978416286E-3</c:v>
                </c:pt>
                <c:pt idx="249">
                  <c:v>1.090909090909091E-2</c:v>
                </c:pt>
                <c:pt idx="250">
                  <c:v>-1.7786984784627539E-2</c:v>
                </c:pt>
                <c:pt idx="251">
                  <c:v>7.6846153846153911E-2</c:v>
                </c:pt>
                <c:pt idx="252">
                  <c:v>7.7519379844961239E-3</c:v>
                </c:pt>
                <c:pt idx="253">
                  <c:v>-2.2727272727272728E-2</c:v>
                </c:pt>
                <c:pt idx="254">
                  <c:v>-7.5187969924812026E-3</c:v>
                </c:pt>
                <c:pt idx="255">
                  <c:v>3.1007751937984496E-2</c:v>
                </c:pt>
                <c:pt idx="256">
                  <c:v>7.8912415032424809E-3</c:v>
                </c:pt>
                <c:pt idx="257">
                  <c:v>-1.4703618167821484E-2</c:v>
                </c:pt>
                <c:pt idx="258">
                  <c:v>-2.90754166978099E-2</c:v>
                </c:pt>
                <c:pt idx="259">
                  <c:v>3.0104712041884793E-2</c:v>
                </c:pt>
                <c:pt idx="260">
                  <c:v>-1.6060606060606095E-2</c:v>
                </c:pt>
                <c:pt idx="261">
                  <c:v>-5.0496331463098905E-2</c:v>
                </c:pt>
                <c:pt idx="262">
                  <c:v>-3.583715596330275E-3</c:v>
                </c:pt>
                <c:pt idx="263">
                  <c:v>-1.3923245459043034E-2</c:v>
                </c:pt>
                <c:pt idx="264">
                  <c:v>-4.0745762711864343E-2</c:v>
                </c:pt>
                <c:pt idx="265">
                  <c:v>-2.5695224255234735E-2</c:v>
                </c:pt>
                <c:pt idx="266">
                  <c:v>9.2666666666665759E-3</c:v>
                </c:pt>
                <c:pt idx="267">
                  <c:v>-6.6225165562913907E-3</c:v>
                </c:pt>
                <c:pt idx="268">
                  <c:v>6.6666666666666671E-3</c:v>
                </c:pt>
                <c:pt idx="269">
                  <c:v>0</c:v>
                </c:pt>
                <c:pt idx="270">
                  <c:v>3.4482758620689655E-2</c:v>
                </c:pt>
                <c:pt idx="271">
                  <c:v>3.4602076124567475E-3</c:v>
                </c:pt>
                <c:pt idx="272">
                  <c:v>8.7283671933784751E-2</c:v>
                </c:pt>
                <c:pt idx="273">
                  <c:v>5.5599682287529782E-2</c:v>
                </c:pt>
                <c:pt idx="274">
                  <c:v>3.1967213114754145E-2</c:v>
                </c:pt>
                <c:pt idx="275">
                  <c:v>1.6666666666666666E-2</c:v>
                </c:pt>
                <c:pt idx="276">
                  <c:v>4.3478260869565216E-2</c:v>
                </c:pt>
                <c:pt idx="277">
                  <c:v>4.3668122270742356E-3</c:v>
                </c:pt>
                <c:pt idx="278">
                  <c:v>-7.5409551876571427E-3</c:v>
                </c:pt>
                <c:pt idx="279">
                  <c:v>3.2173913043478655E-3</c:v>
                </c:pt>
                <c:pt idx="280">
                  <c:v>-4.329004329004329E-3</c:v>
                </c:pt>
                <c:pt idx="281">
                  <c:v>8.7336244541484712E-3</c:v>
                </c:pt>
                <c:pt idx="282">
                  <c:v>-2.6194010302978376E-4</c:v>
                </c:pt>
                <c:pt idx="283">
                  <c:v>-4.0869565217391208E-3</c:v>
                </c:pt>
                <c:pt idx="284">
                  <c:v>-8.7061460218947079E-3</c:v>
                </c:pt>
                <c:pt idx="285">
                  <c:v>-1.2053379250968623E-3</c:v>
                </c:pt>
                <c:pt idx="286">
                  <c:v>2.5835342748881449E-4</c:v>
                </c:pt>
                <c:pt idx="287">
                  <c:v>-3.8741721854304578E-2</c:v>
                </c:pt>
                <c:pt idx="288">
                  <c:v>-1.788617886178864E-2</c:v>
                </c:pt>
                <c:pt idx="289">
                  <c:v>8.1967213114754103E-3</c:v>
                </c:pt>
                <c:pt idx="290">
                  <c:v>1.6666666666666666E-2</c:v>
                </c:pt>
                <c:pt idx="291">
                  <c:v>8.4033613445378148E-3</c:v>
                </c:pt>
                <c:pt idx="292">
                  <c:v>-6.4289888953827845E-3</c:v>
                </c:pt>
                <c:pt idx="293">
                  <c:v>5.9723942665015045E-2</c:v>
                </c:pt>
                <c:pt idx="294">
                  <c:v>-7.9873606600545134E-3</c:v>
                </c:pt>
                <c:pt idx="295">
                  <c:v>-1.0594876248371679E-2</c:v>
                </c:pt>
                <c:pt idx="296">
                  <c:v>1.0353601825041737E-2</c:v>
                </c:pt>
                <c:pt idx="297">
                  <c:v>6.3576158940397247E-3</c:v>
                </c:pt>
                <c:pt idx="298">
                  <c:v>-6.1430451952611039E-3</c:v>
                </c:pt>
                <c:pt idx="299">
                  <c:v>8.4963271085937517E-3</c:v>
                </c:pt>
                <c:pt idx="300">
                  <c:v>8.9293686936333608E-3</c:v>
                </c:pt>
                <c:pt idx="301">
                  <c:v>8.9189189189188729E-3</c:v>
                </c:pt>
                <c:pt idx="302">
                  <c:v>-1.7699115044247787E-2</c:v>
                </c:pt>
                <c:pt idx="303">
                  <c:v>-4.4052863436123352E-3</c:v>
                </c:pt>
                <c:pt idx="304">
                  <c:v>4.4247787610619468E-3</c:v>
                </c:pt>
                <c:pt idx="305">
                  <c:v>0</c:v>
                </c:pt>
                <c:pt idx="306">
                  <c:v>-2.5862068965517241E-2</c:v>
                </c:pt>
                <c:pt idx="307">
                  <c:v>-1.6949152542372881E-2</c:v>
                </c:pt>
                <c:pt idx="308">
                  <c:v>3.8732394366197236E-2</c:v>
                </c:pt>
                <c:pt idx="309">
                  <c:v>1.4195161146326124E-2</c:v>
                </c:pt>
                <c:pt idx="310">
                  <c:v>8.9285714285759958E-5</c:v>
                </c:pt>
                <c:pt idx="311">
                  <c:v>9.0090090090090089E-3</c:v>
                </c:pt>
                <c:pt idx="312">
                  <c:v>-8.7515627790677262E-3</c:v>
                </c:pt>
                <c:pt idx="313">
                  <c:v>1.8000000000000037E-2</c:v>
                </c:pt>
                <c:pt idx="314">
                  <c:v>-9.0090090090090089E-3</c:v>
                </c:pt>
                <c:pt idx="315">
                  <c:v>-7.7768838830786138E-3</c:v>
                </c:pt>
                <c:pt idx="316">
                  <c:v>-1.1607142857142452E-3</c:v>
                </c:pt>
                <c:pt idx="317">
                  <c:v>4.4843049327354259E-3</c:v>
                </c:pt>
                <c:pt idx="318">
                  <c:v>5.5009468842997511E-3</c:v>
                </c:pt>
                <c:pt idx="319">
                  <c:v>2.828264094955487E-2</c:v>
                </c:pt>
                <c:pt idx="320">
                  <c:v>3.2561168480789706E-3</c:v>
                </c:pt>
                <c:pt idx="321">
                  <c:v>-1.2857011663146347E-2</c:v>
                </c:pt>
                <c:pt idx="322">
                  <c:v>-1.0091743119266003E-3</c:v>
                </c:pt>
                <c:pt idx="323">
                  <c:v>0</c:v>
                </c:pt>
                <c:pt idx="324">
                  <c:v>4.608294930875576E-3</c:v>
                </c:pt>
                <c:pt idx="325">
                  <c:v>-1.8399264029439082E-3</c:v>
                </c:pt>
                <c:pt idx="326">
                  <c:v>1.5887850467289747E-2</c:v>
                </c:pt>
                <c:pt idx="327">
                  <c:v>-9.2592592592592587E-3</c:v>
                </c:pt>
                <c:pt idx="328">
                  <c:v>-1.6393442622950793E-2</c:v>
                </c:pt>
                <c:pt idx="329">
                  <c:v>-1.9642857142857167E-2</c:v>
                </c:pt>
                <c:pt idx="330">
                  <c:v>3.2258064516129031E-2</c:v>
                </c:pt>
                <c:pt idx="331">
                  <c:v>9.3962229044562764E-3</c:v>
                </c:pt>
                <c:pt idx="332">
                  <c:v>1.4056603773584857E-2</c:v>
                </c:pt>
                <c:pt idx="333">
                  <c:v>-3.0901444505393998E-2</c:v>
                </c:pt>
                <c:pt idx="334">
                  <c:v>3.48623853211005E-3</c:v>
                </c:pt>
                <c:pt idx="335">
                  <c:v>-4.3859649122807015E-2</c:v>
                </c:pt>
                <c:pt idx="336">
                  <c:v>-1.2474012474012454E-2</c:v>
                </c:pt>
                <c:pt idx="337">
                  <c:v>-1.3840830449826694E-3</c:v>
                </c:pt>
                <c:pt idx="338">
                  <c:v>7.4074074074073583E-3</c:v>
                </c:pt>
                <c:pt idx="339">
                  <c:v>-8.724948168624784E-3</c:v>
                </c:pt>
                <c:pt idx="340">
                  <c:v>1.1004366812227119E-2</c:v>
                </c:pt>
                <c:pt idx="341">
                  <c:v>1.3274336283185841E-2</c:v>
                </c:pt>
                <c:pt idx="342">
                  <c:v>-1.5250544662309368E-2</c:v>
                </c:pt>
                <c:pt idx="343">
                  <c:v>7.4626865671641287E-3</c:v>
                </c:pt>
                <c:pt idx="344">
                  <c:v>-9.3067756806122746E-3</c:v>
                </c:pt>
                <c:pt idx="345">
                  <c:v>1.7703815172169603E-2</c:v>
                </c:pt>
                <c:pt idx="346">
                  <c:v>-1.4137359280914604E-2</c:v>
                </c:pt>
                <c:pt idx="347">
                  <c:v>1.353263753759067E-2</c:v>
                </c:pt>
                <c:pt idx="348">
                  <c:v>3.1943212067435619E-3</c:v>
                </c:pt>
                <c:pt idx="349">
                  <c:v>-1.1403508771929799E-2</c:v>
                </c:pt>
                <c:pt idx="350">
                  <c:v>4.4937879989426837E-3</c:v>
                </c:pt>
                <c:pt idx="351">
                  <c:v>-4.4736842105263606E-3</c:v>
                </c:pt>
                <c:pt idx="352">
                  <c:v>-8.6956521739130436E-3</c:v>
                </c:pt>
                <c:pt idx="353">
                  <c:v>-1.7010000854773871E-2</c:v>
                </c:pt>
                <c:pt idx="354">
                  <c:v>-7.718405428329184E-3</c:v>
                </c:pt>
                <c:pt idx="355">
                  <c:v>7.0037581141100735E-3</c:v>
                </c:pt>
                <c:pt idx="356">
                  <c:v>9.3103448275861922E-3</c:v>
                </c:pt>
                <c:pt idx="357">
                  <c:v>-3.4364261168385365E-3</c:v>
                </c:pt>
                <c:pt idx="358">
                  <c:v>-1.3559322033898256E-2</c:v>
                </c:pt>
                <c:pt idx="359">
                  <c:v>8.5470085470085479E-3</c:v>
                </c:pt>
                <c:pt idx="360">
                  <c:v>0</c:v>
                </c:pt>
                <c:pt idx="361">
                  <c:v>6.8846815834767393E-3</c:v>
                </c:pt>
                <c:pt idx="362">
                  <c:v>-2.3529411764705858E-2</c:v>
                </c:pt>
                <c:pt idx="363">
                  <c:v>-4.6397948553570045E-2</c:v>
                </c:pt>
                <c:pt idx="364">
                  <c:v>6.3709677419355347E-3</c:v>
                </c:pt>
                <c:pt idx="365">
                  <c:v>-2.012072434607646E-3</c:v>
                </c:pt>
                <c:pt idx="366">
                  <c:v>6.0728744939271256E-3</c:v>
                </c:pt>
                <c:pt idx="367">
                  <c:v>-2.3329379201265345E-2</c:v>
                </c:pt>
                <c:pt idx="368">
                  <c:v>5.566600397614337E-3</c:v>
                </c:pt>
                <c:pt idx="369">
                  <c:v>-9.8425196850393699E-3</c:v>
                </c:pt>
                <c:pt idx="370">
                  <c:v>2.717567130378518E-2</c:v>
                </c:pt>
                <c:pt idx="371">
                  <c:v>7.5317446512436909E-2</c:v>
                </c:pt>
                <c:pt idx="372">
                  <c:v>2.3864648263579757E-2</c:v>
                </c:pt>
                <c:pt idx="373">
                  <c:v>1.1711711711711686E-2</c:v>
                </c:pt>
                <c:pt idx="374">
                  <c:v>1.834862385321101E-2</c:v>
                </c:pt>
                <c:pt idx="375">
                  <c:v>-9.2710416287947288E-3</c:v>
                </c:pt>
                <c:pt idx="376">
                  <c:v>1.3168800073671541E-2</c:v>
                </c:pt>
                <c:pt idx="377">
                  <c:v>-1.7285067873303136E-2</c:v>
                </c:pt>
                <c:pt idx="378">
                  <c:v>4.5454545454545452E-3</c:v>
                </c:pt>
                <c:pt idx="379">
                  <c:v>-9.0090090090090089E-3</c:v>
                </c:pt>
                <c:pt idx="380">
                  <c:v>-3.5906642728905356E-3</c:v>
                </c:pt>
                <c:pt idx="381">
                  <c:v>3.6036036036036548E-3</c:v>
                </c:pt>
                <c:pt idx="382">
                  <c:v>1.7508479237326947E-2</c:v>
                </c:pt>
                <c:pt idx="383">
                  <c:v>8.3854942871336283E-2</c:v>
                </c:pt>
                <c:pt idx="384">
                  <c:v>6.5000000000000569E-3</c:v>
                </c:pt>
                <c:pt idx="385">
                  <c:v>5.0251256281407036E-3</c:v>
                </c:pt>
                <c:pt idx="386">
                  <c:v>5.0505050505050509E-3</c:v>
                </c:pt>
                <c:pt idx="387">
                  <c:v>-5.0251256281407036E-3</c:v>
                </c:pt>
                <c:pt idx="388">
                  <c:v>1.5306122448979591E-2</c:v>
                </c:pt>
                <c:pt idx="389">
                  <c:v>-9.1001011122346376E-3</c:v>
                </c:pt>
                <c:pt idx="390">
                  <c:v>-1.0101010101009526E-3</c:v>
                </c:pt>
                <c:pt idx="391">
                  <c:v>9.894930123431591E-3</c:v>
                </c:pt>
                <c:pt idx="392">
                  <c:v>-4.7715736040609023E-3</c:v>
                </c:pt>
                <c:pt idx="393">
                  <c:v>0</c:v>
                </c:pt>
                <c:pt idx="394">
                  <c:v>-4.8494645382906034E-3</c:v>
                </c:pt>
                <c:pt idx="395">
                  <c:v>-4.2253521126760733E-3</c:v>
                </c:pt>
                <c:pt idx="396">
                  <c:v>4.3447509346267238E-3</c:v>
                </c:pt>
                <c:pt idx="397">
                  <c:v>1.8220467658669156E-3</c:v>
                </c:pt>
                <c:pt idx="398">
                  <c:v>8.0612244897959821E-3</c:v>
                </c:pt>
                <c:pt idx="399">
                  <c:v>-2.0366598778004362E-3</c:v>
                </c:pt>
                <c:pt idx="400">
                  <c:v>-3.0456852791877886E-3</c:v>
                </c:pt>
                <c:pt idx="401">
                  <c:v>2.5445292620865142E-3</c:v>
                </c:pt>
                <c:pt idx="402">
                  <c:v>1.2886597938144329E-2</c:v>
                </c:pt>
                <c:pt idx="403">
                  <c:v>-1.7522536209865328E-2</c:v>
                </c:pt>
                <c:pt idx="404">
                  <c:v>4.6809809707948303E-3</c:v>
                </c:pt>
                <c:pt idx="405">
                  <c:v>2.7551020408162858E-3</c:v>
                </c:pt>
                <c:pt idx="406">
                  <c:v>0</c:v>
                </c:pt>
                <c:pt idx="407">
                  <c:v>1.5544041450777202E-2</c:v>
                </c:pt>
                <c:pt idx="408">
                  <c:v>5.208333333333333E-3</c:v>
                </c:pt>
                <c:pt idx="409">
                  <c:v>5.7621791513881313E-3</c:v>
                </c:pt>
                <c:pt idx="410">
                  <c:v>1.0052910052910083E-2</c:v>
                </c:pt>
                <c:pt idx="411">
                  <c:v>5.3191489361702126E-3</c:v>
                </c:pt>
                <c:pt idx="412">
                  <c:v>7.5026795284030313E-3</c:v>
                </c:pt>
                <c:pt idx="413">
                  <c:v>-4.3076923076923103E-2</c:v>
                </c:pt>
                <c:pt idx="414">
                  <c:v>-1.5151515151515152E-2</c:v>
                </c:pt>
                <c:pt idx="415">
                  <c:v>3.5478966041560494E-3</c:v>
                </c:pt>
                <c:pt idx="416">
                  <c:v>1.1379946688538029E-2</c:v>
                </c:pt>
                <c:pt idx="417">
                  <c:v>-4.6938775510203447E-3</c:v>
                </c:pt>
                <c:pt idx="418">
                  <c:v>2.044989775051154E-3</c:v>
                </c:pt>
                <c:pt idx="419">
                  <c:v>3.4920634920634894E-2</c:v>
                </c:pt>
                <c:pt idx="420">
                  <c:v>5.3191489361702126E-3</c:v>
                </c:pt>
                <c:pt idx="421">
                  <c:v>2.1628083903923428E-2</c:v>
                </c:pt>
                <c:pt idx="422">
                  <c:v>1.6685082872928234E-2</c:v>
                </c:pt>
                <c:pt idx="423">
                  <c:v>0</c:v>
                </c:pt>
                <c:pt idx="424">
                  <c:v>2.0293122886133001E-2</c:v>
                </c:pt>
                <c:pt idx="425">
                  <c:v>2.2478386167147008E-2</c:v>
                </c:pt>
                <c:pt idx="426">
                  <c:v>-1.977401129943503E-2</c:v>
                </c:pt>
                <c:pt idx="427">
                  <c:v>2.3121387283236993E-2</c:v>
                </c:pt>
                <c:pt idx="428">
                  <c:v>-6.8886337543053316E-3</c:v>
                </c:pt>
                <c:pt idx="429">
                  <c:v>7.0528384784368072E-3</c:v>
                </c:pt>
                <c:pt idx="430">
                  <c:v>6.8684516880091872E-3</c:v>
                </c:pt>
                <c:pt idx="431">
                  <c:v>1.0588235294117714E-2</c:v>
                </c:pt>
                <c:pt idx="432">
                  <c:v>-1.1627906976744186E-2</c:v>
                </c:pt>
                <c:pt idx="433">
                  <c:v>1.1764705882352941E-2</c:v>
                </c:pt>
                <c:pt idx="434">
                  <c:v>-2.2988505747126436E-2</c:v>
                </c:pt>
                <c:pt idx="435">
                  <c:v>1.1627906976744186E-2</c:v>
                </c:pt>
                <c:pt idx="436">
                  <c:v>7.0257611241217131E-3</c:v>
                </c:pt>
                <c:pt idx="437">
                  <c:v>2.1121802393805071E-3</c:v>
                </c:pt>
                <c:pt idx="438">
                  <c:v>-4.6915317851285775E-4</c:v>
                </c:pt>
                <c:pt idx="439">
                  <c:v>-9.1807088901800348E-3</c:v>
                </c:pt>
                <c:pt idx="440">
                  <c:v>5.8139534883717623E-4</c:v>
                </c:pt>
                <c:pt idx="441">
                  <c:v>-1.6918152720621901E-2</c:v>
                </c:pt>
                <c:pt idx="442">
                  <c:v>3.4305317324186547E-4</c:v>
                </c:pt>
                <c:pt idx="443">
                  <c:v>-5.7142857142853895E-4</c:v>
                </c:pt>
                <c:pt idx="444">
                  <c:v>4.5924225028703292E-3</c:v>
                </c:pt>
                <c:pt idx="445">
                  <c:v>0</c:v>
                </c:pt>
                <c:pt idx="446">
                  <c:v>1.2790697674418539E-2</c:v>
                </c:pt>
                <c:pt idx="447">
                  <c:v>-5.7803468208092483E-3</c:v>
                </c:pt>
                <c:pt idx="448">
                  <c:v>1.1459307764265715E-2</c:v>
                </c:pt>
                <c:pt idx="449">
                  <c:v>-2.3744292237442906E-2</c:v>
                </c:pt>
                <c:pt idx="450">
                  <c:v>1.0380622837370143E-2</c:v>
                </c:pt>
                <c:pt idx="451">
                  <c:v>8.1395348837209631E-3</c:v>
                </c:pt>
                <c:pt idx="452">
                  <c:v>-1.1494252873563218E-2</c:v>
                </c:pt>
                <c:pt idx="453">
                  <c:v>3.4602076124567146E-3</c:v>
                </c:pt>
                <c:pt idx="454">
                  <c:v>-3.4482758620689329E-3</c:v>
                </c:pt>
                <c:pt idx="455">
                  <c:v>6.3620589936379075E-3</c:v>
                </c:pt>
                <c:pt idx="456">
                  <c:v>-6.3218390804597371E-3</c:v>
                </c:pt>
                <c:pt idx="457">
                  <c:v>7.5275043427910334E-3</c:v>
                </c:pt>
                <c:pt idx="458">
                  <c:v>1.5882352941176403E-2</c:v>
                </c:pt>
                <c:pt idx="459">
                  <c:v>-1.151296662402599E-2</c:v>
                </c:pt>
                <c:pt idx="460">
                  <c:v>-5.3209947946790967E-3</c:v>
                </c:pt>
                <c:pt idx="461">
                  <c:v>5.2325581395349166E-3</c:v>
                </c:pt>
                <c:pt idx="462">
                  <c:v>5.9656100128670621E-3</c:v>
                </c:pt>
                <c:pt idx="463">
                  <c:v>-5.9302325581395941E-3</c:v>
                </c:pt>
                <c:pt idx="464">
                  <c:v>-4.338153503893221E-2</c:v>
                </c:pt>
                <c:pt idx="465">
                  <c:v>1.0112359550561861E-2</c:v>
                </c:pt>
                <c:pt idx="466">
                  <c:v>3.4883720930232558E-2</c:v>
                </c:pt>
                <c:pt idx="467">
                  <c:v>5.8479532163742687E-3</c:v>
                </c:pt>
                <c:pt idx="468">
                  <c:v>-5.8139534883720929E-3</c:v>
                </c:pt>
                <c:pt idx="469">
                  <c:v>0</c:v>
                </c:pt>
                <c:pt idx="470">
                  <c:v>-1.7142857142857144E-2</c:v>
                </c:pt>
                <c:pt idx="471">
                  <c:v>1.7441860465116279E-2</c:v>
                </c:pt>
                <c:pt idx="472">
                  <c:v>5.8479532163742687E-3</c:v>
                </c:pt>
                <c:pt idx="473">
                  <c:v>5.8823529411764705E-3</c:v>
                </c:pt>
                <c:pt idx="474">
                  <c:v>5.7981303987693156E-3</c:v>
                </c:pt>
                <c:pt idx="475">
                  <c:v>5.472932778108364E-3</c:v>
                </c:pt>
                <c:pt idx="476">
                  <c:v>-1.1060124720555333E-2</c:v>
                </c:pt>
                <c:pt idx="477">
                  <c:v>1.299165673420726E-2</c:v>
                </c:pt>
                <c:pt idx="478">
                  <c:v>4.7904191616767152E-3</c:v>
                </c:pt>
                <c:pt idx="479">
                  <c:v>-1.1974613818710472E-4</c:v>
                </c:pt>
                <c:pt idx="480">
                  <c:v>-8.1947743467933216E-3</c:v>
                </c:pt>
                <c:pt idx="481">
                  <c:v>2.380952380952415E-3</c:v>
                </c:pt>
                <c:pt idx="482">
                  <c:v>-5.7995028997513895E-3</c:v>
                </c:pt>
                <c:pt idx="483">
                  <c:v>5.833333333333272E-3</c:v>
                </c:pt>
                <c:pt idx="484">
                  <c:v>5.9880239520958087E-3</c:v>
                </c:pt>
                <c:pt idx="485">
                  <c:v>-5.8340278604595182E-3</c:v>
                </c:pt>
                <c:pt idx="486">
                  <c:v>1.3148371531966093E-2</c:v>
                </c:pt>
                <c:pt idx="487">
                  <c:v>-7.1856287425149023E-3</c:v>
                </c:pt>
                <c:pt idx="488">
                  <c:v>-1.1834319526627219E-2</c:v>
                </c:pt>
                <c:pt idx="489">
                  <c:v>1.4162265962554092E-2</c:v>
                </c:pt>
                <c:pt idx="490">
                  <c:v>3.8554216867469058E-3</c:v>
                </c:pt>
                <c:pt idx="491">
                  <c:v>5.9386741001090154E-3</c:v>
                </c:pt>
                <c:pt idx="492">
                  <c:v>-5.903614457831264E-3</c:v>
                </c:pt>
                <c:pt idx="493">
                  <c:v>1.2318575436028847E-2</c:v>
                </c:pt>
                <c:pt idx="494">
                  <c:v>1.2222222222222159E-2</c:v>
                </c:pt>
                <c:pt idx="495">
                  <c:v>-1.3518450858604305E-2</c:v>
                </c:pt>
                <c:pt idx="496">
                  <c:v>-5.3301029678982162E-3</c:v>
                </c:pt>
                <c:pt idx="497">
                  <c:v>-2.8823529411764741E-2</c:v>
                </c:pt>
                <c:pt idx="498">
                  <c:v>-1.1627906976744186E-2</c:v>
                </c:pt>
                <c:pt idx="499">
                  <c:v>-5.7803468208092483E-3</c:v>
                </c:pt>
                <c:pt idx="500">
                  <c:v>-5.7471264367816091E-3</c:v>
                </c:pt>
                <c:pt idx="501">
                  <c:v>1.1627906976744186E-2</c:v>
                </c:pt>
                <c:pt idx="502">
                  <c:v>-2.8138772742682734E-2</c:v>
                </c:pt>
                <c:pt idx="503">
                  <c:v>-1.6777777777777836E-2</c:v>
                </c:pt>
                <c:pt idx="504">
                  <c:v>0</c:v>
                </c:pt>
                <c:pt idx="505">
                  <c:v>1.6949152542372881E-2</c:v>
                </c:pt>
                <c:pt idx="506">
                  <c:v>4.9199762892709019E-2</c:v>
                </c:pt>
                <c:pt idx="507">
                  <c:v>-1.7751479289941502E-3</c:v>
                </c:pt>
                <c:pt idx="508">
                  <c:v>-1.1832919181168046E-4</c:v>
                </c:pt>
                <c:pt idx="509">
                  <c:v>-5.764705882352881E-3</c:v>
                </c:pt>
                <c:pt idx="510">
                  <c:v>1.2145748987854203E-2</c:v>
                </c:pt>
                <c:pt idx="511">
                  <c:v>-1.1999999999999953E-2</c:v>
                </c:pt>
                <c:pt idx="512">
                  <c:v>2.4096385542168676E-2</c:v>
                </c:pt>
                <c:pt idx="513">
                  <c:v>1.715686274509811E-2</c:v>
                </c:pt>
                <c:pt idx="514">
                  <c:v>3.2911392405063217E-2</c:v>
                </c:pt>
                <c:pt idx="515">
                  <c:v>-3.6585365853658534E-2</c:v>
                </c:pt>
                <c:pt idx="516">
                  <c:v>7.105538140020895E-2</c:v>
                </c:pt>
                <c:pt idx="517">
                  <c:v>-4.0481263316205086E-2</c:v>
                </c:pt>
                <c:pt idx="518">
                  <c:v>2.360487491982044E-2</c:v>
                </c:pt>
                <c:pt idx="519">
                  <c:v>1.1024643320363276E-2</c:v>
                </c:pt>
                <c:pt idx="520">
                  <c:v>-4.378023068336849E-2</c:v>
                </c:pt>
                <c:pt idx="521">
                  <c:v>7.5066666666666601E-2</c:v>
                </c:pt>
                <c:pt idx="522">
                  <c:v>-2.723735408560304E-2</c:v>
                </c:pt>
                <c:pt idx="523">
                  <c:v>-5.1612903225807189E-3</c:v>
                </c:pt>
                <c:pt idx="524">
                  <c:v>9.7719869706840382E-3</c:v>
                </c:pt>
                <c:pt idx="525">
                  <c:v>2.3333333333333334E-2</c:v>
                </c:pt>
                <c:pt idx="526">
                  <c:v>2.0408163265306121E-2</c:v>
                </c:pt>
                <c:pt idx="527">
                  <c:v>-5.278116118554616E-3</c:v>
                </c:pt>
                <c:pt idx="528">
                  <c:v>-3.3991371421100723E-2</c:v>
                </c:pt>
                <c:pt idx="529">
                  <c:v>1.9866666666666599E-2</c:v>
                </c:pt>
                <c:pt idx="530">
                  <c:v>0</c:v>
                </c:pt>
                <c:pt idx="531">
                  <c:v>-5.3050397877984837E-3</c:v>
                </c:pt>
                <c:pt idx="532">
                  <c:v>1.2080536912751754E-2</c:v>
                </c:pt>
                <c:pt idx="533">
                  <c:v>-1.1936339522546493E-2</c:v>
                </c:pt>
                <c:pt idx="534">
                  <c:v>1.8918918918918996E-2</c:v>
                </c:pt>
                <c:pt idx="535">
                  <c:v>0</c:v>
                </c:pt>
                <c:pt idx="536">
                  <c:v>1.4393420150788172E-2</c:v>
                </c:pt>
                <c:pt idx="537">
                  <c:v>1.3194444444444484E-2</c:v>
                </c:pt>
                <c:pt idx="538">
                  <c:v>0</c:v>
                </c:pt>
                <c:pt idx="539">
                  <c:v>1.9252548131370319E-2</c:v>
                </c:pt>
                <c:pt idx="540">
                  <c:v>-1.6840640222686065E-2</c:v>
                </c:pt>
                <c:pt idx="541">
                  <c:v>-2.9054054054054132E-2</c:v>
                </c:pt>
                <c:pt idx="542">
                  <c:v>2.9207232267037472E-2</c:v>
                </c:pt>
                <c:pt idx="543">
                  <c:v>1.2818706860121296E-2</c:v>
                </c:pt>
                <c:pt idx="544">
                  <c:v>1.1830102622576943E-2</c:v>
                </c:pt>
                <c:pt idx="545">
                  <c:v>1.4273479874392565E-3</c:v>
                </c:pt>
                <c:pt idx="546">
                  <c:v>-1.2829650748396779E-3</c:v>
                </c:pt>
                <c:pt idx="547">
                  <c:v>2.1428571428572241E-3</c:v>
                </c:pt>
                <c:pt idx="548">
                  <c:v>-1.2693935119887244E-2</c:v>
                </c:pt>
                <c:pt idx="549">
                  <c:v>1.1268007416916364E-2</c:v>
                </c:pt>
                <c:pt idx="550">
                  <c:v>-2.6250000000000009E-2</c:v>
                </c:pt>
                <c:pt idx="551">
                  <c:v>1.4084507042253521E-2</c:v>
                </c:pt>
                <c:pt idx="552">
                  <c:v>1.4140837023282313E-2</c:v>
                </c:pt>
                <c:pt idx="553">
                  <c:v>-1.4281633818895894E-4</c:v>
                </c:pt>
                <c:pt idx="554">
                  <c:v>-1.3663896323425819E-2</c:v>
                </c:pt>
                <c:pt idx="555">
                  <c:v>-1.5471167369901469E-3</c:v>
                </c:pt>
                <c:pt idx="556">
                  <c:v>1.5714285714285632E-2</c:v>
                </c:pt>
                <c:pt idx="557">
                  <c:v>-1.3945626144527327E-2</c:v>
                </c:pt>
                <c:pt idx="558">
                  <c:v>1.3853184804341601E-2</c:v>
                </c:pt>
                <c:pt idx="559">
                  <c:v>2.8571428571422887E-4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1.4492753623188406E-2</c:v>
                </c:pt>
                <c:pt idx="566">
                  <c:v>-2.1276595744680851E-2</c:v>
                </c:pt>
                <c:pt idx="567">
                  <c:v>2.1739130434782608E-2</c:v>
                </c:pt>
                <c:pt idx="568">
                  <c:v>-1.5916654608594911E-3</c:v>
                </c:pt>
                <c:pt idx="569">
                  <c:v>7.2400810889077839E-4</c:v>
                </c:pt>
                <c:pt idx="570">
                  <c:v>-6.3309352517985284E-3</c:v>
                </c:pt>
                <c:pt idx="571">
                  <c:v>7.246376811594203E-3</c:v>
                </c:pt>
                <c:pt idx="572">
                  <c:v>0</c:v>
                </c:pt>
                <c:pt idx="573">
                  <c:v>-7.1942446043165471E-3</c:v>
                </c:pt>
                <c:pt idx="574">
                  <c:v>-2.7972027972027972E-2</c:v>
                </c:pt>
                <c:pt idx="575">
                  <c:v>2.1282673903727966E-2</c:v>
                </c:pt>
                <c:pt idx="576">
                  <c:v>1.4285714285721594E-4</c:v>
                </c:pt>
                <c:pt idx="577">
                  <c:v>-1.4265335235377221E-3</c:v>
                </c:pt>
                <c:pt idx="578">
                  <c:v>-5.673758865248308E-3</c:v>
                </c:pt>
                <c:pt idx="579">
                  <c:v>-1.0526315789473684E-2</c:v>
                </c:pt>
                <c:pt idx="580">
                  <c:v>3.5211267605633804E-3</c:v>
                </c:pt>
                <c:pt idx="581">
                  <c:v>-1.3888888888888888E-2</c:v>
                </c:pt>
                <c:pt idx="582">
                  <c:v>1.4084507042253521E-2</c:v>
                </c:pt>
                <c:pt idx="583">
                  <c:v>-2.8089887640449836E-3</c:v>
                </c:pt>
                <c:pt idx="584">
                  <c:v>2.8169014084507443E-3</c:v>
                </c:pt>
                <c:pt idx="585">
                  <c:v>-6.993006993006993E-3</c:v>
                </c:pt>
                <c:pt idx="586">
                  <c:v>1.7793594306049824E-2</c:v>
                </c:pt>
                <c:pt idx="587">
                  <c:v>-1.0563380281690141E-2</c:v>
                </c:pt>
                <c:pt idx="588">
                  <c:v>-3.5087719298245615E-3</c:v>
                </c:pt>
                <c:pt idx="589">
                  <c:v>-3.4965034965034965E-3</c:v>
                </c:pt>
                <c:pt idx="590">
                  <c:v>-2.0547945205479451E-2</c:v>
                </c:pt>
                <c:pt idx="591">
                  <c:v>1.5016685205784181E-2</c:v>
                </c:pt>
                <c:pt idx="592">
                  <c:v>5.7334638512095727E-3</c:v>
                </c:pt>
                <c:pt idx="593">
                  <c:v>6.4743138634765374E-3</c:v>
                </c:pt>
                <c:pt idx="594">
                  <c:v>-9.6180652355728705E-3</c:v>
                </c:pt>
                <c:pt idx="595">
                  <c:v>-3.3342595165324965E-3</c:v>
                </c:pt>
                <c:pt idx="596">
                  <c:v>1.0245614035087775E-2</c:v>
                </c:pt>
                <c:pt idx="597">
                  <c:v>1.0351673284174759E-2</c:v>
                </c:pt>
                <c:pt idx="598">
                  <c:v>-6.760563380281746E-3</c:v>
                </c:pt>
                <c:pt idx="599">
                  <c:v>-1.2517385257301885E-2</c:v>
                </c:pt>
                <c:pt idx="600">
                  <c:v>5.5944055944056742E-3</c:v>
                </c:pt>
                <c:pt idx="601">
                  <c:v>-1.3793103448275862E-2</c:v>
                </c:pt>
                <c:pt idx="602">
                  <c:v>2.1126760563380281E-2</c:v>
                </c:pt>
                <c:pt idx="603">
                  <c:v>2.8687337003767084E-2</c:v>
                </c:pt>
                <c:pt idx="604">
                  <c:v>-4.7868671540902179E-2</c:v>
                </c:pt>
                <c:pt idx="605">
                  <c:v>1.5550574390585591E-2</c:v>
                </c:pt>
                <c:pt idx="606">
                  <c:v>-2.2191780821917872E-2</c:v>
                </c:pt>
                <c:pt idx="607">
                  <c:v>6.7407515718672317E-2</c:v>
                </c:pt>
                <c:pt idx="608">
                  <c:v>-1.6058394160583858E-3</c:v>
                </c:pt>
                <c:pt idx="609">
                  <c:v>1.6320474777447986E-2</c:v>
                </c:pt>
                <c:pt idx="610">
                  <c:v>5.2199850857570255E-3</c:v>
                </c:pt>
                <c:pt idx="611">
                  <c:v>-1.4260511614231093E-2</c:v>
                </c:pt>
                <c:pt idx="612">
                  <c:v>1.5223880597014867E-2</c:v>
                </c:pt>
                <c:pt idx="613">
                  <c:v>-2.1897810218978103E-2</c:v>
                </c:pt>
                <c:pt idx="614">
                  <c:v>4.5482295482295543E-2</c:v>
                </c:pt>
                <c:pt idx="615">
                  <c:v>-1.2195121951219254E-3</c:v>
                </c:pt>
                <c:pt idx="616">
                  <c:v>-4.2056074766355277E-2</c:v>
                </c:pt>
                <c:pt idx="617">
                  <c:v>4.5496183206106933E-2</c:v>
                </c:pt>
                <c:pt idx="618">
                  <c:v>-3.6623032798940948E-2</c:v>
                </c:pt>
                <c:pt idx="619">
                  <c:v>1.4927601134497688E-2</c:v>
                </c:pt>
                <c:pt idx="620">
                  <c:v>-1.4925373134335994E-4</c:v>
                </c:pt>
                <c:pt idx="621">
                  <c:v>0</c:v>
                </c:pt>
                <c:pt idx="622">
                  <c:v>0</c:v>
                </c:pt>
                <c:pt idx="623">
                  <c:v>1.5151515151515152E-2</c:v>
                </c:pt>
                <c:pt idx="624">
                  <c:v>-1.4925373134328358E-2</c:v>
                </c:pt>
                <c:pt idx="625">
                  <c:v>0</c:v>
                </c:pt>
                <c:pt idx="626">
                  <c:v>0</c:v>
                </c:pt>
                <c:pt idx="627">
                  <c:v>-8.9472114524309979E-4</c:v>
                </c:pt>
                <c:pt idx="628">
                  <c:v>1.4914243102170195E-4</c:v>
                </c:pt>
                <c:pt idx="629">
                  <c:v>7.4626865671637553E-4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-2.9841838257230711E-4</c:v>
                </c:pt>
                <c:pt idx="635">
                  <c:v>2.9850746268650775E-4</c:v>
                </c:pt>
                <c:pt idx="636">
                  <c:v>-3.5138248847926233E-2</c:v>
                </c:pt>
                <c:pt idx="637">
                  <c:v>6.3768115942028653E-3</c:v>
                </c:pt>
                <c:pt idx="638">
                  <c:v>5.3435114503816793E-2</c:v>
                </c:pt>
                <c:pt idx="639">
                  <c:v>-3.7472446730345291E-2</c:v>
                </c:pt>
                <c:pt idx="640">
                  <c:v>3.8931297709923623E-2</c:v>
                </c:pt>
                <c:pt idx="641">
                  <c:v>0</c:v>
                </c:pt>
                <c:pt idx="642">
                  <c:v>0</c:v>
                </c:pt>
                <c:pt idx="643">
                  <c:v>-7.575757575757576E-3</c:v>
                </c:pt>
                <c:pt idx="644">
                  <c:v>1.1494252873563218E-2</c:v>
                </c:pt>
                <c:pt idx="645">
                  <c:v>3.8461538461538464E-3</c:v>
                </c:pt>
                <c:pt idx="646">
                  <c:v>0</c:v>
                </c:pt>
                <c:pt idx="647">
                  <c:v>0</c:v>
                </c:pt>
                <c:pt idx="648">
                  <c:v>-4.2709867452135571E-2</c:v>
                </c:pt>
                <c:pt idx="649">
                  <c:v>1.3432835820895607E-2</c:v>
                </c:pt>
                <c:pt idx="650">
                  <c:v>1.1320754716981131E-2</c:v>
                </c:pt>
                <c:pt idx="651">
                  <c:v>-3.2705504453204776E-2</c:v>
                </c:pt>
                <c:pt idx="652">
                  <c:v>7.015624999999992E-2</c:v>
                </c:pt>
                <c:pt idx="653">
                  <c:v>3.9215686274509803E-3</c:v>
                </c:pt>
                <c:pt idx="654">
                  <c:v>2.459016393442625E-2</c:v>
                </c:pt>
                <c:pt idx="655">
                  <c:v>-2.2466614296936367E-2</c:v>
                </c:pt>
                <c:pt idx="656">
                  <c:v>1.5735641227380239E-3</c:v>
                </c:pt>
                <c:pt idx="657">
                  <c:v>6.2982207526372455E-4</c:v>
                </c:pt>
                <c:pt idx="658">
                  <c:v>-2.9827315541602014E-3</c:v>
                </c:pt>
                <c:pt idx="659">
                  <c:v>1.1111111111111157E-2</c:v>
                </c:pt>
                <c:pt idx="660">
                  <c:v>0</c:v>
                </c:pt>
                <c:pt idx="661">
                  <c:v>1.6129032258064516E-2</c:v>
                </c:pt>
                <c:pt idx="662">
                  <c:v>-4.1760359781560881E-3</c:v>
                </c:pt>
                <c:pt idx="663">
                  <c:v>4.1935483870967419E-3</c:v>
                </c:pt>
                <c:pt idx="664">
                  <c:v>-9.6680631646797082E-4</c:v>
                </c:pt>
                <c:pt idx="665">
                  <c:v>-2.1907013396375106E-2</c:v>
                </c:pt>
                <c:pt idx="666">
                  <c:v>2.3387096774193594E-2</c:v>
                </c:pt>
                <c:pt idx="667">
                  <c:v>3.2362459546926028E-3</c:v>
                </c:pt>
                <c:pt idx="668">
                  <c:v>0</c:v>
                </c:pt>
                <c:pt idx="669">
                  <c:v>4.8780487804877589E-3</c:v>
                </c:pt>
                <c:pt idx="670">
                  <c:v>-1.6E-2</c:v>
                </c:pt>
                <c:pt idx="671">
                  <c:v>-3.6237471087124051E-2</c:v>
                </c:pt>
                <c:pt idx="672">
                  <c:v>2.1259842519684949E-2</c:v>
                </c:pt>
                <c:pt idx="673">
                  <c:v>-4.3962661848840734E-2</c:v>
                </c:pt>
                <c:pt idx="674">
                  <c:v>-9.5436922159260439E-3</c:v>
                </c:pt>
                <c:pt idx="675">
                  <c:v>-1.3823529411764672E-2</c:v>
                </c:pt>
                <c:pt idx="676">
                  <c:v>0</c:v>
                </c:pt>
                <c:pt idx="677">
                  <c:v>1.4925373134328358E-2</c:v>
                </c:pt>
                <c:pt idx="678">
                  <c:v>7.5187969924812026E-3</c:v>
                </c:pt>
                <c:pt idx="679">
                  <c:v>6.8130204390613605E-3</c:v>
                </c:pt>
                <c:pt idx="680">
                  <c:v>-4.539951573850051E-4</c:v>
                </c:pt>
                <c:pt idx="681">
                  <c:v>-1.2257100149476941E-2</c:v>
                </c:pt>
                <c:pt idx="682">
                  <c:v>1.3636363636363722E-2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-2.4183796856105896E-3</c:v>
                </c:pt>
                <c:pt idx="688">
                  <c:v>1.0076335877862544E-2</c:v>
                </c:pt>
                <c:pt idx="689">
                  <c:v>6.1443932411675223E-3</c:v>
                </c:pt>
                <c:pt idx="690">
                  <c:v>1.5384615384614511E-3</c:v>
                </c:pt>
                <c:pt idx="691">
                  <c:v>0</c:v>
                </c:pt>
                <c:pt idx="692">
                  <c:v>1.5307716338644237E-2</c:v>
                </c:pt>
                <c:pt idx="693">
                  <c:v>-1.4470443349753661E-2</c:v>
                </c:pt>
                <c:pt idx="694">
                  <c:v>1.4999999999999902E-2</c:v>
                </c:pt>
                <c:pt idx="695">
                  <c:v>0</c:v>
                </c:pt>
                <c:pt idx="696">
                  <c:v>0</c:v>
                </c:pt>
                <c:pt idx="697">
                  <c:v>-4.4776119402985072E-2</c:v>
                </c:pt>
                <c:pt idx="698">
                  <c:v>0</c:v>
                </c:pt>
                <c:pt idx="699">
                  <c:v>-2.7576197387518223E-2</c:v>
                </c:pt>
                <c:pt idx="700">
                  <c:v>4.3465091625018999E-2</c:v>
                </c:pt>
                <c:pt idx="701">
                  <c:v>6.4014631915866741E-3</c:v>
                </c:pt>
                <c:pt idx="702">
                  <c:v>-5.9090909090909177E-3</c:v>
                </c:pt>
                <c:pt idx="703">
                  <c:v>-7.5700227100676998E-4</c:v>
                </c:pt>
                <c:pt idx="704">
                  <c:v>1.6153846153846109E-2</c:v>
                </c:pt>
                <c:pt idx="705">
                  <c:v>-1.5360983102917715E-3</c:v>
                </c:pt>
                <c:pt idx="706">
                  <c:v>1.5384615384614511E-3</c:v>
                </c:pt>
                <c:pt idx="707">
                  <c:v>7.7519379844961239E-3</c:v>
                </c:pt>
                <c:pt idx="708">
                  <c:v>7.8125E-3</c:v>
                </c:pt>
                <c:pt idx="709">
                  <c:v>-2.2900763358778626E-2</c:v>
                </c:pt>
                <c:pt idx="710">
                  <c:v>1.5290519877674969E-3</c:v>
                </c:pt>
                <c:pt idx="711">
                  <c:v>1.7898832684824992E-2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3.90625E-3</c:v>
                </c:pt>
                <c:pt idx="718">
                  <c:v>-3.8910505836575876E-3</c:v>
                </c:pt>
                <c:pt idx="719">
                  <c:v>3.90625E-3</c:v>
                </c:pt>
                <c:pt idx="720">
                  <c:v>-1.4474899907606987E-2</c:v>
                </c:pt>
                <c:pt idx="721">
                  <c:v>1.4687499999999964E-2</c:v>
                </c:pt>
                <c:pt idx="722">
                  <c:v>0</c:v>
                </c:pt>
                <c:pt idx="723">
                  <c:v>0</c:v>
                </c:pt>
                <c:pt idx="724">
                  <c:v>1.5627441787776232E-4</c:v>
                </c:pt>
                <c:pt idx="725">
                  <c:v>1.1699604743083035E-2</c:v>
                </c:pt>
                <c:pt idx="726">
                  <c:v>0</c:v>
                </c:pt>
                <c:pt idx="727">
                  <c:v>-3.937007874015748E-3</c:v>
                </c:pt>
                <c:pt idx="728">
                  <c:v>0</c:v>
                </c:pt>
                <c:pt idx="729">
                  <c:v>7.9365079365079361E-3</c:v>
                </c:pt>
                <c:pt idx="730">
                  <c:v>-3.1735956839103657E-4</c:v>
                </c:pt>
                <c:pt idx="731">
                  <c:v>3.1746031746036706E-4</c:v>
                </c:pt>
                <c:pt idx="732">
                  <c:v>1.7770597738287583E-2</c:v>
                </c:pt>
                <c:pt idx="733">
                  <c:v>-1.2601690859786237E-2</c:v>
                </c:pt>
                <c:pt idx="734">
                  <c:v>-4.9206349206349564E-3</c:v>
                </c:pt>
                <c:pt idx="735">
                  <c:v>-1.1764705882352941E-2</c:v>
                </c:pt>
                <c:pt idx="736">
                  <c:v>1.1904761904761904E-2</c:v>
                </c:pt>
                <c:pt idx="737">
                  <c:v>-1.1764705882352941E-2</c:v>
                </c:pt>
                <c:pt idx="738">
                  <c:v>0</c:v>
                </c:pt>
                <c:pt idx="739">
                  <c:v>0</c:v>
                </c:pt>
                <c:pt idx="740">
                  <c:v>-1.5661707126076964E-3</c:v>
                </c:pt>
                <c:pt idx="741">
                  <c:v>1.5686274509804144E-3</c:v>
                </c:pt>
                <c:pt idx="742">
                  <c:v>0</c:v>
                </c:pt>
                <c:pt idx="743">
                  <c:v>-3.90625E-3</c:v>
                </c:pt>
                <c:pt idx="744">
                  <c:v>7.7153204219808222E-3</c:v>
                </c:pt>
                <c:pt idx="745">
                  <c:v>-7.6562500000000311E-3</c:v>
                </c:pt>
                <c:pt idx="746">
                  <c:v>-4.6656298600310604E-3</c:v>
                </c:pt>
                <c:pt idx="747">
                  <c:v>-1.5527950310560328E-3</c:v>
                </c:pt>
                <c:pt idx="748">
                  <c:v>-9.2307692307691432E-3</c:v>
                </c:pt>
                <c:pt idx="749">
                  <c:v>1.6419077404222004E-2</c:v>
                </c:pt>
                <c:pt idx="750">
                  <c:v>-1.4637904468412986E-2</c:v>
                </c:pt>
                <c:pt idx="751">
                  <c:v>1.3904077487892524E-2</c:v>
                </c:pt>
                <c:pt idx="752">
                  <c:v>-4.8196517412933473E-3</c:v>
                </c:pt>
                <c:pt idx="753">
                  <c:v>1.0894941634240183E-3</c:v>
                </c:pt>
                <c:pt idx="754">
                  <c:v>-9.3298087389212059E-4</c:v>
                </c:pt>
                <c:pt idx="755">
                  <c:v>-2.9457364341084918E-3</c:v>
                </c:pt>
                <c:pt idx="756">
                  <c:v>-3.7071362372566403E-3</c:v>
                </c:pt>
                <c:pt idx="757">
                  <c:v>1.9527559055118028E-2</c:v>
                </c:pt>
                <c:pt idx="758">
                  <c:v>4.2701249406927591E-3</c:v>
                </c:pt>
                <c:pt idx="759">
                  <c:v>3.6507936507936011E-3</c:v>
                </c:pt>
                <c:pt idx="760">
                  <c:v>-7.0921985815603278E-3</c:v>
                </c:pt>
                <c:pt idx="761">
                  <c:v>5.387418792584431E-3</c:v>
                </c:pt>
                <c:pt idx="762">
                  <c:v>1.5847860538824104E-4</c:v>
                </c:pt>
                <c:pt idx="763">
                  <c:v>-5.9861373660994874E-3</c:v>
                </c:pt>
                <c:pt idx="764">
                  <c:v>6.0221870047542855E-3</c:v>
                </c:pt>
                <c:pt idx="765">
                  <c:v>4.7566196289838494E-4</c:v>
                </c:pt>
                <c:pt idx="766">
                  <c:v>-1.2989045383411554E-2</c:v>
                </c:pt>
                <c:pt idx="767">
                  <c:v>-7.8186082877254516E-4</c:v>
                </c:pt>
                <c:pt idx="768">
                  <c:v>-7.8124999999995559E-4</c:v>
                </c:pt>
                <c:pt idx="769">
                  <c:v>2.4E-2</c:v>
                </c:pt>
                <c:pt idx="770">
                  <c:v>-9.5087163232963779E-3</c:v>
                </c:pt>
                <c:pt idx="771">
                  <c:v>-6.2992125984251742E-3</c:v>
                </c:pt>
                <c:pt idx="772">
                  <c:v>0</c:v>
                </c:pt>
                <c:pt idx="773">
                  <c:v>4.4289781714647444E-3</c:v>
                </c:pt>
                <c:pt idx="774">
                  <c:v>1.9017432646592305E-3</c:v>
                </c:pt>
                <c:pt idx="775">
                  <c:v>-2.1705426356589126E-2</c:v>
                </c:pt>
                <c:pt idx="776">
                  <c:v>7.8125E-3</c:v>
                </c:pt>
                <c:pt idx="777">
                  <c:v>-3.8910505836575876E-3</c:v>
                </c:pt>
                <c:pt idx="778">
                  <c:v>1.0061311114604631E-2</c:v>
                </c:pt>
                <c:pt idx="779">
                  <c:v>-9.9610894941634335E-3</c:v>
                </c:pt>
                <c:pt idx="780">
                  <c:v>-2.329192546583939E-3</c:v>
                </c:pt>
                <c:pt idx="781">
                  <c:v>1.4173228346456783E-2</c:v>
                </c:pt>
                <c:pt idx="782">
                  <c:v>-4.7021943573667272E-3</c:v>
                </c:pt>
                <c:pt idx="783">
                  <c:v>-1.694915254237301E-2</c:v>
                </c:pt>
                <c:pt idx="784">
                  <c:v>2.2047244094488279E-2</c:v>
                </c:pt>
                <c:pt idx="785">
                  <c:v>-1.5503875968992248E-2</c:v>
                </c:pt>
                <c:pt idx="786">
                  <c:v>0</c:v>
                </c:pt>
                <c:pt idx="787">
                  <c:v>1.5506280043425517E-4</c:v>
                </c:pt>
                <c:pt idx="788">
                  <c:v>1.5590551181102282E-2</c:v>
                </c:pt>
                <c:pt idx="789">
                  <c:v>-1.5503875968992248E-2</c:v>
                </c:pt>
                <c:pt idx="790">
                  <c:v>-7.6923076923076927E-3</c:v>
                </c:pt>
                <c:pt idx="791">
                  <c:v>0</c:v>
                </c:pt>
                <c:pt idx="792">
                  <c:v>1.5625E-2</c:v>
                </c:pt>
                <c:pt idx="793">
                  <c:v>-8.2132341546567664E-3</c:v>
                </c:pt>
                <c:pt idx="794">
                  <c:v>-1.330275229357805E-2</c:v>
                </c:pt>
                <c:pt idx="795">
                  <c:v>-1.2830188679245198E-2</c:v>
                </c:pt>
                <c:pt idx="796">
                  <c:v>-1.5071590052749709E-3</c:v>
                </c:pt>
                <c:pt idx="797">
                  <c:v>5.3030303030302166E-3</c:v>
                </c:pt>
                <c:pt idx="798">
                  <c:v>7.4797740802930064E-3</c:v>
                </c:pt>
                <c:pt idx="799">
                  <c:v>8.0012309586091745E-3</c:v>
                </c:pt>
                <c:pt idx="800">
                  <c:v>-1.5303030303030381E-2</c:v>
                </c:pt>
                <c:pt idx="801">
                  <c:v>7.6335877862595417E-3</c:v>
                </c:pt>
                <c:pt idx="802">
                  <c:v>-7.726102105741631E-3</c:v>
                </c:pt>
                <c:pt idx="803">
                  <c:v>7.4786324786326177E-3</c:v>
                </c:pt>
                <c:pt idx="804">
                  <c:v>-3.6470588235294178E-2</c:v>
                </c:pt>
                <c:pt idx="805">
                  <c:v>2.8588715776735753E-2</c:v>
                </c:pt>
                <c:pt idx="806">
                  <c:v>-2.1132075471698201E-3</c:v>
                </c:pt>
                <c:pt idx="807">
                  <c:v>-3.2846715328467155E-2</c:v>
                </c:pt>
                <c:pt idx="808">
                  <c:v>7.3529411764705881E-3</c:v>
                </c:pt>
                <c:pt idx="809">
                  <c:v>-8.8908322401982133E-3</c:v>
                </c:pt>
                <c:pt idx="810">
                  <c:v>1.4596409283315474E-3</c:v>
                </c:pt>
                <c:pt idx="811">
                  <c:v>7.5000000000000752E-3</c:v>
                </c:pt>
                <c:pt idx="812">
                  <c:v>-2.1582733812949641E-2</c:v>
                </c:pt>
                <c:pt idx="813">
                  <c:v>1.4598540145985401E-2</c:v>
                </c:pt>
                <c:pt idx="814">
                  <c:v>-7.246376811594203E-3</c:v>
                </c:pt>
                <c:pt idx="815">
                  <c:v>-1.4285714285714285E-2</c:v>
                </c:pt>
                <c:pt idx="816">
                  <c:v>0</c:v>
                </c:pt>
                <c:pt idx="817">
                  <c:v>1.573901845757611E-3</c:v>
                </c:pt>
                <c:pt idx="818">
                  <c:v>1.3045368894042697E-2</c:v>
                </c:pt>
                <c:pt idx="819">
                  <c:v>1.2325752017608058E-2</c:v>
                </c:pt>
                <c:pt idx="820">
                  <c:v>4.4444444444444529E-2</c:v>
                </c:pt>
                <c:pt idx="821">
                  <c:v>0</c:v>
                </c:pt>
                <c:pt idx="822">
                  <c:v>5.3929121725731013E-3</c:v>
                </c:pt>
                <c:pt idx="823">
                  <c:v>1.4062500000000089E-2</c:v>
                </c:pt>
                <c:pt idx="824">
                  <c:v>-1.3867488443759717E-2</c:v>
                </c:pt>
                <c:pt idx="825">
                  <c:v>-7.6452599388379195E-3</c:v>
                </c:pt>
                <c:pt idx="826">
                  <c:v>6.1538461538462414E-3</c:v>
                </c:pt>
                <c:pt idx="827">
                  <c:v>9.3167701863353155E-3</c:v>
                </c:pt>
                <c:pt idx="828">
                  <c:v>1.2419430907090179E-2</c:v>
                </c:pt>
                <c:pt idx="829">
                  <c:v>-1.8364197530864164E-2</c:v>
                </c:pt>
                <c:pt idx="830">
                  <c:v>0</c:v>
                </c:pt>
                <c:pt idx="831">
                  <c:v>-3.0769230769231207E-3</c:v>
                </c:pt>
                <c:pt idx="832">
                  <c:v>-3.7037037037037035E-2</c:v>
                </c:pt>
                <c:pt idx="833">
                  <c:v>1.5037593984962405E-2</c:v>
                </c:pt>
                <c:pt idx="834">
                  <c:v>-2.6354319180087807E-2</c:v>
                </c:pt>
                <c:pt idx="835">
                  <c:v>-7.2674418604651162E-3</c:v>
                </c:pt>
                <c:pt idx="836">
                  <c:v>0</c:v>
                </c:pt>
                <c:pt idx="837">
                  <c:v>-2.4648397854139729E-3</c:v>
                </c:pt>
                <c:pt idx="838">
                  <c:v>3.1999999999999837E-3</c:v>
                </c:pt>
                <c:pt idx="839">
                  <c:v>9.54478707782681E-3</c:v>
                </c:pt>
                <c:pt idx="840">
                  <c:v>3.0932390631903629E-3</c:v>
                </c:pt>
                <c:pt idx="841">
                  <c:v>-1.7937219730941631E-2</c:v>
                </c:pt>
                <c:pt idx="842">
                  <c:v>1.1585807385951963E-3</c:v>
                </c:pt>
                <c:pt idx="843">
                  <c:v>7.2939460247994168E-3</c:v>
                </c:pt>
                <c:pt idx="844">
                  <c:v>-1.7908309455587395E-2</c:v>
                </c:pt>
                <c:pt idx="845">
                  <c:v>-2.8571428571428979E-3</c:v>
                </c:pt>
                <c:pt idx="846">
                  <c:v>7.1942446043165471E-3</c:v>
                </c:pt>
                <c:pt idx="847">
                  <c:v>7.3923757066242232E-3</c:v>
                </c:pt>
                <c:pt idx="848">
                  <c:v>-2.8309859154929649E-2</c:v>
                </c:pt>
                <c:pt idx="849">
                  <c:v>7.0921985815602835E-3</c:v>
                </c:pt>
                <c:pt idx="850">
                  <c:v>1.4204545454544646E-3</c:v>
                </c:pt>
                <c:pt idx="851">
                  <c:v>5.8579797113874959E-3</c:v>
                </c:pt>
                <c:pt idx="852">
                  <c:v>0</c:v>
                </c:pt>
                <c:pt idx="853">
                  <c:v>1.4347826086956448E-2</c:v>
                </c:pt>
                <c:pt idx="854">
                  <c:v>-3.8997214484679625E-2</c:v>
                </c:pt>
                <c:pt idx="855">
                  <c:v>-2.5006946373993724E-3</c:v>
                </c:pt>
                <c:pt idx="856">
                  <c:v>5.5601890464284482E-4</c:v>
                </c:pt>
                <c:pt idx="857">
                  <c:v>-5.5570991942214848E-4</c:v>
                </c:pt>
                <c:pt idx="858">
                  <c:v>1.3802816901408508E-2</c:v>
                </c:pt>
                <c:pt idx="859">
                  <c:v>-1.40258297458687E-2</c:v>
                </c:pt>
                <c:pt idx="860">
                  <c:v>1.3888888888895993E-4</c:v>
                </c:pt>
                <c:pt idx="861">
                  <c:v>-1.3698630136986301E-2</c:v>
                </c:pt>
                <c:pt idx="862">
                  <c:v>2.6578540289692035E-2</c:v>
                </c:pt>
                <c:pt idx="863">
                  <c:v>-1.9649122807017623E-3</c:v>
                </c:pt>
                <c:pt idx="864">
                  <c:v>7.4943438914027308E-3</c:v>
                </c:pt>
                <c:pt idx="865">
                  <c:v>-3.8033525848710529E-3</c:v>
                </c:pt>
                <c:pt idx="866">
                  <c:v>-5.9735099337748412E-2</c:v>
                </c:pt>
                <c:pt idx="867">
                  <c:v>-1.948051948051948E-2</c:v>
                </c:pt>
                <c:pt idx="868">
                  <c:v>-1.282051282051282E-2</c:v>
                </c:pt>
                <c:pt idx="869">
                  <c:v>-1.8867924528301886E-2</c:v>
                </c:pt>
                <c:pt idx="870">
                  <c:v>4.6052631578947366E-2</c:v>
                </c:pt>
                <c:pt idx="871">
                  <c:v>0</c:v>
                </c:pt>
                <c:pt idx="872">
                  <c:v>2.5062656641603709E-3</c:v>
                </c:pt>
                <c:pt idx="873">
                  <c:v>-9.1491308325709429E-3</c:v>
                </c:pt>
                <c:pt idx="874">
                  <c:v>-1.2774193548387032E-2</c:v>
                </c:pt>
                <c:pt idx="875">
                  <c:v>-6.41025641025641E-3</c:v>
                </c:pt>
                <c:pt idx="876">
                  <c:v>-8.2644628099174267E-3</c:v>
                </c:pt>
                <c:pt idx="877">
                  <c:v>-7.4705882352941108E-2</c:v>
                </c:pt>
                <c:pt idx="878">
                  <c:v>2.7811366384522335E-2</c:v>
                </c:pt>
                <c:pt idx="879">
                  <c:v>8.4136080965735612E-3</c:v>
                </c:pt>
                <c:pt idx="880">
                  <c:v>-1.073582629674307E-2</c:v>
                </c:pt>
                <c:pt idx="881">
                  <c:v>2.1816837174904603E-2</c:v>
                </c:pt>
                <c:pt idx="882">
                  <c:v>-2.2530120481927766E-2</c:v>
                </c:pt>
                <c:pt idx="883">
                  <c:v>-1.1904761904761904E-2</c:v>
                </c:pt>
                <c:pt idx="884">
                  <c:v>-1.1764705882352941E-2</c:v>
                </c:pt>
                <c:pt idx="885">
                  <c:v>0</c:v>
                </c:pt>
                <c:pt idx="886">
                  <c:v>0</c:v>
                </c:pt>
                <c:pt idx="887">
                  <c:v>-4.6838407494145858E-3</c:v>
                </c:pt>
                <c:pt idx="888">
                  <c:v>-4.0816326530611581E-3</c:v>
                </c:pt>
                <c:pt idx="889">
                  <c:v>2.0833333333333332E-2</c:v>
                </c:pt>
                <c:pt idx="890">
                  <c:v>0</c:v>
                </c:pt>
                <c:pt idx="891">
                  <c:v>0</c:v>
                </c:pt>
                <c:pt idx="892">
                  <c:v>5.9880239520958087E-3</c:v>
                </c:pt>
                <c:pt idx="893">
                  <c:v>-5.9844404548171351E-4</c:v>
                </c:pt>
                <c:pt idx="894">
                  <c:v>-3.9102932719954062E-2</c:v>
                </c:pt>
                <c:pt idx="895">
                  <c:v>4.1192671536342922E-2</c:v>
                </c:pt>
                <c:pt idx="896">
                  <c:v>5.5388320288983503E-3</c:v>
                </c:pt>
                <c:pt idx="897">
                  <c:v>-2.294117647058827E-2</c:v>
                </c:pt>
                <c:pt idx="898">
                  <c:v>0</c:v>
                </c:pt>
                <c:pt idx="899">
                  <c:v>2.3534949399854106E-4</c:v>
                </c:pt>
                <c:pt idx="900">
                  <c:v>-1.1766090128239681E-4</c:v>
                </c:pt>
                <c:pt idx="901">
                  <c:v>-1.176470588235896E-4</c:v>
                </c:pt>
                <c:pt idx="902">
                  <c:v>0</c:v>
                </c:pt>
                <c:pt idx="903">
                  <c:v>0</c:v>
                </c:pt>
                <c:pt idx="904">
                  <c:v>-2.9325513196480938E-3</c:v>
                </c:pt>
                <c:pt idx="905">
                  <c:v>-2.9239766081871343E-3</c:v>
                </c:pt>
                <c:pt idx="906">
                  <c:v>-2.2857142857142857E-2</c:v>
                </c:pt>
                <c:pt idx="907">
                  <c:v>6.9044879171460795E-3</c:v>
                </c:pt>
                <c:pt idx="908">
                  <c:v>1.0465116279069833E-2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5.8479532163742687E-3</c:v>
                </c:pt>
                <c:pt idx="917">
                  <c:v>-1.1560693641618497E-2</c:v>
                </c:pt>
                <c:pt idx="918">
                  <c:v>0</c:v>
                </c:pt>
                <c:pt idx="919">
                  <c:v>0</c:v>
                </c:pt>
                <c:pt idx="920">
                  <c:v>-1.1559357299740048E-4</c:v>
                </c:pt>
                <c:pt idx="921">
                  <c:v>1.1560693641624411E-4</c:v>
                </c:pt>
                <c:pt idx="922">
                  <c:v>-5.7471264367816091E-3</c:v>
                </c:pt>
                <c:pt idx="923">
                  <c:v>9.866511897852516E-3</c:v>
                </c:pt>
                <c:pt idx="924">
                  <c:v>-4.2777777777777713E-2</c:v>
                </c:pt>
                <c:pt idx="925">
                  <c:v>3.4482758620689655E-2</c:v>
                </c:pt>
                <c:pt idx="926">
                  <c:v>-1.1481056257175008E-3</c:v>
                </c:pt>
                <c:pt idx="927">
                  <c:v>-7.4074074074074719E-3</c:v>
                </c:pt>
                <c:pt idx="928">
                  <c:v>-1.4044943820224719E-2</c:v>
                </c:pt>
                <c:pt idx="929">
                  <c:v>-1.1223344556677253E-3</c:v>
                </c:pt>
                <c:pt idx="930">
                  <c:v>-5.6085249579373379E-4</c:v>
                </c:pt>
                <c:pt idx="931">
                  <c:v>-1.4917127071823142E-2</c:v>
                </c:pt>
                <c:pt idx="932">
                  <c:v>-5.4945054945054949E-3</c:v>
                </c:pt>
                <c:pt idx="933">
                  <c:v>-4.703051514820155E-3</c:v>
                </c:pt>
                <c:pt idx="934">
                  <c:v>4.7252747252748001E-3</c:v>
                </c:pt>
                <c:pt idx="935">
                  <c:v>2.247191011235955E-2</c:v>
                </c:pt>
                <c:pt idx="936">
                  <c:v>0</c:v>
                </c:pt>
                <c:pt idx="937">
                  <c:v>0</c:v>
                </c:pt>
                <c:pt idx="938">
                  <c:v>4.7058823529411764E-2</c:v>
                </c:pt>
                <c:pt idx="939">
                  <c:v>-1.6203703703703769E-2</c:v>
                </c:pt>
                <c:pt idx="940">
                  <c:v>-1.0309278350515367E-2</c:v>
                </c:pt>
                <c:pt idx="941">
                  <c:v>-1.8549747048903942E-2</c:v>
                </c:pt>
                <c:pt idx="942">
                  <c:v>4.6470588235294152E-2</c:v>
                </c:pt>
                <c:pt idx="943">
                  <c:v>3.5419126328216899E-3</c:v>
                </c:pt>
                <c:pt idx="944">
                  <c:v>-1.0860679668340449E-2</c:v>
                </c:pt>
                <c:pt idx="945">
                  <c:v>-2.4715261958997741E-2</c:v>
                </c:pt>
                <c:pt idx="946">
                  <c:v>-5.0991501416430916E-3</c:v>
                </c:pt>
                <c:pt idx="947">
                  <c:v>5.6980056980056983E-3</c:v>
                </c:pt>
                <c:pt idx="948">
                  <c:v>-3.9727582292848392E-3</c:v>
                </c:pt>
                <c:pt idx="949">
                  <c:v>1.2643678160919474E-2</c:v>
                </c:pt>
                <c:pt idx="950">
                  <c:v>0</c:v>
                </c:pt>
                <c:pt idx="951">
                  <c:v>1.1627906976744186E-2</c:v>
                </c:pt>
                <c:pt idx="952">
                  <c:v>1.4150943396226448E-2</c:v>
                </c:pt>
                <c:pt idx="953">
                  <c:v>4.7393364928908941E-3</c:v>
                </c:pt>
                <c:pt idx="954">
                  <c:v>-1.1834319526626547E-3</c:v>
                </c:pt>
                <c:pt idx="955">
                  <c:v>2.7355623100303952E-2</c:v>
                </c:pt>
                <c:pt idx="956">
                  <c:v>0</c:v>
                </c:pt>
                <c:pt idx="957">
                  <c:v>6.0827250608269049E-4</c:v>
                </c:pt>
                <c:pt idx="958">
                  <c:v>2.4299065420560782E-2</c:v>
                </c:pt>
                <c:pt idx="959">
                  <c:v>-1.368840219014428E-3</c:v>
                </c:pt>
                <c:pt idx="960">
                  <c:v>2.8278950735764474E-2</c:v>
                </c:pt>
                <c:pt idx="961">
                  <c:v>-6.3938618925827564E-4</c:v>
                </c:pt>
                <c:pt idx="962">
                  <c:v>2.6926529042185917E-3</c:v>
                </c:pt>
                <c:pt idx="963">
                  <c:v>6.3225806451612243E-3</c:v>
                </c:pt>
                <c:pt idx="964">
                  <c:v>1.3071895424836602E-2</c:v>
                </c:pt>
                <c:pt idx="965">
                  <c:v>-6.4935064935064939E-3</c:v>
                </c:pt>
                <c:pt idx="966">
                  <c:v>6.5359477124183009E-3</c:v>
                </c:pt>
                <c:pt idx="967">
                  <c:v>3.3783783783783786E-2</c:v>
                </c:pt>
                <c:pt idx="968">
                  <c:v>1.3515339910805671E-4</c:v>
                </c:pt>
                <c:pt idx="969">
                  <c:v>-1.3513513513520428E-4</c:v>
                </c:pt>
                <c:pt idx="970">
                  <c:v>-3.8836212495129176E-2</c:v>
                </c:pt>
                <c:pt idx="971">
                  <c:v>3.3885051479211636E-3</c:v>
                </c:pt>
                <c:pt idx="972">
                  <c:v>-9.9354838709676905E-3</c:v>
                </c:pt>
                <c:pt idx="973">
                  <c:v>6.6242369138849871E-3</c:v>
                </c:pt>
                <c:pt idx="974">
                  <c:v>0</c:v>
                </c:pt>
                <c:pt idx="975">
                  <c:v>-3.7625000000000061E-2</c:v>
                </c:pt>
                <c:pt idx="976">
                  <c:v>3.9771250324928543E-2</c:v>
                </c:pt>
                <c:pt idx="977">
                  <c:v>-7.2258064516129324E-3</c:v>
                </c:pt>
                <c:pt idx="978">
                  <c:v>6.2321474941574133E-3</c:v>
                </c:pt>
                <c:pt idx="979">
                  <c:v>-1.2564102564102616E-2</c:v>
                </c:pt>
                <c:pt idx="980">
                  <c:v>-6.369426751592357E-3</c:v>
                </c:pt>
                <c:pt idx="981">
                  <c:v>3.0183727034120696E-2</c:v>
                </c:pt>
                <c:pt idx="982">
                  <c:v>-2.6198083067092617E-2</c:v>
                </c:pt>
                <c:pt idx="983">
                  <c:v>3.205128205128205E-3</c:v>
                </c:pt>
                <c:pt idx="984">
                  <c:v>-1.2818869375727618E-4</c:v>
                </c:pt>
                <c:pt idx="985">
                  <c:v>-1.228159027601923E-2</c:v>
                </c:pt>
                <c:pt idx="986">
                  <c:v>-2.5316455696197497E-4</c:v>
                </c:pt>
                <c:pt idx="987">
                  <c:v>0</c:v>
                </c:pt>
                <c:pt idx="988">
                  <c:v>6.369426751592357E-3</c:v>
                </c:pt>
                <c:pt idx="989">
                  <c:v>6.539299910244969E-3</c:v>
                </c:pt>
                <c:pt idx="990">
                  <c:v>-2.5003125390673835E-2</c:v>
                </c:pt>
                <c:pt idx="991">
                  <c:v>3.4130575307045906E-2</c:v>
                </c:pt>
                <c:pt idx="992">
                  <c:v>7.1614583333332966E-3</c:v>
                </c:pt>
                <c:pt idx="993">
                  <c:v>-6.7252974650801357E-3</c:v>
                </c:pt>
                <c:pt idx="994">
                  <c:v>-2.0894010383690081E-2</c:v>
                </c:pt>
                <c:pt idx="995">
                  <c:v>2.3590408295528102E-2</c:v>
                </c:pt>
                <c:pt idx="996">
                  <c:v>-1.7697988286223588E-2</c:v>
                </c:pt>
                <c:pt idx="997">
                  <c:v>-5.8227848101265033E-3</c:v>
                </c:pt>
                <c:pt idx="998">
                  <c:v>-1.2376547068383485E-2</c:v>
                </c:pt>
                <c:pt idx="999">
                  <c:v>1.2531645569620189E-2</c:v>
                </c:pt>
                <c:pt idx="1000">
                  <c:v>0</c:v>
                </c:pt>
                <c:pt idx="1001">
                  <c:v>0</c:v>
                </c:pt>
                <c:pt idx="1002">
                  <c:v>6.369426751592357E-3</c:v>
                </c:pt>
                <c:pt idx="1003">
                  <c:v>6.41025641025641E-3</c:v>
                </c:pt>
                <c:pt idx="1004">
                  <c:v>-7.0019096117122492E-3</c:v>
                </c:pt>
                <c:pt idx="1005">
                  <c:v>-1.194968553459123E-2</c:v>
                </c:pt>
                <c:pt idx="1006">
                  <c:v>6.3291139240506328E-3</c:v>
                </c:pt>
                <c:pt idx="1007">
                  <c:v>1.607717041800643E-2</c:v>
                </c:pt>
                <c:pt idx="1008">
                  <c:v>-3.205128205128205E-3</c:v>
                </c:pt>
                <c:pt idx="1009">
                  <c:v>-1.5772870662460567E-2</c:v>
                </c:pt>
                <c:pt idx="1010">
                  <c:v>-3.1446540880503146E-3</c:v>
                </c:pt>
                <c:pt idx="1011">
                  <c:v>5.2283256121773702E-2</c:v>
                </c:pt>
                <c:pt idx="1012">
                  <c:v>7.54448398576512E-2</c:v>
                </c:pt>
                <c:pt idx="1013">
                  <c:v>2.5547445255474453E-2</c:v>
                </c:pt>
                <c:pt idx="1014">
                  <c:v>5.1357300073366736E-3</c:v>
                </c:pt>
                <c:pt idx="1015">
                  <c:v>-3.0719719133995575E-3</c:v>
                </c:pt>
                <c:pt idx="1016">
                  <c:v>1.9053202403634098E-3</c:v>
                </c:pt>
                <c:pt idx="1017">
                  <c:v>-6.4074559487403192E-3</c:v>
                </c:pt>
                <c:pt idx="1018">
                  <c:v>9.1109478324761881E-3</c:v>
                </c:pt>
                <c:pt idx="1019">
                  <c:v>7.3529411764701707E-4</c:v>
                </c:pt>
                <c:pt idx="1020">
                  <c:v>-3.663003663003663E-3</c:v>
                </c:pt>
                <c:pt idx="1021">
                  <c:v>-2.5000000000000001E-2</c:v>
                </c:pt>
                <c:pt idx="1022">
                  <c:v>1.4345746993189318E-2</c:v>
                </c:pt>
                <c:pt idx="1023">
                  <c:v>8.3284628872005752E-3</c:v>
                </c:pt>
                <c:pt idx="1024">
                  <c:v>-7.3003358154470957E-4</c:v>
                </c:pt>
                <c:pt idx="1025">
                  <c:v>-5.6620209059233539E-3</c:v>
                </c:pt>
                <c:pt idx="1026">
                  <c:v>-1.0486998994397414E-2</c:v>
                </c:pt>
                <c:pt idx="1027">
                  <c:v>5.0534218885358688E-3</c:v>
                </c:pt>
                <c:pt idx="1028">
                  <c:v>-3.4532374100718689E-3</c:v>
                </c:pt>
                <c:pt idx="1029">
                  <c:v>3.6101083032490976E-3</c:v>
                </c:pt>
                <c:pt idx="1030">
                  <c:v>0</c:v>
                </c:pt>
                <c:pt idx="1031">
                  <c:v>-9.1572471025897929E-3</c:v>
                </c:pt>
                <c:pt idx="1032">
                  <c:v>5.7562239171104574E-3</c:v>
                </c:pt>
                <c:pt idx="1033">
                  <c:v>-1.5804597701149345E-3</c:v>
                </c:pt>
                <c:pt idx="1034">
                  <c:v>8.6956521739129603E-3</c:v>
                </c:pt>
                <c:pt idx="1035">
                  <c:v>-7.2411296162197189E-4</c:v>
                </c:pt>
                <c:pt idx="1036">
                  <c:v>-6.4748201438849327E-3</c:v>
                </c:pt>
                <c:pt idx="1037">
                  <c:v>-3.5842293906810036E-3</c:v>
                </c:pt>
                <c:pt idx="1038">
                  <c:v>0</c:v>
                </c:pt>
                <c:pt idx="1039">
                  <c:v>3.5971223021582736E-3</c:v>
                </c:pt>
                <c:pt idx="1040">
                  <c:v>-7.851534618129867E-3</c:v>
                </c:pt>
                <c:pt idx="1041">
                  <c:v>5.7134695043553835E-4</c:v>
                </c:pt>
                <c:pt idx="1042">
                  <c:v>2.8575510787269944E-4</c:v>
                </c:pt>
                <c:pt idx="1043">
                  <c:v>-1.5611814345991555E-2</c:v>
                </c:pt>
                <c:pt idx="1044">
                  <c:v>-8.5064844512620207E-3</c:v>
                </c:pt>
                <c:pt idx="1045">
                  <c:v>-6.7867036011081587E-3</c:v>
                </c:pt>
                <c:pt idx="1046">
                  <c:v>9.5078299776287321E-3</c:v>
                </c:pt>
                <c:pt idx="1047">
                  <c:v>-5.9763724808896013E-3</c:v>
                </c:pt>
                <c:pt idx="1048">
                  <c:v>6.2937062937063332E-3</c:v>
                </c:pt>
                <c:pt idx="1049">
                  <c:v>0</c:v>
                </c:pt>
                <c:pt idx="1050">
                  <c:v>-1.2571588210644421E-3</c:v>
                </c:pt>
                <c:pt idx="1051">
                  <c:v>-2.9247910863508877E-3</c:v>
                </c:pt>
                <c:pt idx="1052">
                  <c:v>-2.7777777777778173E-3</c:v>
                </c:pt>
                <c:pt idx="1053">
                  <c:v>0</c:v>
                </c:pt>
                <c:pt idx="1054">
                  <c:v>0</c:v>
                </c:pt>
                <c:pt idx="1055">
                  <c:v>-2.7700831024931143E-3</c:v>
                </c:pt>
                <c:pt idx="1056">
                  <c:v>9.0845562543676543E-3</c:v>
                </c:pt>
                <c:pt idx="1057">
                  <c:v>2.100840336134334E-3</c:v>
                </c:pt>
                <c:pt idx="1058">
                  <c:v>-6.2630480167013038E-3</c:v>
                </c:pt>
                <c:pt idx="1059">
                  <c:v>8.4210526315788674E-3</c:v>
                </c:pt>
                <c:pt idx="1060">
                  <c:v>-7.6601671309191807E-3</c:v>
                </c:pt>
                <c:pt idx="1061">
                  <c:v>-3.4698126301179739E-3</c:v>
                </c:pt>
                <c:pt idx="1062">
                  <c:v>-9.621993127147805E-3</c:v>
                </c:pt>
                <c:pt idx="1063">
                  <c:v>-3.4246575342465752E-3</c:v>
                </c:pt>
                <c:pt idx="1064">
                  <c:v>0</c:v>
                </c:pt>
                <c:pt idx="1065">
                  <c:v>1.6005567153792703E-2</c:v>
                </c:pt>
                <c:pt idx="1066">
                  <c:v>-2.0833333333334122E-3</c:v>
                </c:pt>
                <c:pt idx="1067">
                  <c:v>6.9492703266153105E-4</c:v>
                </c:pt>
                <c:pt idx="1068">
                  <c:v>9.7384529771852245E-4</c:v>
                </c:pt>
                <c:pt idx="1069">
                  <c:v>3.9106145251396806E-3</c:v>
                </c:pt>
                <c:pt idx="1070">
                  <c:v>-5.5555555555556347E-3</c:v>
                </c:pt>
                <c:pt idx="1071">
                  <c:v>1.3370865587614397E-2</c:v>
                </c:pt>
                <c:pt idx="1072">
                  <c:v>7.0422535211263598E-4</c:v>
                </c:pt>
                <c:pt idx="1073">
                  <c:v>-5.6022408963586224E-3</c:v>
                </c:pt>
                <c:pt idx="1074">
                  <c:v>-8.3333333333332552E-3</c:v>
                </c:pt>
                <c:pt idx="1075">
                  <c:v>-6.8965517241379309E-3</c:v>
                </c:pt>
                <c:pt idx="1076">
                  <c:v>6.9444444444444441E-3</c:v>
                </c:pt>
                <c:pt idx="1077">
                  <c:v>6.8521885051041091E-3</c:v>
                </c:pt>
                <c:pt idx="1078">
                  <c:v>-6.8055555555554849E-3</c:v>
                </c:pt>
                <c:pt idx="1079">
                  <c:v>-1.0717230008244039E-2</c:v>
                </c:pt>
                <c:pt idx="1080">
                  <c:v>-2.9599999999999984E-2</c:v>
                </c:pt>
                <c:pt idx="1081">
                  <c:v>4.7486033519553154E-2</c:v>
                </c:pt>
                <c:pt idx="1082">
                  <c:v>1.398601398601319E-3</c:v>
                </c:pt>
                <c:pt idx="1083">
                  <c:v>1.7069701280227636E-2</c:v>
                </c:pt>
                <c:pt idx="1084">
                  <c:v>4.2857142857142452E-3</c:v>
                </c:pt>
                <c:pt idx="1085">
                  <c:v>0</c:v>
                </c:pt>
                <c:pt idx="1086">
                  <c:v>-3.5587188612099642E-3</c:v>
                </c:pt>
                <c:pt idx="1087">
                  <c:v>-1.0563380281690141E-2</c:v>
                </c:pt>
                <c:pt idx="1088">
                  <c:v>-1.4082523588234214E-4</c:v>
                </c:pt>
                <c:pt idx="1089">
                  <c:v>2.9661016949153666E-3</c:v>
                </c:pt>
                <c:pt idx="1090">
                  <c:v>-4.2194092827003826E-3</c:v>
                </c:pt>
                <c:pt idx="1091">
                  <c:v>-4.0621935845357371E-3</c:v>
                </c:pt>
                <c:pt idx="1092">
                  <c:v>-1.5384615384615304E-3</c:v>
                </c:pt>
                <c:pt idx="1093">
                  <c:v>7.0422535211267607E-3</c:v>
                </c:pt>
                <c:pt idx="1094">
                  <c:v>8.5227272727271906E-3</c:v>
                </c:pt>
                <c:pt idx="1095">
                  <c:v>4.9964311206282443E-3</c:v>
                </c:pt>
                <c:pt idx="1096">
                  <c:v>-1.2545813363405703E-2</c:v>
                </c:pt>
                <c:pt idx="1097">
                  <c:v>9.8220640569394689E-3</c:v>
                </c:pt>
                <c:pt idx="1098">
                  <c:v>-5.8024341919048483E-3</c:v>
                </c:pt>
                <c:pt idx="1099">
                  <c:v>-6.8868587491217013E-3</c:v>
                </c:pt>
                <c:pt idx="1100">
                  <c:v>-4.7559099174708241E-3</c:v>
                </c:pt>
                <c:pt idx="1101">
                  <c:v>-1.3986013986021142E-4</c:v>
                </c:pt>
                <c:pt idx="1102">
                  <c:v>-6.8065009029031108E-3</c:v>
                </c:pt>
                <c:pt idx="1103">
                  <c:v>5.4469273743016841E-3</c:v>
                </c:pt>
                <c:pt idx="1104">
                  <c:v>-4.1881893061567973E-4</c:v>
                </c:pt>
                <c:pt idx="1105">
                  <c:v>-1.8632689409508147E-2</c:v>
                </c:pt>
                <c:pt idx="1106">
                  <c:v>3.2989690721648779E-3</c:v>
                </c:pt>
                <c:pt idx="1107">
                  <c:v>2.464788732394366E-2</c:v>
                </c:pt>
                <c:pt idx="1108">
                  <c:v>-2.6730637422892431E-2</c:v>
                </c:pt>
                <c:pt idx="1109">
                  <c:v>5.3581744656268172E-2</c:v>
                </c:pt>
                <c:pt idx="1110">
                  <c:v>-1.4440433213003777E-4</c:v>
                </c:pt>
                <c:pt idx="1111">
                  <c:v>3.6231884057971015E-3</c:v>
                </c:pt>
                <c:pt idx="1112">
                  <c:v>2.9069767441860881E-3</c:v>
                </c:pt>
                <c:pt idx="1113">
                  <c:v>-2.030751378009872E-3</c:v>
                </c:pt>
                <c:pt idx="1114">
                  <c:v>6.4233576642335434E-3</c:v>
                </c:pt>
                <c:pt idx="1115">
                  <c:v>-1.7921146953405017E-2</c:v>
                </c:pt>
                <c:pt idx="1116">
                  <c:v>7.1736011477757753E-4</c:v>
                </c:pt>
                <c:pt idx="1117">
                  <c:v>1.0144927536231925E-2</c:v>
                </c:pt>
                <c:pt idx="1118">
                  <c:v>-7.1942446043165471E-3</c:v>
                </c:pt>
                <c:pt idx="1119">
                  <c:v>-1.9746121297602334E-2</c:v>
                </c:pt>
                <c:pt idx="1120">
                  <c:v>-8.3916083916083118E-3</c:v>
                </c:pt>
                <c:pt idx="1121">
                  <c:v>0</c:v>
                </c:pt>
                <c:pt idx="1122">
                  <c:v>-3.4843205574912892E-3</c:v>
                </c:pt>
                <c:pt idx="1123">
                  <c:v>-1.6449623029472279E-2</c:v>
                </c:pt>
                <c:pt idx="1124">
                  <c:v>-2.0519835841312103E-3</c:v>
                </c:pt>
                <c:pt idx="1125">
                  <c:v>1.5277777777777699E-2</c:v>
                </c:pt>
                <c:pt idx="1126">
                  <c:v>1.3941698352344668E-2</c:v>
                </c:pt>
                <c:pt idx="1127">
                  <c:v>2.9661016949153666E-3</c:v>
                </c:pt>
                <c:pt idx="1128">
                  <c:v>9.985734664764663E-3</c:v>
                </c:pt>
                <c:pt idx="1129">
                  <c:v>-1.2676056338028249E-2</c:v>
                </c:pt>
                <c:pt idx="1130">
                  <c:v>-1.3888888888888888E-2</c:v>
                </c:pt>
                <c:pt idx="1131">
                  <c:v>4.0462427745664699E-2</c:v>
                </c:pt>
                <c:pt idx="1132">
                  <c:v>-1.1428571428571389E-2</c:v>
                </c:pt>
                <c:pt idx="1133">
                  <c:v>7.0493454179254046E-3</c:v>
                </c:pt>
                <c:pt idx="1134">
                  <c:v>-4.1547277936961613E-3</c:v>
                </c:pt>
                <c:pt idx="1135">
                  <c:v>-1.133144475920676E-2</c:v>
                </c:pt>
                <c:pt idx="1136">
                  <c:v>1.4184397163119762E-3</c:v>
                </c:pt>
                <c:pt idx="1137">
                  <c:v>0</c:v>
                </c:pt>
                <c:pt idx="1138">
                  <c:v>7.1428571428571426E-3</c:v>
                </c:pt>
                <c:pt idx="1139">
                  <c:v>-7.0921985815602835E-3</c:v>
                </c:pt>
                <c:pt idx="1140">
                  <c:v>-7.3218811602364974E-3</c:v>
                </c:pt>
                <c:pt idx="1141">
                  <c:v>-6.7132867132867688E-3</c:v>
                </c:pt>
                <c:pt idx="1142">
                  <c:v>-7.3580452589199104E-3</c:v>
                </c:pt>
                <c:pt idx="1143">
                  <c:v>-1.3287671232876696E-2</c:v>
                </c:pt>
                <c:pt idx="1144">
                  <c:v>0</c:v>
                </c:pt>
                <c:pt idx="1145">
                  <c:v>-2.2495982860203625E-2</c:v>
                </c:pt>
                <c:pt idx="1146">
                  <c:v>9.0528306985542713E-3</c:v>
                </c:pt>
                <c:pt idx="1147">
                  <c:v>-1.293678314217123E-2</c:v>
                </c:pt>
                <c:pt idx="1148">
                  <c:v>-2.6666666666661361E-4</c:v>
                </c:pt>
                <c:pt idx="1149">
                  <c:v>-6.7743940335612221E-2</c:v>
                </c:pt>
                <c:pt idx="1150">
                  <c:v>-1.8610421836227232E-3</c:v>
                </c:pt>
                <c:pt idx="1151">
                  <c:v>1.511335012594444E-2</c:v>
                </c:pt>
                <c:pt idx="1152">
                  <c:v>1.1464968152866314E-2</c:v>
                </c:pt>
                <c:pt idx="1153">
                  <c:v>-1.2578616352201259E-2</c:v>
                </c:pt>
                <c:pt idx="1154">
                  <c:v>-6.2500000000000003E-3</c:v>
                </c:pt>
                <c:pt idx="1155">
                  <c:v>1.2658227848101266E-2</c:v>
                </c:pt>
                <c:pt idx="1156">
                  <c:v>-2.4450481600395209E-2</c:v>
                </c:pt>
                <c:pt idx="1157">
                  <c:v>2.5063291139240558E-2</c:v>
                </c:pt>
                <c:pt idx="1158">
                  <c:v>-1.2623422072241033E-2</c:v>
                </c:pt>
                <c:pt idx="1159">
                  <c:v>0</c:v>
                </c:pt>
                <c:pt idx="1160">
                  <c:v>0</c:v>
                </c:pt>
                <c:pt idx="1161">
                  <c:v>-6.3338301043217946E-3</c:v>
                </c:pt>
                <c:pt idx="1162">
                  <c:v>-5.9259259259259751E-3</c:v>
                </c:pt>
                <c:pt idx="1163">
                  <c:v>6.2111801242236021E-3</c:v>
                </c:pt>
                <c:pt idx="1164">
                  <c:v>-7.447864945382606E-4</c:v>
                </c:pt>
                <c:pt idx="1165">
                  <c:v>-1.5640273704789848E-2</c:v>
                </c:pt>
                <c:pt idx="1166">
                  <c:v>-6.7961165048543958E-3</c:v>
                </c:pt>
                <c:pt idx="1167">
                  <c:v>-9.6153846153845812E-3</c:v>
                </c:pt>
                <c:pt idx="1168">
                  <c:v>-1.3633669235328886E-2</c:v>
                </c:pt>
                <c:pt idx="1169">
                  <c:v>2.7906409943943358E-2</c:v>
                </c:pt>
                <c:pt idx="1170">
                  <c:v>-4.1262135922330509E-3</c:v>
                </c:pt>
                <c:pt idx="1171">
                  <c:v>-1.317365269461071E-2</c:v>
                </c:pt>
                <c:pt idx="1172">
                  <c:v>-1.533018867924525E-2</c:v>
                </c:pt>
                <c:pt idx="1173">
                  <c:v>5.8997050147489274E-4</c:v>
                </c:pt>
                <c:pt idx="1174">
                  <c:v>2.9585798816568047E-3</c:v>
                </c:pt>
                <c:pt idx="1175">
                  <c:v>-6.5835880554902691E-3</c:v>
                </c:pt>
                <c:pt idx="1176">
                  <c:v>-1.0700162828564801E-2</c:v>
                </c:pt>
                <c:pt idx="1177">
                  <c:v>9.3131548311988692E-4</c:v>
                </c:pt>
                <c:pt idx="1178">
                  <c:v>1.4167650531286928E-2</c:v>
                </c:pt>
                <c:pt idx="1179">
                  <c:v>8.3333333333333679E-3</c:v>
                </c:pt>
                <c:pt idx="1180">
                  <c:v>-1.1764705882352941E-2</c:v>
                </c:pt>
                <c:pt idx="1181">
                  <c:v>0</c:v>
                </c:pt>
                <c:pt idx="1182">
                  <c:v>-5.8479532163742687E-3</c:v>
                </c:pt>
                <c:pt idx="1183">
                  <c:v>-3.1479538300104469E-3</c:v>
                </c:pt>
                <c:pt idx="1184">
                  <c:v>-2.6744186046512089E-3</c:v>
                </c:pt>
                <c:pt idx="1185">
                  <c:v>2.7985074626865072E-3</c:v>
                </c:pt>
                <c:pt idx="1186">
                  <c:v>-1.4252873563218332E-2</c:v>
                </c:pt>
                <c:pt idx="1187">
                  <c:v>4.5029442327675856E-3</c:v>
                </c:pt>
                <c:pt idx="1188">
                  <c:v>-9.8319423802446498E-3</c:v>
                </c:pt>
                <c:pt idx="1189">
                  <c:v>-3.4285714285715586E-4</c:v>
                </c:pt>
                <c:pt idx="1190">
                  <c:v>0</c:v>
                </c:pt>
                <c:pt idx="1191">
                  <c:v>-2.2805017103763149E-3</c:v>
                </c:pt>
                <c:pt idx="1192">
                  <c:v>-3.4090909090908768E-3</c:v>
                </c:pt>
                <c:pt idx="1193">
                  <c:v>0</c:v>
                </c:pt>
                <c:pt idx="1194">
                  <c:v>-4.524886877828118E-3</c:v>
                </c:pt>
                <c:pt idx="1195">
                  <c:v>-5.6242969628796397E-3</c:v>
                </c:pt>
                <c:pt idx="1196">
                  <c:v>3.3720930232558205E-2</c:v>
                </c:pt>
                <c:pt idx="1197">
                  <c:v>1.1764705882352941E-2</c:v>
                </c:pt>
                <c:pt idx="1198">
                  <c:v>0</c:v>
                </c:pt>
                <c:pt idx="1199">
                  <c:v>1.1766090128256402E-4</c:v>
                </c:pt>
                <c:pt idx="1200">
                  <c:v>1.3595706618962441E-2</c:v>
                </c:pt>
                <c:pt idx="1201">
                  <c:v>-1.3529411764705949E-2</c:v>
                </c:pt>
                <c:pt idx="1202">
                  <c:v>1.1778563015311461E-3</c:v>
                </c:pt>
                <c:pt idx="1203">
                  <c:v>1.6644713207999047E-2</c:v>
                </c:pt>
                <c:pt idx="1204">
                  <c:v>-5.833333333333272E-3</c:v>
                </c:pt>
                <c:pt idx="1205">
                  <c:v>-2.967359050445104E-3</c:v>
                </c:pt>
                <c:pt idx="1206">
                  <c:v>3.095606619835756E-3</c:v>
                </c:pt>
                <c:pt idx="1207">
                  <c:v>6.109247724005641E-3</c:v>
                </c:pt>
                <c:pt idx="1208">
                  <c:v>-5.0059594755661706E-3</c:v>
                </c:pt>
                <c:pt idx="1209">
                  <c:v>-1.6658733936220913E-3</c:v>
                </c:pt>
                <c:pt idx="1210">
                  <c:v>-1.129411764705875E-2</c:v>
                </c:pt>
                <c:pt idx="1211">
                  <c:v>1.0461245839277168E-2</c:v>
                </c:pt>
                <c:pt idx="1212">
                  <c:v>-9.5011876484558542E-4</c:v>
                </c:pt>
                <c:pt idx="1213">
                  <c:v>2.380952380952415E-3</c:v>
                </c:pt>
                <c:pt idx="1214">
                  <c:v>1.8181818181818181E-2</c:v>
                </c:pt>
                <c:pt idx="1215">
                  <c:v>-6.024096385542169E-3</c:v>
                </c:pt>
                <c:pt idx="1216">
                  <c:v>1.2195121951219513E-2</c:v>
                </c:pt>
                <c:pt idx="1217">
                  <c:v>0</c:v>
                </c:pt>
                <c:pt idx="1218">
                  <c:v>-6.0606060606060606E-3</c:v>
                </c:pt>
                <c:pt idx="1219">
                  <c:v>-1.4925373134328358E-2</c:v>
                </c:pt>
                <c:pt idx="1220">
                  <c:v>1.1473429951690857E-2</c:v>
                </c:pt>
                <c:pt idx="1221">
                  <c:v>-2.4096385542169015E-3</c:v>
                </c:pt>
                <c:pt idx="1222">
                  <c:v>0</c:v>
                </c:pt>
                <c:pt idx="1223">
                  <c:v>2.4154589371981022E-3</c:v>
                </c:pt>
                <c:pt idx="1224">
                  <c:v>-1.3698630136986368E-2</c:v>
                </c:pt>
                <c:pt idx="1225">
                  <c:v>-1.1073153492755304E-2</c:v>
                </c:pt>
                <c:pt idx="1226">
                  <c:v>1.0595238095238102E-2</c:v>
                </c:pt>
                <c:pt idx="1227">
                  <c:v>1.8181818181818181E-2</c:v>
                </c:pt>
                <c:pt idx="1228">
                  <c:v>6.0975609756097563E-3</c:v>
                </c:pt>
                <c:pt idx="1229">
                  <c:v>-2.3809523809523808E-2</c:v>
                </c:pt>
                <c:pt idx="1230">
                  <c:v>-5.9171597633136093E-3</c:v>
                </c:pt>
                <c:pt idx="1231">
                  <c:v>-5.8823529411764705E-3</c:v>
                </c:pt>
                <c:pt idx="1232">
                  <c:v>-9.324009324009291E-3</c:v>
                </c:pt>
                <c:pt idx="1233">
                  <c:v>9.4117647058823192E-3</c:v>
                </c:pt>
                <c:pt idx="1234">
                  <c:v>0</c:v>
                </c:pt>
                <c:pt idx="1235">
                  <c:v>0</c:v>
                </c:pt>
                <c:pt idx="1236">
                  <c:v>-1.1627906976744186E-2</c:v>
                </c:pt>
                <c:pt idx="1237">
                  <c:v>0</c:v>
                </c:pt>
                <c:pt idx="1238">
                  <c:v>1.7751479289940829E-2</c:v>
                </c:pt>
                <c:pt idx="1239">
                  <c:v>0</c:v>
                </c:pt>
                <c:pt idx="1240">
                  <c:v>-1.7327596232119956E-2</c:v>
                </c:pt>
                <c:pt idx="1241">
                  <c:v>1.1766090128250382E-2</c:v>
                </c:pt>
                <c:pt idx="1242">
                  <c:v>1.1785714285714224E-2</c:v>
                </c:pt>
                <c:pt idx="1243">
                  <c:v>3.7037037037037035E-2</c:v>
                </c:pt>
                <c:pt idx="1244">
                  <c:v>0</c:v>
                </c:pt>
                <c:pt idx="1245">
                  <c:v>-4.7058823529411764E-2</c:v>
                </c:pt>
                <c:pt idx="1246">
                  <c:v>-1.1627906976744186E-2</c:v>
                </c:pt>
                <c:pt idx="1247">
                  <c:v>-3.0141432877348147E-3</c:v>
                </c:pt>
                <c:pt idx="1248">
                  <c:v>-3.9260969976904064E-3</c:v>
                </c:pt>
                <c:pt idx="1249">
                  <c:v>-1.0285714285714351E-2</c:v>
                </c:pt>
                <c:pt idx="1250">
                  <c:v>0</c:v>
                </c:pt>
                <c:pt idx="1251">
                  <c:v>1.8626309662398071E-2</c:v>
                </c:pt>
                <c:pt idx="1252">
                  <c:v>4.6783625730994821E-3</c:v>
                </c:pt>
                <c:pt idx="1253">
                  <c:v>-1.1560693641618497E-2</c:v>
                </c:pt>
                <c:pt idx="1254">
                  <c:v>-3.3519553072625698E-2</c:v>
                </c:pt>
                <c:pt idx="1255">
                  <c:v>1.589103291713968E-2</c:v>
                </c:pt>
                <c:pt idx="1256">
                  <c:v>4.7437878968018009E-2</c:v>
                </c:pt>
                <c:pt idx="1257">
                  <c:v>-1.0470588235294124E-2</c:v>
                </c:pt>
                <c:pt idx="1258">
                  <c:v>-1.1627906976744186E-2</c:v>
                </c:pt>
                <c:pt idx="1259">
                  <c:v>-3.5441902198295162E-2</c:v>
                </c:pt>
                <c:pt idx="1260">
                  <c:v>7.4993971545695676E-2</c:v>
                </c:pt>
                <c:pt idx="1261">
                  <c:v>-7.2289156626508758E-4</c:v>
                </c:pt>
                <c:pt idx="1262">
                  <c:v>-5.9880239520958087E-3</c:v>
                </c:pt>
                <c:pt idx="1263">
                  <c:v>-2.9069767441860465E-2</c:v>
                </c:pt>
                <c:pt idx="1264">
                  <c:v>-5.0667844132906537E-2</c:v>
                </c:pt>
                <c:pt idx="1265">
                  <c:v>7.5252225519287869E-2</c:v>
                </c:pt>
                <c:pt idx="1266">
                  <c:v>-8.2401412595644822E-3</c:v>
                </c:pt>
                <c:pt idx="1267">
                  <c:v>-5.8823529411761361E-4</c:v>
                </c:pt>
                <c:pt idx="1268">
                  <c:v>-1.1627906976744186E-2</c:v>
                </c:pt>
                <c:pt idx="1269">
                  <c:v>1.1764705882352941E-2</c:v>
                </c:pt>
                <c:pt idx="1270">
                  <c:v>0</c:v>
                </c:pt>
                <c:pt idx="1271">
                  <c:v>5.7981303987693156E-3</c:v>
                </c:pt>
                <c:pt idx="1272">
                  <c:v>1.3033175355450168E-3</c:v>
                </c:pt>
                <c:pt idx="1273">
                  <c:v>-7.0588235294116982E-3</c:v>
                </c:pt>
                <c:pt idx="1274">
                  <c:v>5.9171597633136093E-3</c:v>
                </c:pt>
                <c:pt idx="1275">
                  <c:v>-1.1695906432748537E-2</c:v>
                </c:pt>
                <c:pt idx="1276">
                  <c:v>-8.6956521739130436E-3</c:v>
                </c:pt>
                <c:pt idx="1277">
                  <c:v>-8.5067249109092424E-3</c:v>
                </c:pt>
                <c:pt idx="1278">
                  <c:v>-1.1494252873569098E-4</c:v>
                </c:pt>
                <c:pt idx="1279">
                  <c:v>1.1627906976744186E-2</c:v>
                </c:pt>
                <c:pt idx="1280">
                  <c:v>0</c:v>
                </c:pt>
                <c:pt idx="1281">
                  <c:v>2.858509747637843E-2</c:v>
                </c:pt>
                <c:pt idx="1282">
                  <c:v>-2.6658905704307404E-2</c:v>
                </c:pt>
                <c:pt idx="1283">
                  <c:v>2.8017744571563054E-3</c:v>
                </c:pt>
                <c:pt idx="1284">
                  <c:v>-1.5289113691228859E-2</c:v>
                </c:pt>
                <c:pt idx="1285">
                  <c:v>2.1889400921658725E-3</c:v>
                </c:pt>
                <c:pt idx="1286">
                  <c:v>9.4196999651122489E-3</c:v>
                </c:pt>
                <c:pt idx="1287">
                  <c:v>5.7309941520467238E-3</c:v>
                </c:pt>
                <c:pt idx="1288">
                  <c:v>-2.0057306590257881E-2</c:v>
                </c:pt>
                <c:pt idx="1289">
                  <c:v>2.8735632183908046E-3</c:v>
                </c:pt>
                <c:pt idx="1290">
                  <c:v>1.1507479861909587E-3</c:v>
                </c:pt>
                <c:pt idx="1291">
                  <c:v>-6.8571428571427926E-3</c:v>
                </c:pt>
                <c:pt idx="1292">
                  <c:v>3.4403669724770315E-3</c:v>
                </c:pt>
                <c:pt idx="1293">
                  <c:v>-1.8018018018017955E-2</c:v>
                </c:pt>
                <c:pt idx="1294">
                  <c:v>-7.5994635672776796E-3</c:v>
                </c:pt>
                <c:pt idx="1295">
                  <c:v>5.270588235294122E-2</c:v>
                </c:pt>
                <c:pt idx="1296">
                  <c:v>-1.1627906976744186E-2</c:v>
                </c:pt>
                <c:pt idx="1297">
                  <c:v>5.8479532163742687E-3</c:v>
                </c:pt>
                <c:pt idx="1298">
                  <c:v>1.1834319526627219E-2</c:v>
                </c:pt>
                <c:pt idx="1299">
                  <c:v>-5.8823529411764705E-3</c:v>
                </c:pt>
                <c:pt idx="1300">
                  <c:v>0</c:v>
                </c:pt>
                <c:pt idx="1301">
                  <c:v>1.7964071856287425E-2</c:v>
                </c:pt>
                <c:pt idx="1302">
                  <c:v>-1.4167650531286928E-2</c:v>
                </c:pt>
                <c:pt idx="1303">
                  <c:v>2.3668639053254772E-3</c:v>
                </c:pt>
                <c:pt idx="1304">
                  <c:v>-1.7441860465116279E-2</c:v>
                </c:pt>
                <c:pt idx="1305">
                  <c:v>2.3809523809523808E-2</c:v>
                </c:pt>
                <c:pt idx="1306">
                  <c:v>-1.19033448399061E-4</c:v>
                </c:pt>
                <c:pt idx="1307">
                  <c:v>1.2168674698795243E-2</c:v>
                </c:pt>
                <c:pt idx="1308">
                  <c:v>-1.2046741356469239E-4</c:v>
                </c:pt>
                <c:pt idx="1309">
                  <c:v>-2.3411764705882292E-2</c:v>
                </c:pt>
                <c:pt idx="1310">
                  <c:v>6.9182389937106917E-2</c:v>
                </c:pt>
                <c:pt idx="1311">
                  <c:v>1.5066394279877514E-2</c:v>
                </c:pt>
                <c:pt idx="1312">
                  <c:v>1.6626167029031263E-3</c:v>
                </c:pt>
                <c:pt idx="1313">
                  <c:v>2.1957913998170077E-2</c:v>
                </c:pt>
                <c:pt idx="1314">
                  <c:v>1.3071895424843289E-4</c:v>
                </c:pt>
                <c:pt idx="1315">
                  <c:v>-2.6075619295958647E-3</c:v>
                </c:pt>
                <c:pt idx="1316">
                  <c:v>-3.8961038961038592E-3</c:v>
                </c:pt>
                <c:pt idx="1317">
                  <c:v>1.3157894736842105E-2</c:v>
                </c:pt>
                <c:pt idx="1318">
                  <c:v>-6.5359477124183009E-3</c:v>
                </c:pt>
                <c:pt idx="1319">
                  <c:v>-6.4935064935064939E-3</c:v>
                </c:pt>
                <c:pt idx="1320">
                  <c:v>-1.4715291106845881E-2</c:v>
                </c:pt>
                <c:pt idx="1321">
                  <c:v>2.0515450698808924E-3</c:v>
                </c:pt>
                <c:pt idx="1322">
                  <c:v>1.1412268188302366E-2</c:v>
                </c:pt>
                <c:pt idx="1323">
                  <c:v>1.4605263157894729E-2</c:v>
                </c:pt>
                <c:pt idx="1324">
                  <c:v>0</c:v>
                </c:pt>
                <c:pt idx="1325">
                  <c:v>2.6385224274406709E-3</c:v>
                </c:pt>
                <c:pt idx="1326">
                  <c:v>1.0666666666666628E-2</c:v>
                </c:pt>
                <c:pt idx="1327">
                  <c:v>-1.0554089709762496E-2</c:v>
                </c:pt>
                <c:pt idx="1328">
                  <c:v>3.9735099337747971E-3</c:v>
                </c:pt>
                <c:pt idx="1329">
                  <c:v>-1.3200888772709515E-2</c:v>
                </c:pt>
                <c:pt idx="1330">
                  <c:v>4.8082191780821987E-2</c:v>
                </c:pt>
                <c:pt idx="1331">
                  <c:v>6.20261888352864E-3</c:v>
                </c:pt>
                <c:pt idx="1332">
                  <c:v>-6.1643835616438745E-3</c:v>
                </c:pt>
                <c:pt idx="1333">
                  <c:v>-6.8027210884353739E-3</c:v>
                </c:pt>
                <c:pt idx="1334">
                  <c:v>2.0449897750512026E-3</c:v>
                </c:pt>
                <c:pt idx="1335">
                  <c:v>-1.7691888949375293E-3</c:v>
                </c:pt>
                <c:pt idx="1336">
                  <c:v>-2.7210884353736086E-4</c:v>
                </c:pt>
                <c:pt idx="1337">
                  <c:v>-6.7567567567567571E-3</c:v>
                </c:pt>
                <c:pt idx="1338">
                  <c:v>-1.3511687609789373E-4</c:v>
                </c:pt>
                <c:pt idx="1339">
                  <c:v>-1.0561497326203102E-2</c:v>
                </c:pt>
                <c:pt idx="1340">
                  <c:v>1.7825554497210537E-2</c:v>
                </c:pt>
                <c:pt idx="1341">
                  <c:v>-1.6987693953986225E-2</c:v>
                </c:pt>
                <c:pt idx="1342">
                  <c:v>-9.5389507154212873E-3</c:v>
                </c:pt>
                <c:pt idx="1343">
                  <c:v>1.8582426333952822E-3</c:v>
                </c:pt>
                <c:pt idx="1344">
                  <c:v>1.879648411088574E-2</c:v>
                </c:pt>
                <c:pt idx="1345">
                  <c:v>8.1201786439304743E-4</c:v>
                </c:pt>
                <c:pt idx="1346">
                  <c:v>4.6227056424201687E-3</c:v>
                </c:pt>
                <c:pt idx="1347">
                  <c:v>2.1527777777777739E-2</c:v>
                </c:pt>
                <c:pt idx="1348">
                  <c:v>-1.5721120984278955E-2</c:v>
                </c:pt>
                <c:pt idx="1349">
                  <c:v>-2.3103632478632345E-2</c:v>
                </c:pt>
                <c:pt idx="1350">
                  <c:v>1.766784452296816E-2</c:v>
                </c:pt>
                <c:pt idx="1351">
                  <c:v>7.6691317447275037E-3</c:v>
                </c:pt>
                <c:pt idx="1352">
                  <c:v>2.8450704225352057E-2</c:v>
                </c:pt>
                <c:pt idx="1353">
                  <c:v>-1.5393149355151844E-2</c:v>
                </c:pt>
                <c:pt idx="1354">
                  <c:v>-5.3793103448275944E-3</c:v>
                </c:pt>
                <c:pt idx="1355">
                  <c:v>5.5478502080444619E-3</c:v>
                </c:pt>
                <c:pt idx="1356">
                  <c:v>2.7816411682891323E-3</c:v>
                </c:pt>
                <c:pt idx="1357">
                  <c:v>-6.0823887199336147E-3</c:v>
                </c:pt>
                <c:pt idx="1358">
                  <c:v>8.2229965156794902E-3</c:v>
                </c:pt>
                <c:pt idx="1359">
                  <c:v>-6.6848744960332954E-2</c:v>
                </c:pt>
                <c:pt idx="1360">
                  <c:v>-1.4285714285714212E-3</c:v>
                </c:pt>
                <c:pt idx="1361">
                  <c:v>-1.4841351074718482E-2</c:v>
                </c:pt>
                <c:pt idx="1362">
                  <c:v>3.2087679915489137E-2</c:v>
                </c:pt>
                <c:pt idx="1363">
                  <c:v>-2.2460307215696335E-2</c:v>
                </c:pt>
                <c:pt idx="1364">
                  <c:v>-7.1767268999103203E-3</c:v>
                </c:pt>
                <c:pt idx="1365">
                  <c:v>-8.6393088552914835E-3</c:v>
                </c:pt>
                <c:pt idx="1366">
                  <c:v>-2.2842954686530147E-2</c:v>
                </c:pt>
                <c:pt idx="1367">
                  <c:v>6.6233441639590249E-3</c:v>
                </c:pt>
                <c:pt idx="1368">
                  <c:v>2.4999999999995024E-4</c:v>
                </c:pt>
                <c:pt idx="1369">
                  <c:v>2.5006251562885749E-4</c:v>
                </c:pt>
                <c:pt idx="1370">
                  <c:v>1.8723729461215116E-2</c:v>
                </c:pt>
                <c:pt idx="1371">
                  <c:v>-1.4560060248525124E-2</c:v>
                </c:pt>
                <c:pt idx="1372">
                  <c:v>-2.7537864563775051E-3</c:v>
                </c:pt>
                <c:pt idx="1373">
                  <c:v>-1.504130193564294E-2</c:v>
                </c:pt>
                <c:pt idx="1374">
                  <c:v>3.3511722731906161E-2</c:v>
                </c:pt>
                <c:pt idx="1375">
                  <c:v>-1.8754688672168042E-2</c:v>
                </c:pt>
                <c:pt idx="1376">
                  <c:v>-1.2592592592592544E-2</c:v>
                </c:pt>
                <c:pt idx="1377">
                  <c:v>-5.473217411599951E-2</c:v>
                </c:pt>
                <c:pt idx="1378">
                  <c:v>4.1570438799076237E-2</c:v>
                </c:pt>
                <c:pt idx="1379">
                  <c:v>-1.6144463047118016E-2</c:v>
                </c:pt>
                <c:pt idx="1380">
                  <c:v>-8.6544161232956704E-3</c:v>
                </c:pt>
                <c:pt idx="1381">
                  <c:v>3.243574051407578E-2</c:v>
                </c:pt>
                <c:pt idx="1382">
                  <c:v>6.7775723967960213E-3</c:v>
                </c:pt>
                <c:pt idx="1383">
                  <c:v>-1.8148820326678763E-2</c:v>
                </c:pt>
                <c:pt idx="1384">
                  <c:v>2.6708074534161561E-2</c:v>
                </c:pt>
                <c:pt idx="1385">
                  <c:v>-2.766034545234939E-2</c:v>
                </c:pt>
                <c:pt idx="1386">
                  <c:v>7.4227305913847578E-3</c:v>
                </c:pt>
                <c:pt idx="1387">
                  <c:v>7.4950948332243347E-2</c:v>
                </c:pt>
                <c:pt idx="1388">
                  <c:v>7.4943757030371178E-2</c:v>
                </c:pt>
                <c:pt idx="1389">
                  <c:v>6.4351990422029506E-2</c:v>
                </c:pt>
                <c:pt idx="1390">
                  <c:v>-4.556491929724342E-2</c:v>
                </c:pt>
                <c:pt idx="1391">
                  <c:v>-2.4223425477344213E-3</c:v>
                </c:pt>
                <c:pt idx="1392">
                  <c:v>-2.5683742884908985E-2</c:v>
                </c:pt>
                <c:pt idx="1393">
                  <c:v>-7.4996789520996573E-2</c:v>
                </c:pt>
                <c:pt idx="1394">
                  <c:v>5.9455782312925233E-2</c:v>
                </c:pt>
                <c:pt idx="1395">
                  <c:v>4.2701092353525399E-2</c:v>
                </c:pt>
                <c:pt idx="1396">
                  <c:v>-7.4934383202099844E-2</c:v>
                </c:pt>
                <c:pt idx="1397">
                  <c:v>-6.4686387627347436E-2</c:v>
                </c:pt>
                <c:pt idx="1398">
                  <c:v>-7.1249430004559966E-2</c:v>
                </c:pt>
                <c:pt idx="1399">
                  <c:v>4.4161409356028969E-2</c:v>
                </c:pt>
                <c:pt idx="1400">
                  <c:v>-5.5005624296962881E-2</c:v>
                </c:pt>
                <c:pt idx="1401">
                  <c:v>-7.8124999999998734E-3</c:v>
                </c:pt>
                <c:pt idx="1402">
                  <c:v>1.7950465803226522E-2</c:v>
                </c:pt>
                <c:pt idx="1403">
                  <c:v>-6.5462753950338414E-3</c:v>
                </c:pt>
                <c:pt idx="1404">
                  <c:v>-4.7414256531555864E-2</c:v>
                </c:pt>
                <c:pt idx="1405">
                  <c:v>-2.0947368421052579E-2</c:v>
                </c:pt>
                <c:pt idx="1406">
                  <c:v>2.1505376344086023E-2</c:v>
                </c:pt>
                <c:pt idx="1407">
                  <c:v>1.0869565217391304E-2</c:v>
                </c:pt>
                <c:pt idx="1408">
                  <c:v>-7.6029108287165405E-4</c:v>
                </c:pt>
                <c:pt idx="1409">
                  <c:v>0</c:v>
                </c:pt>
                <c:pt idx="1410">
                  <c:v>-3.2573289902281368E-4</c:v>
                </c:pt>
                <c:pt idx="1411">
                  <c:v>1.0869565217390686E-3</c:v>
                </c:pt>
                <c:pt idx="1412">
                  <c:v>-1.0857763300759426E-3</c:v>
                </c:pt>
                <c:pt idx="1413">
                  <c:v>-9.4644009464401983E-3</c:v>
                </c:pt>
                <c:pt idx="1414">
                  <c:v>-5.5614973262031664E-3</c:v>
                </c:pt>
                <c:pt idx="1415">
                  <c:v>-2.1385799828909348E-4</c:v>
                </c:pt>
                <c:pt idx="1416">
                  <c:v>4.5112781954887403E-3</c:v>
                </c:pt>
                <c:pt idx="1417">
                  <c:v>-2.1030494216614092E-2</c:v>
                </c:pt>
                <c:pt idx="1418">
                  <c:v>1.0526315789473085E-3</c:v>
                </c:pt>
                <c:pt idx="1419">
                  <c:v>-1.0416666666666666E-2</c:v>
                </c:pt>
                <c:pt idx="1420">
                  <c:v>2.6737967914438502E-2</c:v>
                </c:pt>
                <c:pt idx="1421">
                  <c:v>7.3260073260073997E-3</c:v>
                </c:pt>
                <c:pt idx="1422">
                  <c:v>-1.8712337456390848E-2</c:v>
                </c:pt>
                <c:pt idx="1423">
                  <c:v>-2.0908808611944892E-2</c:v>
                </c:pt>
                <c:pt idx="1424">
                  <c:v>1.7627540439651775E-3</c:v>
                </c:pt>
                <c:pt idx="1425">
                  <c:v>2.9352118689294483E-2</c:v>
                </c:pt>
                <c:pt idx="1426">
                  <c:v>-1.0351748177881103E-2</c:v>
                </c:pt>
                <c:pt idx="1427">
                  <c:v>-2.2133220910623289E-3</c:v>
                </c:pt>
                <c:pt idx="1428">
                  <c:v>-1.9632155404009151E-2</c:v>
                </c:pt>
                <c:pt idx="1429">
                  <c:v>-1.1944869831546724E-2</c:v>
                </c:pt>
                <c:pt idx="1430">
                  <c:v>-5.1020408163262405E-4</c:v>
                </c:pt>
                <c:pt idx="1431">
                  <c:v>-1.0101010101010102E-2</c:v>
                </c:pt>
                <c:pt idx="1432">
                  <c:v>1.020408163265306E-2</c:v>
                </c:pt>
                <c:pt idx="1433">
                  <c:v>-5.076142131979695E-3</c:v>
                </c:pt>
                <c:pt idx="1434">
                  <c:v>-4.9499949489846947E-3</c:v>
                </c:pt>
                <c:pt idx="1435">
                  <c:v>-4.0391800464512019E-4</c:v>
                </c:pt>
                <c:pt idx="1436">
                  <c:v>-1.713709677419372E-3</c:v>
                </c:pt>
                <c:pt idx="1437">
                  <c:v>-3.2154340836012176E-3</c:v>
                </c:pt>
                <c:pt idx="1438">
                  <c:v>2.0100502512558814E-4</c:v>
                </c:pt>
                <c:pt idx="1439">
                  <c:v>-5.0000000000000001E-3</c:v>
                </c:pt>
                <c:pt idx="1440">
                  <c:v>0</c:v>
                </c:pt>
                <c:pt idx="1441">
                  <c:v>-9.2143069454077749E-3</c:v>
                </c:pt>
                <c:pt idx="1442">
                  <c:v>3.9647140450001239E-4</c:v>
                </c:pt>
                <c:pt idx="1443">
                  <c:v>3.7429305912596404E-2</c:v>
                </c:pt>
                <c:pt idx="1444">
                  <c:v>-8.1591024987251112E-3</c:v>
                </c:pt>
                <c:pt idx="1445">
                  <c:v>4.3019563658711641E-3</c:v>
                </c:pt>
                <c:pt idx="1446">
                  <c:v>-2.4675324675324666E-2</c:v>
                </c:pt>
                <c:pt idx="1447">
                  <c:v>8.9991000899899206E-4</c:v>
                </c:pt>
                <c:pt idx="1448">
                  <c:v>3.1243555372241709E-2</c:v>
                </c:pt>
                <c:pt idx="1449">
                  <c:v>1.4435146443514747E-2</c:v>
                </c:pt>
                <c:pt idx="1450">
                  <c:v>-4.400000000000006E-2</c:v>
                </c:pt>
                <c:pt idx="1451">
                  <c:v>-4.9751243781094526E-3</c:v>
                </c:pt>
                <c:pt idx="1452">
                  <c:v>-2.4813895781637717E-3</c:v>
                </c:pt>
                <c:pt idx="1453">
                  <c:v>2.6071901415622795E-2</c:v>
                </c:pt>
                <c:pt idx="1454">
                  <c:v>1.3835828600929308E-2</c:v>
                </c:pt>
                <c:pt idx="1455">
                  <c:v>-3.1693661267746469E-2</c:v>
                </c:pt>
                <c:pt idx="1456">
                  <c:v>-9.9970008997351956E-5</c:v>
                </c:pt>
                <c:pt idx="1457">
                  <c:v>-1.0583580613254137E-2</c:v>
                </c:pt>
                <c:pt idx="1458">
                  <c:v>-9.0178396392864308E-3</c:v>
                </c:pt>
                <c:pt idx="1459">
                  <c:v>-8.6483334952871492E-3</c:v>
                </c:pt>
                <c:pt idx="1460">
                  <c:v>2.9099999999999966E-2</c:v>
                </c:pt>
                <c:pt idx="1461">
                  <c:v>1.0917913465426589E-2</c:v>
                </c:pt>
                <c:pt idx="1462">
                  <c:v>-2.0884885677521524E-2</c:v>
                </c:pt>
                <c:pt idx="1463">
                  <c:v>-1.9126213592232998E-2</c:v>
                </c:pt>
                <c:pt idx="1464">
                  <c:v>4.8780487804878049E-3</c:v>
                </c:pt>
                <c:pt idx="1465">
                  <c:v>-2.1105911565275463E-2</c:v>
                </c:pt>
                <c:pt idx="1466">
                  <c:v>1.7985611510791311E-2</c:v>
                </c:pt>
                <c:pt idx="1467">
                  <c:v>4.9591836734693868E-2</c:v>
                </c:pt>
                <c:pt idx="1468">
                  <c:v>0</c:v>
                </c:pt>
                <c:pt idx="1469">
                  <c:v>1.020512297173703E-4</c:v>
                </c:pt>
                <c:pt idx="1470">
                  <c:v>4.9255808973123399E-2</c:v>
                </c:pt>
                <c:pt idx="1471">
                  <c:v>2.6263736263736268E-2</c:v>
                </c:pt>
                <c:pt idx="1472">
                  <c:v>1.1001100110010376E-3</c:v>
                </c:pt>
                <c:pt idx="1473">
                  <c:v>8.2076308784384336E-3</c:v>
                </c:pt>
                <c:pt idx="1474">
                  <c:v>-3.8669760247487407E-3</c:v>
                </c:pt>
                <c:pt idx="1475">
                  <c:v>2.8808864265928544E-3</c:v>
                </c:pt>
                <c:pt idx="1476">
                  <c:v>1.3475575519371173E-2</c:v>
                </c:pt>
                <c:pt idx="1477">
                  <c:v>-1.1982691667591239E-2</c:v>
                </c:pt>
                <c:pt idx="1478">
                  <c:v>-2.0326086956521789E-2</c:v>
                </c:pt>
                <c:pt idx="1479">
                  <c:v>-2.6019080659149488E-3</c:v>
                </c:pt>
                <c:pt idx="1480">
                  <c:v>2.0692707756998895E-2</c:v>
                </c:pt>
                <c:pt idx="1481">
                  <c:v>1.5393258426966342E-2</c:v>
                </c:pt>
                <c:pt idx="1482">
                  <c:v>4.4013091073242363E-3</c:v>
                </c:pt>
                <c:pt idx="1483">
                  <c:v>8.3067819754210747E-3</c:v>
                </c:pt>
                <c:pt idx="1484">
                  <c:v>-7.9590676520758824E-4</c:v>
                </c:pt>
                <c:pt idx="1485">
                  <c:v>1.3832853025936632E-2</c:v>
                </c:pt>
                <c:pt idx="1486">
                  <c:v>-3.1027350034474378E-3</c:v>
                </c:pt>
                <c:pt idx="1487">
                  <c:v>-2.640411725218169E-2</c:v>
                </c:pt>
                <c:pt idx="1488">
                  <c:v>-1.6613488832654913E-2</c:v>
                </c:pt>
                <c:pt idx="1489">
                  <c:v>-6.6666666666666602E-3</c:v>
                </c:pt>
                <c:pt idx="1490">
                  <c:v>2.8089887640449437E-2</c:v>
                </c:pt>
                <c:pt idx="1491">
                  <c:v>-8.7983071611538715E-3</c:v>
                </c:pt>
                <c:pt idx="1492">
                  <c:v>7.5179533213644715E-3</c:v>
                </c:pt>
                <c:pt idx="1493">
                  <c:v>1.272727272727278E-2</c:v>
                </c:pt>
                <c:pt idx="1494">
                  <c:v>6.0592203041042771E-3</c:v>
                </c:pt>
                <c:pt idx="1495">
                  <c:v>-4.8919226393629896E-3</c:v>
                </c:pt>
                <c:pt idx="1496">
                  <c:v>-1.1363636363635717E-3</c:v>
                </c:pt>
                <c:pt idx="1497">
                  <c:v>6.7497997940739437E-3</c:v>
                </c:pt>
                <c:pt idx="1498">
                  <c:v>4.7126436781608806E-3</c:v>
                </c:pt>
                <c:pt idx="1499">
                  <c:v>3.5759603183758482E-3</c:v>
                </c:pt>
                <c:pt idx="1500">
                  <c:v>-2.0720617013929641E-3</c:v>
                </c:pt>
                <c:pt idx="1501">
                  <c:v>-7.313449891440984E-3</c:v>
                </c:pt>
                <c:pt idx="1502">
                  <c:v>-8.3852691218129737E-3</c:v>
                </c:pt>
                <c:pt idx="1503">
                  <c:v>1.0208711433757193E-3</c:v>
                </c:pt>
                <c:pt idx="1504">
                  <c:v>1.135589370883424E-3</c:v>
                </c:pt>
                <c:pt idx="1505">
                  <c:v>0</c:v>
                </c:pt>
                <c:pt idx="1506">
                  <c:v>6.4000000000000263E-3</c:v>
                </c:pt>
                <c:pt idx="1507">
                  <c:v>5.7471264367816091E-3</c:v>
                </c:pt>
                <c:pt idx="1508">
                  <c:v>0</c:v>
                </c:pt>
                <c:pt idx="1509">
                  <c:v>-1.1812812358019153E-2</c:v>
                </c:pt>
                <c:pt idx="1510">
                  <c:v>1.1954022988505819E-2</c:v>
                </c:pt>
                <c:pt idx="1511">
                  <c:v>1.2659684658763888E-3</c:v>
                </c:pt>
                <c:pt idx="1512">
                  <c:v>-6.9005175388156721E-4</c:v>
                </c:pt>
                <c:pt idx="1513">
                  <c:v>-1.4928801102434021E-3</c:v>
                </c:pt>
                <c:pt idx="1514">
                  <c:v>3.5726633629134755E-3</c:v>
                </c:pt>
                <c:pt idx="1515">
                  <c:v>-3.4455036177787664E-3</c:v>
                </c:pt>
                <c:pt idx="1516">
                  <c:v>1.8958455236980577E-2</c:v>
                </c:pt>
                <c:pt idx="1517">
                  <c:v>-1.5552995391705004E-2</c:v>
                </c:pt>
                <c:pt idx="1518">
                  <c:v>2.843601895734587E-2</c:v>
                </c:pt>
                <c:pt idx="1519">
                  <c:v>3.5671819262783756E-3</c:v>
                </c:pt>
                <c:pt idx="1520">
                  <c:v>-3.9085633068815882E-3</c:v>
                </c:pt>
                <c:pt idx="1521">
                  <c:v>-1.4192785334120679E-3</c:v>
                </c:pt>
                <c:pt idx="1522">
                  <c:v>9.6727967518509955E-3</c:v>
                </c:pt>
                <c:pt idx="1523">
                  <c:v>-2.0928329241201991E-2</c:v>
                </c:pt>
                <c:pt idx="1524">
                  <c:v>-5.1180644410840723E-3</c:v>
                </c:pt>
                <c:pt idx="1525">
                  <c:v>-8.1357508135759392E-4</c:v>
                </c:pt>
                <c:pt idx="1526">
                  <c:v>-6.5812261863525366E-3</c:v>
                </c:pt>
                <c:pt idx="1527">
                  <c:v>3.1271716469770212E-3</c:v>
                </c:pt>
                <c:pt idx="1528">
                  <c:v>-7.5862068965516852E-3</c:v>
                </c:pt>
                <c:pt idx="1529">
                  <c:v>2.4131842260152997E-2</c:v>
                </c:pt>
                <c:pt idx="1530">
                  <c:v>1.9073896353167027E-2</c:v>
                </c:pt>
                <c:pt idx="1531">
                  <c:v>2.4050024050024394E-3</c:v>
                </c:pt>
                <c:pt idx="1532">
                  <c:v>-1.5741507870753915E-2</c:v>
                </c:pt>
                <c:pt idx="1533">
                  <c:v>1.7584005781042921E-2</c:v>
                </c:pt>
                <c:pt idx="1534">
                  <c:v>4.7192642787996196E-3</c:v>
                </c:pt>
                <c:pt idx="1535">
                  <c:v>-1.9575275833432264E-2</c:v>
                </c:pt>
                <c:pt idx="1536">
                  <c:v>2.2592152199763611E-3</c:v>
                </c:pt>
                <c:pt idx="1537">
                  <c:v>-1.0588235294117714E-2</c:v>
                </c:pt>
                <c:pt idx="1538">
                  <c:v>-8.9774979596595091E-3</c:v>
                </c:pt>
                <c:pt idx="1539">
                  <c:v>-1.4477766287487133E-2</c:v>
                </c:pt>
                <c:pt idx="1540">
                  <c:v>4.5982296815733135E-4</c:v>
                </c:pt>
                <c:pt idx="1541">
                  <c:v>6.9452482926263956E-3</c:v>
                </c:pt>
                <c:pt idx="1542">
                  <c:v>4.5348837209302391E-3</c:v>
                </c:pt>
                <c:pt idx="1543">
                  <c:v>-3.4871556433803484E-4</c:v>
                </c:pt>
                <c:pt idx="1544">
                  <c:v>1.1625203441066167E-4</c:v>
                </c:pt>
                <c:pt idx="1545">
                  <c:v>-2.2500000000000044E-2</c:v>
                </c:pt>
                <c:pt idx="1546">
                  <c:v>-6.4355876707688072E-3</c:v>
                </c:pt>
                <c:pt idx="1547">
                  <c:v>-1.0501619930734129E-2</c:v>
                </c:pt>
                <c:pt idx="1548">
                  <c:v>1.1173184357547616E-4</c:v>
                </c:pt>
                <c:pt idx="1549">
                  <c:v>5.6179775280898875E-3</c:v>
                </c:pt>
                <c:pt idx="1550">
                  <c:v>0</c:v>
                </c:pt>
                <c:pt idx="1551">
                  <c:v>-7.9143908148477746E-3</c:v>
                </c:pt>
                <c:pt idx="1552">
                  <c:v>-4.3285238623751452E-3</c:v>
                </c:pt>
                <c:pt idx="1553">
                  <c:v>-7.7092511013216172E-3</c:v>
                </c:pt>
                <c:pt idx="1554">
                  <c:v>-1.3472403302911875E-2</c:v>
                </c:pt>
                <c:pt idx="1555">
                  <c:v>-9.0439276485786962E-3</c:v>
                </c:pt>
                <c:pt idx="1556">
                  <c:v>-8.0102531239987194E-3</c:v>
                </c:pt>
                <c:pt idx="1557">
                  <c:v>-1.4628499263312993E-2</c:v>
                </c:pt>
                <c:pt idx="1558">
                  <c:v>-3.878813292798035E-3</c:v>
                </c:pt>
                <c:pt idx="1559">
                  <c:v>-1.3751033912324217E-2</c:v>
                </c:pt>
                <c:pt idx="1560">
                  <c:v>-5.4498714652956417E-3</c:v>
                </c:pt>
                <c:pt idx="1561">
                  <c:v>-1.9459568461383411E-2</c:v>
                </c:pt>
                <c:pt idx="1562">
                  <c:v>1.3592233009708866E-2</c:v>
                </c:pt>
                <c:pt idx="1563">
                  <c:v>-1.2613521695257316E-2</c:v>
                </c:pt>
                <c:pt idx="1564">
                  <c:v>-1.4910536779324057E-2</c:v>
                </c:pt>
                <c:pt idx="1565">
                  <c:v>-1.3628787135993732E-2</c:v>
                </c:pt>
                <c:pt idx="1566">
                  <c:v>-4.0039062500001055E-3</c:v>
                </c:pt>
                <c:pt idx="1567">
                  <c:v>-9.7560975609750557E-4</c:v>
                </c:pt>
                <c:pt idx="1568">
                  <c:v>9.9517193812198763E-3</c:v>
                </c:pt>
                <c:pt idx="1569">
                  <c:v>-5.4875061244488224E-3</c:v>
                </c:pt>
                <c:pt idx="1570">
                  <c:v>-2.1666187326239143E-2</c:v>
                </c:pt>
                <c:pt idx="1571">
                  <c:v>-1.6271056661562183E-3</c:v>
                </c:pt>
                <c:pt idx="1572">
                  <c:v>4.615384615384654E-3</c:v>
                </c:pt>
                <c:pt idx="1573">
                  <c:v>0</c:v>
                </c:pt>
                <c:pt idx="1574">
                  <c:v>-9.7124357265282422E-3</c:v>
                </c:pt>
                <c:pt idx="1575">
                  <c:v>2.5185474424053087E-2</c:v>
                </c:pt>
                <c:pt idx="1576">
                  <c:v>-1.8585936003065701E-2</c:v>
                </c:pt>
                <c:pt idx="1577">
                  <c:v>-5.1467784979032241E-3</c:v>
                </c:pt>
                <c:pt idx="1578">
                  <c:v>-1.3325718636969404E-3</c:v>
                </c:pt>
                <c:pt idx="1579">
                  <c:v>-1.2358589219507127E-3</c:v>
                </c:pt>
                <c:pt idx="1580">
                  <c:v>1.1928811928811879E-2</c:v>
                </c:pt>
                <c:pt idx="1581">
                  <c:v>1.2072826404439773E-2</c:v>
                </c:pt>
                <c:pt idx="1582">
                  <c:v>-8.5907335907335972E-3</c:v>
                </c:pt>
                <c:pt idx="1583">
                  <c:v>-1.3615157574026534E-2</c:v>
                </c:pt>
                <c:pt idx="1584">
                  <c:v>-1.5097524381095269E-2</c:v>
                </c:pt>
                <c:pt idx="1585">
                  <c:v>-7.5383899488134223E-3</c:v>
                </c:pt>
                <c:pt idx="1586">
                  <c:v>4.3913339162537604E-2</c:v>
                </c:pt>
                <c:pt idx="1587">
                  <c:v>-5.4111508358294334E-3</c:v>
                </c:pt>
                <c:pt idx="1588">
                  <c:v>-2.090823084200575E-2</c:v>
                </c:pt>
                <c:pt idx="1589">
                  <c:v>-2.2653721682847922E-2</c:v>
                </c:pt>
                <c:pt idx="1590">
                  <c:v>-1.2148337595907912E-2</c:v>
                </c:pt>
                <c:pt idx="1591">
                  <c:v>-6.1728395061727724E-3</c:v>
                </c:pt>
                <c:pt idx="1592">
                  <c:v>2.2461481343976256E-2</c:v>
                </c:pt>
                <c:pt idx="1593">
                  <c:v>1.1548211435545861E-2</c:v>
                </c:pt>
                <c:pt idx="1594">
                  <c:v>-1.2607768610364322E-2</c:v>
                </c:pt>
                <c:pt idx="1595">
                  <c:v>-2.3535801575088208E-2</c:v>
                </c:pt>
                <c:pt idx="1596">
                  <c:v>2.9159679523010951E-2</c:v>
                </c:pt>
                <c:pt idx="1597">
                  <c:v>2.7177033492822997E-2</c:v>
                </c:pt>
                <c:pt idx="1598">
                  <c:v>2.3980815347721821E-3</c:v>
                </c:pt>
                <c:pt idx="1599">
                  <c:v>-1.6231008776068687E-2</c:v>
                </c:pt>
                <c:pt idx="1600">
                  <c:v>-2.8301886792453905E-4</c:v>
                </c:pt>
                <c:pt idx="1601">
                  <c:v>-1.9154251873785447E-2</c:v>
                </c:pt>
                <c:pt idx="1602">
                  <c:v>2.4748719893798593E-2</c:v>
                </c:pt>
                <c:pt idx="1603">
                  <c:v>-1.1065266316579208E-2</c:v>
                </c:pt>
                <c:pt idx="1604">
                  <c:v>4.0390243902439033E-2</c:v>
                </c:pt>
                <c:pt idx="1605">
                  <c:v>-9.7465886939565615E-4</c:v>
                </c:pt>
                <c:pt idx="1606">
                  <c:v>-3.0978466188137526E-2</c:v>
                </c:pt>
                <c:pt idx="1607">
                  <c:v>-2.3556016206539151E-3</c:v>
                </c:pt>
                <c:pt idx="1608">
                  <c:v>1.8848364904340797E-4</c:v>
                </c:pt>
                <c:pt idx="1609">
                  <c:v>-7.5757575757575968E-3</c:v>
                </c:pt>
                <c:pt idx="1610">
                  <c:v>-9.1743119266054583E-3</c:v>
                </c:pt>
                <c:pt idx="1611">
                  <c:v>2.2359071530080526E-2</c:v>
                </c:pt>
                <c:pt idx="1612">
                  <c:v>-8.4546735556599879E-3</c:v>
                </c:pt>
                <c:pt idx="1613">
                  <c:v>1.2844909609895419E-2</c:v>
                </c:pt>
                <c:pt idx="1614">
                  <c:v>7.6701821668264348E-3</c:v>
                </c:pt>
                <c:pt idx="1615">
                  <c:v>8.313998453209584E-3</c:v>
                </c:pt>
                <c:pt idx="1616">
                  <c:v>-1.7103762827822094E-2</c:v>
                </c:pt>
                <c:pt idx="1617">
                  <c:v>-1.2850576868961679E-2</c:v>
                </c:pt>
                <c:pt idx="1618">
                  <c:v>3.7661237171641624E-3</c:v>
                </c:pt>
                <c:pt idx="1619">
                  <c:v>1.7044910466340962E-2</c:v>
                </c:pt>
                <c:pt idx="1620">
                  <c:v>-2.4018691588784984E-2</c:v>
                </c:pt>
                <c:pt idx="1621">
                  <c:v>-9.6260644205850253E-3</c:v>
                </c:pt>
                <c:pt idx="1622">
                  <c:v>-4.3313980278315255E-3</c:v>
                </c:pt>
                <c:pt idx="1623">
                  <c:v>1.4112149532710328E-2</c:v>
                </c:pt>
                <c:pt idx="1624">
                  <c:v>1.1724659606656532E-2</c:v>
                </c:pt>
                <c:pt idx="1625">
                  <c:v>1.1359333585763398E-3</c:v>
                </c:pt>
                <c:pt idx="1626">
                  <c:v>5.4249547920434699E-3</c:v>
                </c:pt>
                <c:pt idx="1627">
                  <c:v>-2.8838155097513675E-2</c:v>
                </c:pt>
                <c:pt idx="1628">
                  <c:v>4.6236360273716625E-4</c:v>
                </c:pt>
                <c:pt idx="1629">
                  <c:v>4.6257748172816315E-4</c:v>
                </c:pt>
                <c:pt idx="1630">
                  <c:v>8.3333333333336494E-4</c:v>
                </c:pt>
                <c:pt idx="1631">
                  <c:v>-9.1743119266055051E-3</c:v>
                </c:pt>
                <c:pt idx="1632">
                  <c:v>8.8855979266937585E-3</c:v>
                </c:pt>
                <c:pt idx="1633">
                  <c:v>3.7037037037042825E-4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-8.1733859858572917E-3</c:v>
                </c:pt>
                <c:pt idx="1638">
                  <c:v>1.293023255813954E-2</c:v>
                </c:pt>
                <c:pt idx="1639">
                  <c:v>-4.6296296296296294E-3</c:v>
                </c:pt>
                <c:pt idx="1640">
                  <c:v>-9.7194205024757219E-3</c:v>
                </c:pt>
                <c:pt idx="1641">
                  <c:v>-7.6433121019108584E-3</c:v>
                </c:pt>
                <c:pt idx="1642">
                  <c:v>-4.5475216007273447E-4</c:v>
                </c:pt>
                <c:pt idx="1643">
                  <c:v>1.317729450792487E-2</c:v>
                </c:pt>
                <c:pt idx="1644">
                  <c:v>-4.6776116665138501E-3</c:v>
                </c:pt>
                <c:pt idx="1645">
                  <c:v>-1.3738779996336846E-3</c:v>
                </c:pt>
                <c:pt idx="1646">
                  <c:v>-8.3560399636692789E-3</c:v>
                </c:pt>
                <c:pt idx="1647">
                  <c:v>9.0909090909085737E-4</c:v>
                </c:pt>
                <c:pt idx="1648">
                  <c:v>-4.5433893684686195E-4</c:v>
                </c:pt>
                <c:pt idx="1649">
                  <c:v>-4.5228403437358664E-3</c:v>
                </c:pt>
                <c:pt idx="1650">
                  <c:v>-1.733333333333336E-2</c:v>
                </c:pt>
                <c:pt idx="1651">
                  <c:v>-1.8631887143997316E-3</c:v>
                </c:pt>
                <c:pt idx="1652">
                  <c:v>9.9462365591397803E-3</c:v>
                </c:pt>
                <c:pt idx="1653">
                  <c:v>5.3148365012160095E-3</c:v>
                </c:pt>
                <c:pt idx="1654">
                  <c:v>1.9375573921028462E-2</c:v>
                </c:pt>
                <c:pt idx="1655">
                  <c:v>3.5941387890517052E-3</c:v>
                </c:pt>
                <c:pt idx="1656">
                  <c:v>-1.9074308443319466E-2</c:v>
                </c:pt>
                <c:pt idx="1657">
                  <c:v>-1.653627311522048E-2</c:v>
                </c:pt>
                <c:pt idx="1658">
                  <c:v>4.1960539237567967E-3</c:v>
                </c:pt>
                <c:pt idx="1659">
                  <c:v>9.5538530869761357E-3</c:v>
                </c:pt>
                <c:pt idx="1660">
                  <c:v>8.6363636363636625E-3</c:v>
                </c:pt>
                <c:pt idx="1661">
                  <c:v>-4.9751243781094275E-3</c:v>
                </c:pt>
                <c:pt idx="1662">
                  <c:v>-8.6979913916786136E-3</c:v>
                </c:pt>
                <c:pt idx="1663">
                  <c:v>9.1394443941723909E-3</c:v>
                </c:pt>
                <c:pt idx="1664">
                  <c:v>4.8190580105473826E-3</c:v>
                </c:pt>
                <c:pt idx="1665">
                  <c:v>-1.1948611984547644E-2</c:v>
                </c:pt>
                <c:pt idx="1666">
                  <c:v>1.190909090909093E-2</c:v>
                </c:pt>
                <c:pt idx="1667">
                  <c:v>-1.034637876743145E-2</c:v>
                </c:pt>
                <c:pt idx="1668">
                  <c:v>-1.4627659574468009E-2</c:v>
                </c:pt>
                <c:pt idx="1669">
                  <c:v>-8.8644623703617724E-5</c:v>
                </c:pt>
                <c:pt idx="1670">
                  <c:v>2.7555555555555757E-3</c:v>
                </c:pt>
                <c:pt idx="1671">
                  <c:v>7.1161714997329919E-4</c:v>
                </c:pt>
                <c:pt idx="1672">
                  <c:v>1.7375565610859744E-2</c:v>
                </c:pt>
                <c:pt idx="1673">
                  <c:v>4.5454545454545452E-3</c:v>
                </c:pt>
                <c:pt idx="1674">
                  <c:v>2.7280167318360584E-4</c:v>
                </c:pt>
                <c:pt idx="1675">
                  <c:v>4.2005296319970204E-3</c:v>
                </c:pt>
                <c:pt idx="1676">
                  <c:v>4.4945881489635766E-3</c:v>
                </c:pt>
                <c:pt idx="1677">
                  <c:v>4.7926267281105626E-3</c:v>
                </c:pt>
                <c:pt idx="1678">
                  <c:v>0</c:v>
                </c:pt>
                <c:pt idx="1679">
                  <c:v>-1.4724829744155769E-3</c:v>
                </c:pt>
                <c:pt idx="1680">
                  <c:v>-3.6798528058883394E-4</c:v>
                </c:pt>
                <c:pt idx="1681">
                  <c:v>6.4814814814815082E-3</c:v>
                </c:pt>
                <c:pt idx="1682">
                  <c:v>6.1486864169927012E-3</c:v>
                </c:pt>
                <c:pt idx="1683">
                  <c:v>-9.9612617598228946E-3</c:v>
                </c:pt>
                <c:pt idx="1684">
                  <c:v>-1.4453231524406902E-2</c:v>
                </c:pt>
                <c:pt idx="1685">
                  <c:v>1.818347122466609E-4</c:v>
                </c:pt>
                <c:pt idx="1686">
                  <c:v>8.4349500320894995E-3</c:v>
                </c:pt>
                <c:pt idx="1687">
                  <c:v>-9.6249886497775574E-3</c:v>
                </c:pt>
                <c:pt idx="1688">
                  <c:v>5.7534246575342051E-3</c:v>
                </c:pt>
                <c:pt idx="1689">
                  <c:v>-2.1884769986601185E-2</c:v>
                </c:pt>
                <c:pt idx="1690">
                  <c:v>4.7567761622689022E-3</c:v>
                </c:pt>
                <c:pt idx="1691">
                  <c:v>4.1308411214953288E-2</c:v>
                </c:pt>
                <c:pt idx="1692">
                  <c:v>4.5061960195268867E-3</c:v>
                </c:pt>
                <c:pt idx="1693">
                  <c:v>1.4476190476190438E-2</c:v>
                </c:pt>
                <c:pt idx="1694">
                  <c:v>-2.2255331036409354E-2</c:v>
                </c:pt>
                <c:pt idx="1695">
                  <c:v>0</c:v>
                </c:pt>
              </c:numCache>
            </c:numRef>
          </c:xVal>
          <c:yVal>
            <c:numRef>
              <c:f>sheet2!$E$4:$E$1699</c:f>
              <c:numCache>
                <c:formatCode>0.0000%</c:formatCode>
                <c:ptCount val="1696"/>
                <c:pt idx="0">
                  <c:v>-2.3985973744904119E-3</c:v>
                </c:pt>
                <c:pt idx="1">
                  <c:v>3.3149633856583288E-3</c:v>
                </c:pt>
                <c:pt idx="2">
                  <c:v>8.6751952848458692E-3</c:v>
                </c:pt>
                <c:pt idx="3">
                  <c:v>9.1933968123439121E-3</c:v>
                </c:pt>
                <c:pt idx="4">
                  <c:v>-1.4234213517178196E-3</c:v>
                </c:pt>
                <c:pt idx="5">
                  <c:v>-7.6201406052031704E-4</c:v>
                </c:pt>
                <c:pt idx="6">
                  <c:v>-1.1685225497023656E-3</c:v>
                </c:pt>
                <c:pt idx="7">
                  <c:v>-3.2343444134256814E-3</c:v>
                </c:pt>
                <c:pt idx="8">
                  <c:v>9.6692071919456096E-3</c:v>
                </c:pt>
                <c:pt idx="9">
                  <c:v>-7.8288127767352331E-4</c:v>
                </c:pt>
                <c:pt idx="10">
                  <c:v>-1.7221371227378686E-3</c:v>
                </c:pt>
                <c:pt idx="11">
                  <c:v>5.1618192450183552E-3</c:v>
                </c:pt>
                <c:pt idx="12">
                  <c:v>7.6514451843274723E-3</c:v>
                </c:pt>
                <c:pt idx="13">
                  <c:v>-5.1765144389679984E-3</c:v>
                </c:pt>
                <c:pt idx="14">
                  <c:v>-2.6732541629312057E-5</c:v>
                </c:pt>
                <c:pt idx="15">
                  <c:v>6.8515610958196829E-3</c:v>
                </c:pt>
                <c:pt idx="16">
                  <c:v>7.2877025055065369E-3</c:v>
                </c:pt>
                <c:pt idx="17">
                  <c:v>4.8232672444147298E-3</c:v>
                </c:pt>
                <c:pt idx="18">
                  <c:v>8.3186203115893508E-4</c:v>
                </c:pt>
                <c:pt idx="19">
                  <c:v>-8.9293703235246054E-3</c:v>
                </c:pt>
                <c:pt idx="20">
                  <c:v>-2.4985393799759688E-3</c:v>
                </c:pt>
                <c:pt idx="21">
                  <c:v>8.3063901169741997E-3</c:v>
                </c:pt>
                <c:pt idx="22">
                  <c:v>7.8875484804652816E-3</c:v>
                </c:pt>
                <c:pt idx="23">
                  <c:v>1.3388073291670676E-2</c:v>
                </c:pt>
                <c:pt idx="24">
                  <c:v>9.2524401876944943E-3</c:v>
                </c:pt>
                <c:pt idx="25">
                  <c:v>-1.8002385295987158E-3</c:v>
                </c:pt>
                <c:pt idx="26">
                  <c:v>-7.3305280373738046E-4</c:v>
                </c:pt>
                <c:pt idx="27">
                  <c:v>-5.118667381380732E-3</c:v>
                </c:pt>
                <c:pt idx="28">
                  <c:v>4.3806712451275069E-3</c:v>
                </c:pt>
                <c:pt idx="29">
                  <c:v>8.0227977570838278E-3</c:v>
                </c:pt>
                <c:pt idx="30">
                  <c:v>-4.6513270469973386E-3</c:v>
                </c:pt>
                <c:pt idx="31">
                  <c:v>-1.5314768828196021E-3</c:v>
                </c:pt>
                <c:pt idx="32">
                  <c:v>7.952881129110077E-3</c:v>
                </c:pt>
                <c:pt idx="33">
                  <c:v>1.5637174315093209E-2</c:v>
                </c:pt>
                <c:pt idx="34">
                  <c:v>1.985488105757641E-3</c:v>
                </c:pt>
                <c:pt idx="35">
                  <c:v>-2.2706116768142038E-2</c:v>
                </c:pt>
                <c:pt idx="36">
                  <c:v>1.2190391164620031E-2</c:v>
                </c:pt>
                <c:pt idx="37">
                  <c:v>3.1182902484526097E-3</c:v>
                </c:pt>
                <c:pt idx="38">
                  <c:v>-3.0166403065482444E-3</c:v>
                </c:pt>
                <c:pt idx="39">
                  <c:v>-1.0562756100704918E-2</c:v>
                </c:pt>
                <c:pt idx="40">
                  <c:v>-9.3449660313719585E-3</c:v>
                </c:pt>
                <c:pt idx="41">
                  <c:v>7.2475249754487747E-3</c:v>
                </c:pt>
                <c:pt idx="42">
                  <c:v>3.1256045317357824E-2</c:v>
                </c:pt>
                <c:pt idx="43">
                  <c:v>-1.0930990087026081E-2</c:v>
                </c:pt>
                <c:pt idx="44">
                  <c:v>-1.0218360244153339E-2</c:v>
                </c:pt>
                <c:pt idx="45">
                  <c:v>-1.2720347406736427E-2</c:v>
                </c:pt>
                <c:pt idx="46">
                  <c:v>-6.9827995164605267E-3</c:v>
                </c:pt>
                <c:pt idx="47">
                  <c:v>-7.8150361251302473E-3</c:v>
                </c:pt>
                <c:pt idx="48">
                  <c:v>-1.1785237732934443E-2</c:v>
                </c:pt>
                <c:pt idx="49">
                  <c:v>-4.7419482042174834E-3</c:v>
                </c:pt>
                <c:pt idx="50">
                  <c:v>6.6404034914931635E-3</c:v>
                </c:pt>
                <c:pt idx="51">
                  <c:v>1.4875442458778441E-2</c:v>
                </c:pt>
                <c:pt idx="52">
                  <c:v>-3.8827637640174765E-3</c:v>
                </c:pt>
                <c:pt idx="53">
                  <c:v>-7.494037832198419E-3</c:v>
                </c:pt>
                <c:pt idx="54">
                  <c:v>1.2712415974230897E-3</c:v>
                </c:pt>
                <c:pt idx="55">
                  <c:v>4.4385560473259013E-2</c:v>
                </c:pt>
                <c:pt idx="56">
                  <c:v>-2.8539679073078552E-2</c:v>
                </c:pt>
                <c:pt idx="57">
                  <c:v>-8.7073053369152893E-3</c:v>
                </c:pt>
                <c:pt idx="58">
                  <c:v>-4.4530433375134584E-3</c:v>
                </c:pt>
                <c:pt idx="59">
                  <c:v>-5.4581424563145504E-3</c:v>
                </c:pt>
                <c:pt idx="60">
                  <c:v>-9.4106546666006367E-3</c:v>
                </c:pt>
                <c:pt idx="61">
                  <c:v>-7.3238035420544511E-3</c:v>
                </c:pt>
                <c:pt idx="62">
                  <c:v>2.970093767788516E-3</c:v>
                </c:pt>
                <c:pt idx="63">
                  <c:v>1.7201667178418062E-2</c:v>
                </c:pt>
                <c:pt idx="64">
                  <c:v>8.8674129312198743E-4</c:v>
                </c:pt>
                <c:pt idx="65">
                  <c:v>1.0045304880404442E-2</c:v>
                </c:pt>
                <c:pt idx="66">
                  <c:v>9.8033971041746795E-3</c:v>
                </c:pt>
                <c:pt idx="67">
                  <c:v>1.8689906566476656E-2</c:v>
                </c:pt>
                <c:pt idx="68">
                  <c:v>6.5939195265016862E-3</c:v>
                </c:pt>
                <c:pt idx="69">
                  <c:v>1.8465918174190318E-3</c:v>
                </c:pt>
                <c:pt idx="70">
                  <c:v>2.4776798096609477E-3</c:v>
                </c:pt>
                <c:pt idx="71">
                  <c:v>-3.0544672405984023E-3</c:v>
                </c:pt>
                <c:pt idx="72">
                  <c:v>5.3123239394489718E-4</c:v>
                </c:pt>
                <c:pt idx="73">
                  <c:v>1.1369476880230319E-2</c:v>
                </c:pt>
                <c:pt idx="74">
                  <c:v>-2.0040857738496492E-5</c:v>
                </c:pt>
                <c:pt idx="75">
                  <c:v>5.1254783938581069E-3</c:v>
                </c:pt>
                <c:pt idx="76">
                  <c:v>6.1177926477318572E-3</c:v>
                </c:pt>
                <c:pt idx="77">
                  <c:v>-1.0897568707820628E-2</c:v>
                </c:pt>
                <c:pt idx="78">
                  <c:v>-5.6014871915057649E-3</c:v>
                </c:pt>
                <c:pt idx="79">
                  <c:v>2.9206674121360801E-3</c:v>
                </c:pt>
                <c:pt idx="80">
                  <c:v>3.0509847341209299E-3</c:v>
                </c:pt>
                <c:pt idx="81">
                  <c:v>1.1732907502398736E-2</c:v>
                </c:pt>
                <c:pt idx="82">
                  <c:v>1.0555545802947781E-2</c:v>
                </c:pt>
                <c:pt idx="83">
                  <c:v>3.0475313445536712E-3</c:v>
                </c:pt>
                <c:pt idx="84">
                  <c:v>8.1231733788824124E-3</c:v>
                </c:pt>
                <c:pt idx="85">
                  <c:v>6.6969556073892744E-3</c:v>
                </c:pt>
                <c:pt idx="86">
                  <c:v>9.1062455649654154E-3</c:v>
                </c:pt>
                <c:pt idx="87">
                  <c:v>8.6482255887466875E-3</c:v>
                </c:pt>
                <c:pt idx="88">
                  <c:v>-1.0204480818648003E-3</c:v>
                </c:pt>
                <c:pt idx="89">
                  <c:v>-6.3396747372217784E-3</c:v>
                </c:pt>
                <c:pt idx="90">
                  <c:v>-2.55518064639989E-3</c:v>
                </c:pt>
                <c:pt idx="91">
                  <c:v>-4.5336552746997084E-3</c:v>
                </c:pt>
                <c:pt idx="92">
                  <c:v>1.7274066646578129E-3</c:v>
                </c:pt>
                <c:pt idx="93">
                  <c:v>-9.0027292467678051E-3</c:v>
                </c:pt>
                <c:pt idx="94">
                  <c:v>5.4767035619438372E-3</c:v>
                </c:pt>
                <c:pt idx="95">
                  <c:v>1.0623266068100613E-2</c:v>
                </c:pt>
                <c:pt idx="96">
                  <c:v>1.1637456692918279E-2</c:v>
                </c:pt>
                <c:pt idx="97">
                  <c:v>-2.5714991765123996E-4</c:v>
                </c:pt>
                <c:pt idx="98">
                  <c:v>-3.2379782743902244E-3</c:v>
                </c:pt>
                <c:pt idx="99">
                  <c:v>5.1364651319297128E-4</c:v>
                </c:pt>
                <c:pt idx="100">
                  <c:v>1.0641148746619327E-2</c:v>
                </c:pt>
                <c:pt idx="101">
                  <c:v>-1.8149343680900674E-3</c:v>
                </c:pt>
                <c:pt idx="102">
                  <c:v>3.8503396203008093E-3</c:v>
                </c:pt>
                <c:pt idx="103">
                  <c:v>1.4341237316146475E-2</c:v>
                </c:pt>
                <c:pt idx="104">
                  <c:v>6.9305988356712879E-3</c:v>
                </c:pt>
                <c:pt idx="105">
                  <c:v>7.2157985203386635E-3</c:v>
                </c:pt>
                <c:pt idx="106">
                  <c:v>1.1798228314399207E-2</c:v>
                </c:pt>
                <c:pt idx="107">
                  <c:v>7.0670767941422297E-3</c:v>
                </c:pt>
                <c:pt idx="108">
                  <c:v>3.2431458427696334E-3</c:v>
                </c:pt>
                <c:pt idx="109">
                  <c:v>-1.0153891453339883E-2</c:v>
                </c:pt>
                <c:pt idx="110">
                  <c:v>1.2410268714356885E-3</c:v>
                </c:pt>
                <c:pt idx="111">
                  <c:v>3.7105782158492985E-3</c:v>
                </c:pt>
                <c:pt idx="112">
                  <c:v>-4.0335541379097452E-3</c:v>
                </c:pt>
                <c:pt idx="113">
                  <c:v>-1.185414134293848E-3</c:v>
                </c:pt>
                <c:pt idx="114">
                  <c:v>8.6967952991219896E-3</c:v>
                </c:pt>
                <c:pt idx="115">
                  <c:v>-2.7401676337846471E-3</c:v>
                </c:pt>
                <c:pt idx="116">
                  <c:v>-4.9139836513057659E-4</c:v>
                </c:pt>
                <c:pt idx="117">
                  <c:v>1.675854599469408E-2</c:v>
                </c:pt>
                <c:pt idx="118">
                  <c:v>3.23738699784049E-3</c:v>
                </c:pt>
                <c:pt idx="119">
                  <c:v>-4.1220475368407682E-3</c:v>
                </c:pt>
                <c:pt idx="120">
                  <c:v>1.640196405399651E-2</c:v>
                </c:pt>
                <c:pt idx="121">
                  <c:v>3.8677003257679078E-3</c:v>
                </c:pt>
                <c:pt idx="122">
                  <c:v>9.0917744543584107E-3</c:v>
                </c:pt>
                <c:pt idx="123">
                  <c:v>-6.193330159496125E-3</c:v>
                </c:pt>
                <c:pt idx="124">
                  <c:v>2.4765659724783139E-4</c:v>
                </c:pt>
                <c:pt idx="125">
                  <c:v>1.0770065357040103E-2</c:v>
                </c:pt>
                <c:pt idx="126">
                  <c:v>9.6597464500201794E-3</c:v>
                </c:pt>
                <c:pt idx="127">
                  <c:v>2.6286589420321336E-3</c:v>
                </c:pt>
                <c:pt idx="128">
                  <c:v>1.6728623520401033E-2</c:v>
                </c:pt>
                <c:pt idx="129">
                  <c:v>2.0474210583670025E-2</c:v>
                </c:pt>
                <c:pt idx="130">
                  <c:v>1.0035772095739184E-2</c:v>
                </c:pt>
                <c:pt idx="131">
                  <c:v>1.9112475691634156E-2</c:v>
                </c:pt>
                <c:pt idx="132">
                  <c:v>-5.825761206839474E-3</c:v>
                </c:pt>
                <c:pt idx="133">
                  <c:v>4.2127947238468069E-3</c:v>
                </c:pt>
                <c:pt idx="134">
                  <c:v>5.2331087179569274E-2</c:v>
                </c:pt>
                <c:pt idx="135">
                  <c:v>-3.2125195087218145E-2</c:v>
                </c:pt>
                <c:pt idx="136">
                  <c:v>1.7207961928162327E-4</c:v>
                </c:pt>
                <c:pt idx="137">
                  <c:v>-3.8462327066249896E-3</c:v>
                </c:pt>
                <c:pt idx="138">
                  <c:v>-1.2339896421314441E-2</c:v>
                </c:pt>
                <c:pt idx="139">
                  <c:v>-2.080746581560545E-3</c:v>
                </c:pt>
                <c:pt idx="140">
                  <c:v>6.696218229088407E-4</c:v>
                </c:pt>
                <c:pt idx="141">
                  <c:v>-1.5710379431188356E-2</c:v>
                </c:pt>
                <c:pt idx="142">
                  <c:v>-2.0872891521115404E-3</c:v>
                </c:pt>
                <c:pt idx="143">
                  <c:v>1.9080112148025352E-2</c:v>
                </c:pt>
                <c:pt idx="144">
                  <c:v>3.152226634111873E-3</c:v>
                </c:pt>
                <c:pt idx="145">
                  <c:v>-1.2961532401737008E-3</c:v>
                </c:pt>
                <c:pt idx="146">
                  <c:v>1.1191284878224624E-2</c:v>
                </c:pt>
                <c:pt idx="147">
                  <c:v>1.3232578897609214E-2</c:v>
                </c:pt>
                <c:pt idx="148">
                  <c:v>-6.7948249113613957E-3</c:v>
                </c:pt>
                <c:pt idx="149">
                  <c:v>6.0491844217026008E-3</c:v>
                </c:pt>
                <c:pt idx="150">
                  <c:v>5.395793951150191E-3</c:v>
                </c:pt>
                <c:pt idx="151">
                  <c:v>9.4560092139211798E-4</c:v>
                </c:pt>
                <c:pt idx="152">
                  <c:v>-7.4015972941664778E-3</c:v>
                </c:pt>
                <c:pt idx="153">
                  <c:v>-4.2273365413081652E-4</c:v>
                </c:pt>
                <c:pt idx="154">
                  <c:v>-6.4905405137235285E-3</c:v>
                </c:pt>
                <c:pt idx="155">
                  <c:v>8.0719582977820063E-3</c:v>
                </c:pt>
                <c:pt idx="156">
                  <c:v>-6.0030263273434794E-3</c:v>
                </c:pt>
                <c:pt idx="157">
                  <c:v>3.3840610973054412E-4</c:v>
                </c:pt>
                <c:pt idx="158">
                  <c:v>-2.6072442494455453E-3</c:v>
                </c:pt>
                <c:pt idx="159">
                  <c:v>1.2024816316117948E-2</c:v>
                </c:pt>
                <c:pt idx="160">
                  <c:v>-3.3193931751219059E-4</c:v>
                </c:pt>
                <c:pt idx="161">
                  <c:v>1.0896715563037781E-2</c:v>
                </c:pt>
                <c:pt idx="162">
                  <c:v>9.4454154452956379E-2</c:v>
                </c:pt>
                <c:pt idx="163">
                  <c:v>3.5235507088887619E-2</c:v>
                </c:pt>
                <c:pt idx="164">
                  <c:v>-5.8924344665160597E-2</c:v>
                </c:pt>
                <c:pt idx="165">
                  <c:v>-3.1342138767163505E-2</c:v>
                </c:pt>
                <c:pt idx="166">
                  <c:v>-4.6776469944850374E-3</c:v>
                </c:pt>
                <c:pt idx="167">
                  <c:v>-1.0252910380622287E-4</c:v>
                </c:pt>
                <c:pt idx="168">
                  <c:v>2.5037686417744984E-2</c:v>
                </c:pt>
                <c:pt idx="169">
                  <c:v>-3.0865610803242276E-2</c:v>
                </c:pt>
                <c:pt idx="170">
                  <c:v>7.0862034350920745E-3</c:v>
                </c:pt>
                <c:pt idx="171">
                  <c:v>-1.2171628228616612E-2</c:v>
                </c:pt>
                <c:pt idx="172">
                  <c:v>3.9082829376710796E-3</c:v>
                </c:pt>
                <c:pt idx="173">
                  <c:v>-1.8821141869796009E-2</c:v>
                </c:pt>
                <c:pt idx="174">
                  <c:v>-1.0168001698888939E-2</c:v>
                </c:pt>
                <c:pt idx="175">
                  <c:v>3.9676177517486969E-4</c:v>
                </c:pt>
                <c:pt idx="176">
                  <c:v>9.1018593521969941E-3</c:v>
                </c:pt>
                <c:pt idx="177">
                  <c:v>3.5453891677522009E-3</c:v>
                </c:pt>
                <c:pt idx="178">
                  <c:v>7.5936835433098974E-3</c:v>
                </c:pt>
                <c:pt idx="179">
                  <c:v>-6.4687370210360856E-3</c:v>
                </c:pt>
                <c:pt idx="180">
                  <c:v>3.3117954079232761E-3</c:v>
                </c:pt>
                <c:pt idx="181">
                  <c:v>1.3379760081836476E-2</c:v>
                </c:pt>
                <c:pt idx="182">
                  <c:v>-1.1497453162819547E-2</c:v>
                </c:pt>
                <c:pt idx="183">
                  <c:v>1.7836124729267266E-2</c:v>
                </c:pt>
                <c:pt idx="184">
                  <c:v>-1.1938379552823303E-2</c:v>
                </c:pt>
                <c:pt idx="185">
                  <c:v>5.4211362351359125E-3</c:v>
                </c:pt>
                <c:pt idx="186">
                  <c:v>-3.2680492889820702E-2</c:v>
                </c:pt>
                <c:pt idx="187">
                  <c:v>-1.2313126549597694E-3</c:v>
                </c:pt>
                <c:pt idx="188">
                  <c:v>9.6035244160457747E-3</c:v>
                </c:pt>
                <c:pt idx="189">
                  <c:v>2.9242867020271853E-4</c:v>
                </c:pt>
                <c:pt idx="190">
                  <c:v>9.7668613482768188E-3</c:v>
                </c:pt>
                <c:pt idx="191">
                  <c:v>1.6622348990833439E-3</c:v>
                </c:pt>
                <c:pt idx="192">
                  <c:v>-1.6907490220122577E-2</c:v>
                </c:pt>
                <c:pt idx="193">
                  <c:v>-2.7581934359223819E-3</c:v>
                </c:pt>
                <c:pt idx="194">
                  <c:v>6.7450438032845474E-3</c:v>
                </c:pt>
                <c:pt idx="195">
                  <c:v>8.3156490251501281E-3</c:v>
                </c:pt>
                <c:pt idx="196">
                  <c:v>6.8976146989847388E-3</c:v>
                </c:pt>
                <c:pt idx="197">
                  <c:v>5.7420979075210668E-3</c:v>
                </c:pt>
                <c:pt idx="198">
                  <c:v>3.8397229956945978E-3</c:v>
                </c:pt>
                <c:pt idx="199">
                  <c:v>8.8504542333256702E-3</c:v>
                </c:pt>
                <c:pt idx="200">
                  <c:v>-8.1557110208783305E-4</c:v>
                </c:pt>
                <c:pt idx="201">
                  <c:v>-1.5624844236882102E-3</c:v>
                </c:pt>
                <c:pt idx="202">
                  <c:v>-3.7028392805163506E-4</c:v>
                </c:pt>
                <c:pt idx="203">
                  <c:v>6.0285008298950407E-3</c:v>
                </c:pt>
                <c:pt idx="204">
                  <c:v>1.3001078983902173E-2</c:v>
                </c:pt>
                <c:pt idx="205">
                  <c:v>-4.3464917804793531E-3</c:v>
                </c:pt>
                <c:pt idx="206">
                  <c:v>6.7589161552749927E-3</c:v>
                </c:pt>
                <c:pt idx="207">
                  <c:v>-1.1167870637139381E-2</c:v>
                </c:pt>
                <c:pt idx="208">
                  <c:v>-4.6811374960220743E-3</c:v>
                </c:pt>
                <c:pt idx="209">
                  <c:v>-6.8521345031323413E-4</c:v>
                </c:pt>
                <c:pt idx="210">
                  <c:v>-5.8130717101804001E-3</c:v>
                </c:pt>
                <c:pt idx="211">
                  <c:v>1.7317399355024677E-3</c:v>
                </c:pt>
                <c:pt idx="212">
                  <c:v>1.3556359863345213E-2</c:v>
                </c:pt>
                <c:pt idx="213">
                  <c:v>-8.2489619230528034E-3</c:v>
                </c:pt>
                <c:pt idx="214">
                  <c:v>3.5001893377273434E-3</c:v>
                </c:pt>
                <c:pt idx="215">
                  <c:v>2.2456752447287858E-3</c:v>
                </c:pt>
                <c:pt idx="216">
                  <c:v>1.2036043608072854E-2</c:v>
                </c:pt>
                <c:pt idx="217">
                  <c:v>-3.0491955680183223E-3</c:v>
                </c:pt>
                <c:pt idx="218">
                  <c:v>-4.2533994858750578E-3</c:v>
                </c:pt>
                <c:pt idx="219">
                  <c:v>-3.1955739803802472E-3</c:v>
                </c:pt>
                <c:pt idx="220">
                  <c:v>-7.5603674635907185E-4</c:v>
                </c:pt>
                <c:pt idx="221">
                  <c:v>1.4656489070504729E-2</c:v>
                </c:pt>
                <c:pt idx="222">
                  <c:v>9.563106276899427E-3</c:v>
                </c:pt>
                <c:pt idx="223">
                  <c:v>1.9745939208616514E-4</c:v>
                </c:pt>
                <c:pt idx="224">
                  <c:v>-1.4599673490186937E-2</c:v>
                </c:pt>
                <c:pt idx="225">
                  <c:v>-7.1810716944367657E-3</c:v>
                </c:pt>
                <c:pt idx="226">
                  <c:v>-1.3222269027557753E-2</c:v>
                </c:pt>
                <c:pt idx="227">
                  <c:v>9.2691755943127042E-3</c:v>
                </c:pt>
                <c:pt idx="228">
                  <c:v>1.5419147067434313E-2</c:v>
                </c:pt>
                <c:pt idx="229">
                  <c:v>-4.8469004294907202E-3</c:v>
                </c:pt>
                <c:pt idx="230">
                  <c:v>-1.3125051092174567E-2</c:v>
                </c:pt>
                <c:pt idx="231">
                  <c:v>-1.1839869415598751E-2</c:v>
                </c:pt>
                <c:pt idx="232">
                  <c:v>7.3896556571292002E-3</c:v>
                </c:pt>
                <c:pt idx="233">
                  <c:v>5.2392633050675624E-3</c:v>
                </c:pt>
                <c:pt idx="234">
                  <c:v>-1.3897676723117003E-2</c:v>
                </c:pt>
                <c:pt idx="235">
                  <c:v>-6.9279748546374961E-3</c:v>
                </c:pt>
                <c:pt idx="236">
                  <c:v>4.9685925681223521E-3</c:v>
                </c:pt>
                <c:pt idx="237">
                  <c:v>1.2608758824260045E-2</c:v>
                </c:pt>
                <c:pt idx="238">
                  <c:v>-5.7554121460096728E-3</c:v>
                </c:pt>
                <c:pt idx="239">
                  <c:v>-2.6868362011588241E-3</c:v>
                </c:pt>
                <c:pt idx="240">
                  <c:v>5.0259099925186118E-3</c:v>
                </c:pt>
                <c:pt idx="241">
                  <c:v>8.6780884558032619E-3</c:v>
                </c:pt>
                <c:pt idx="242">
                  <c:v>5.4069549724933509E-3</c:v>
                </c:pt>
                <c:pt idx="243">
                  <c:v>-1.3230139066265209E-2</c:v>
                </c:pt>
                <c:pt idx="244">
                  <c:v>-1.6408238051891493E-2</c:v>
                </c:pt>
                <c:pt idx="245">
                  <c:v>-1.7414285287884641E-3</c:v>
                </c:pt>
                <c:pt idx="246">
                  <c:v>-1.1326509108406315E-2</c:v>
                </c:pt>
                <c:pt idx="247">
                  <c:v>3.9901072117182754E-3</c:v>
                </c:pt>
                <c:pt idx="248">
                  <c:v>9.5360935757600452E-4</c:v>
                </c:pt>
                <c:pt idx="249">
                  <c:v>1.6340056059878341E-2</c:v>
                </c:pt>
                <c:pt idx="250">
                  <c:v>-1.1461144032136824E-3</c:v>
                </c:pt>
                <c:pt idx="251">
                  <c:v>3.5094554004726372E-2</c:v>
                </c:pt>
                <c:pt idx="252">
                  <c:v>8.4027540559366079E-3</c:v>
                </c:pt>
                <c:pt idx="253">
                  <c:v>-1.7715548333889376E-2</c:v>
                </c:pt>
                <c:pt idx="254">
                  <c:v>-1.3250978148495298E-2</c:v>
                </c:pt>
                <c:pt idx="255">
                  <c:v>4.02807334096408E-2</c:v>
                </c:pt>
                <c:pt idx="256">
                  <c:v>3.0469730504771662E-2</c:v>
                </c:pt>
                <c:pt idx="257">
                  <c:v>-4.3173651567849497E-2</c:v>
                </c:pt>
                <c:pt idx="258">
                  <c:v>-3.2999975883829434E-2</c:v>
                </c:pt>
                <c:pt idx="259">
                  <c:v>-1.1265616309835792E-2</c:v>
                </c:pt>
                <c:pt idx="260">
                  <c:v>1.6339287745249859E-2</c:v>
                </c:pt>
                <c:pt idx="261">
                  <c:v>1.0622653550943866E-3</c:v>
                </c:pt>
                <c:pt idx="262">
                  <c:v>3.0414974358863232E-2</c:v>
                </c:pt>
                <c:pt idx="263">
                  <c:v>1.7572349562635831E-2</c:v>
                </c:pt>
                <c:pt idx="264">
                  <c:v>-9.7639009918943209E-3</c:v>
                </c:pt>
                <c:pt idx="265">
                  <c:v>8.403547051711582E-3</c:v>
                </c:pt>
                <c:pt idx="266">
                  <c:v>7.5294508068581576E-3</c:v>
                </c:pt>
                <c:pt idx="267">
                  <c:v>2.9823982530122018E-2</c:v>
                </c:pt>
                <c:pt idx="268">
                  <c:v>5.2149469194780473E-3</c:v>
                </c:pt>
                <c:pt idx="269">
                  <c:v>1.2433992947951172E-2</c:v>
                </c:pt>
                <c:pt idx="270">
                  <c:v>1.8919501817924841E-2</c:v>
                </c:pt>
                <c:pt idx="271">
                  <c:v>1.2734959274208766E-2</c:v>
                </c:pt>
                <c:pt idx="272">
                  <c:v>8.1950855879338678E-3</c:v>
                </c:pt>
                <c:pt idx="273">
                  <c:v>4.9644532925272572E-2</c:v>
                </c:pt>
                <c:pt idx="274">
                  <c:v>-3.5742535311559583E-2</c:v>
                </c:pt>
                <c:pt idx="275">
                  <c:v>2.8788864583745833E-3</c:v>
                </c:pt>
                <c:pt idx="276">
                  <c:v>4.8272652175521411E-3</c:v>
                </c:pt>
                <c:pt idx="277">
                  <c:v>1.8649984520619473E-2</c:v>
                </c:pt>
                <c:pt idx="278">
                  <c:v>-3.2361858595754667E-3</c:v>
                </c:pt>
                <c:pt idx="279">
                  <c:v>9.0635710027625466E-3</c:v>
                </c:pt>
                <c:pt idx="280">
                  <c:v>2.4485129528582783E-3</c:v>
                </c:pt>
                <c:pt idx="281">
                  <c:v>6.0700555005319462E-3</c:v>
                </c:pt>
                <c:pt idx="282">
                  <c:v>8.9599501603710302E-3</c:v>
                </c:pt>
                <c:pt idx="283">
                  <c:v>1.4038146170922701E-3</c:v>
                </c:pt>
                <c:pt idx="284">
                  <c:v>-4.5251207362694461E-3</c:v>
                </c:pt>
                <c:pt idx="285">
                  <c:v>3.8229561307075695E-3</c:v>
                </c:pt>
                <c:pt idx="286">
                  <c:v>8.3353427981195053E-3</c:v>
                </c:pt>
                <c:pt idx="287">
                  <c:v>5.423192682053257E-3</c:v>
                </c:pt>
                <c:pt idx="288">
                  <c:v>-3.0646452950414955E-3</c:v>
                </c:pt>
                <c:pt idx="289">
                  <c:v>3.9843150836091868E-3</c:v>
                </c:pt>
                <c:pt idx="290">
                  <c:v>1.1866187320361951E-2</c:v>
                </c:pt>
                <c:pt idx="291">
                  <c:v>2.1278506570486955E-2</c:v>
                </c:pt>
                <c:pt idx="292">
                  <c:v>-1.4617899428453233E-2</c:v>
                </c:pt>
                <c:pt idx="293">
                  <c:v>-6.3558662173361282E-3</c:v>
                </c:pt>
                <c:pt idx="294">
                  <c:v>7.4124524144879083E-3</c:v>
                </c:pt>
                <c:pt idx="295">
                  <c:v>2.239594497275794E-3</c:v>
                </c:pt>
                <c:pt idx="296">
                  <c:v>1.1782206257977407E-2</c:v>
                </c:pt>
                <c:pt idx="297">
                  <c:v>2.0086693501680401E-2</c:v>
                </c:pt>
                <c:pt idx="298">
                  <c:v>8.4189752850175395E-3</c:v>
                </c:pt>
                <c:pt idx="299">
                  <c:v>4.7533324223147221E-3</c:v>
                </c:pt>
                <c:pt idx="300">
                  <c:v>9.4713096490573519E-3</c:v>
                </c:pt>
                <c:pt idx="301">
                  <c:v>-3.9181902807521856E-3</c:v>
                </c:pt>
                <c:pt idx="302">
                  <c:v>-7.1947712017982396E-3</c:v>
                </c:pt>
                <c:pt idx="303">
                  <c:v>4.2558079336592449E-3</c:v>
                </c:pt>
                <c:pt idx="304">
                  <c:v>6.7902951148227477E-3</c:v>
                </c:pt>
                <c:pt idx="305">
                  <c:v>-2.5971124218268668E-3</c:v>
                </c:pt>
                <c:pt idx="306">
                  <c:v>3.5317569074627046E-4</c:v>
                </c:pt>
                <c:pt idx="307">
                  <c:v>-2.522024230856121E-3</c:v>
                </c:pt>
                <c:pt idx="308">
                  <c:v>6.1869644627799341E-5</c:v>
                </c:pt>
                <c:pt idx="309">
                  <c:v>8.8761905210556664E-3</c:v>
                </c:pt>
                <c:pt idx="310">
                  <c:v>1.6500750132045224E-2</c:v>
                </c:pt>
                <c:pt idx="311">
                  <c:v>9.7941569673860012E-3</c:v>
                </c:pt>
                <c:pt idx="312">
                  <c:v>9.2080948176590724E-3</c:v>
                </c:pt>
                <c:pt idx="313">
                  <c:v>1.9854631628860712E-3</c:v>
                </c:pt>
                <c:pt idx="314">
                  <c:v>8.5113334040155669E-3</c:v>
                </c:pt>
                <c:pt idx="315">
                  <c:v>-2.1887727631199668E-3</c:v>
                </c:pt>
                <c:pt idx="316">
                  <c:v>-4.4801505597064986E-3</c:v>
                </c:pt>
                <c:pt idx="317">
                  <c:v>-7.1728257687245717E-3</c:v>
                </c:pt>
                <c:pt idx="318">
                  <c:v>9.3795515271531665E-3</c:v>
                </c:pt>
                <c:pt idx="319">
                  <c:v>-4.4820740252044956E-3</c:v>
                </c:pt>
                <c:pt idx="320">
                  <c:v>-2.7286201735131589E-3</c:v>
                </c:pt>
                <c:pt idx="321">
                  <c:v>7.5517476275573179E-3</c:v>
                </c:pt>
                <c:pt idx="322">
                  <c:v>1.2402850859804188E-2</c:v>
                </c:pt>
                <c:pt idx="323">
                  <c:v>1.2205133804849158E-2</c:v>
                </c:pt>
                <c:pt idx="324">
                  <c:v>1.9926119073183581E-3</c:v>
                </c:pt>
                <c:pt idx="325">
                  <c:v>3.9920210201218713E-3</c:v>
                </c:pt>
                <c:pt idx="326">
                  <c:v>4.6511332226343511E-3</c:v>
                </c:pt>
                <c:pt idx="327">
                  <c:v>-8.0081486513381966E-3</c:v>
                </c:pt>
                <c:pt idx="328">
                  <c:v>8.5446797684920854E-3</c:v>
                </c:pt>
                <c:pt idx="329">
                  <c:v>-3.5834998041134507E-3</c:v>
                </c:pt>
                <c:pt idx="330">
                  <c:v>4.3607080298652606E-4</c:v>
                </c:pt>
                <c:pt idx="331">
                  <c:v>1.9442469125094909E-4</c:v>
                </c:pt>
                <c:pt idx="332">
                  <c:v>6.2750522229730512E-3</c:v>
                </c:pt>
                <c:pt idx="333">
                  <c:v>9.3276599223594391E-4</c:v>
                </c:pt>
                <c:pt idx="334">
                  <c:v>-2.6108376518157532E-3</c:v>
                </c:pt>
                <c:pt idx="335">
                  <c:v>1.7684824669309052E-3</c:v>
                </c:pt>
                <c:pt idx="336">
                  <c:v>4.5756793672852318E-3</c:v>
                </c:pt>
                <c:pt idx="337">
                  <c:v>-1.1711710327207082E-3</c:v>
                </c:pt>
                <c:pt idx="338">
                  <c:v>-6.1959199735881435E-3</c:v>
                </c:pt>
                <c:pt idx="339">
                  <c:v>-2.9234241053746786E-3</c:v>
                </c:pt>
                <c:pt idx="340">
                  <c:v>1.0178516198232216E-4</c:v>
                </c:pt>
                <c:pt idx="341">
                  <c:v>6.8048063872541515E-3</c:v>
                </c:pt>
                <c:pt idx="342">
                  <c:v>6.6285491434104043E-3</c:v>
                </c:pt>
                <c:pt idx="343">
                  <c:v>-1.0898063660006168E-3</c:v>
                </c:pt>
                <c:pt idx="344">
                  <c:v>-2.7544256022559352E-3</c:v>
                </c:pt>
                <c:pt idx="345">
                  <c:v>-7.7676510812614162E-4</c:v>
                </c:pt>
                <c:pt idx="346">
                  <c:v>2.9348686692496706E-3</c:v>
                </c:pt>
                <c:pt idx="347">
                  <c:v>-1.3191795003583001E-3</c:v>
                </c:pt>
                <c:pt idx="348">
                  <c:v>-7.5003573265432968E-3</c:v>
                </c:pt>
                <c:pt idx="349">
                  <c:v>8.9293992286535312E-3</c:v>
                </c:pt>
                <c:pt idx="350">
                  <c:v>9.8519746418603803E-3</c:v>
                </c:pt>
                <c:pt idx="351">
                  <c:v>-9.9557800136636145E-4</c:v>
                </c:pt>
                <c:pt idx="352">
                  <c:v>1.3861413625489546E-3</c:v>
                </c:pt>
                <c:pt idx="353">
                  <c:v>-1.4592210925321623E-2</c:v>
                </c:pt>
                <c:pt idx="354">
                  <c:v>6.2473380926831691E-3</c:v>
                </c:pt>
                <c:pt idx="355">
                  <c:v>-1.8832413474960011E-3</c:v>
                </c:pt>
                <c:pt idx="356">
                  <c:v>-9.4344553860091791E-3</c:v>
                </c:pt>
                <c:pt idx="357">
                  <c:v>-2.5236040003177506E-3</c:v>
                </c:pt>
                <c:pt idx="358">
                  <c:v>1.0229847656354762E-2</c:v>
                </c:pt>
                <c:pt idx="359">
                  <c:v>-5.6049924218800765E-3</c:v>
                </c:pt>
                <c:pt idx="360">
                  <c:v>-1.1684067195981222E-2</c:v>
                </c:pt>
                <c:pt idx="361">
                  <c:v>5.1897088498892453E-3</c:v>
                </c:pt>
                <c:pt idx="362">
                  <c:v>5.7028854002695237E-3</c:v>
                </c:pt>
                <c:pt idx="363">
                  <c:v>-1.9704712642831673E-2</c:v>
                </c:pt>
                <c:pt idx="364">
                  <c:v>-2.1040725142980464E-2</c:v>
                </c:pt>
                <c:pt idx="365">
                  <c:v>8.4313333360441743E-3</c:v>
                </c:pt>
                <c:pt idx="366">
                  <c:v>1.5154464181846999E-2</c:v>
                </c:pt>
                <c:pt idx="367">
                  <c:v>-6.0318267934371221E-4</c:v>
                </c:pt>
                <c:pt idx="368">
                  <c:v>1.888615402805358E-3</c:v>
                </c:pt>
                <c:pt idx="369">
                  <c:v>-1.0294766242488415E-2</c:v>
                </c:pt>
                <c:pt idx="370">
                  <c:v>1.3138262306243681E-3</c:v>
                </c:pt>
                <c:pt idx="371">
                  <c:v>4.4060305095984425E-3</c:v>
                </c:pt>
                <c:pt idx="372">
                  <c:v>-8.7204233036228566E-4</c:v>
                </c:pt>
                <c:pt idx="373">
                  <c:v>6.123364417956284E-4</c:v>
                </c:pt>
                <c:pt idx="374">
                  <c:v>8.5575772294381614E-3</c:v>
                </c:pt>
                <c:pt idx="375">
                  <c:v>9.2428314963158929E-3</c:v>
                </c:pt>
                <c:pt idx="376">
                  <c:v>4.8361296888926363E-3</c:v>
                </c:pt>
                <c:pt idx="377">
                  <c:v>-1.0606374139242069E-3</c:v>
                </c:pt>
                <c:pt idx="378">
                  <c:v>3.2270572010581304E-3</c:v>
                </c:pt>
                <c:pt idx="379">
                  <c:v>4.2990442206100139E-3</c:v>
                </c:pt>
                <c:pt idx="380">
                  <c:v>-3.7263476245684834E-3</c:v>
                </c:pt>
                <c:pt idx="381">
                  <c:v>-7.3389976385123271E-3</c:v>
                </c:pt>
                <c:pt idx="382">
                  <c:v>1.1370337606397239E-4</c:v>
                </c:pt>
                <c:pt idx="383">
                  <c:v>2.7308671711766701E-2</c:v>
                </c:pt>
                <c:pt idx="384">
                  <c:v>6.5427376805843439E-3</c:v>
                </c:pt>
                <c:pt idx="385">
                  <c:v>4.6852340803789513E-2</c:v>
                </c:pt>
                <c:pt idx="386">
                  <c:v>2.8646020243424737E-3</c:v>
                </c:pt>
                <c:pt idx="387">
                  <c:v>-9.0518338198691279E-3</c:v>
                </c:pt>
                <c:pt idx="388">
                  <c:v>-6.7990870192567998E-3</c:v>
                </c:pt>
                <c:pt idx="389">
                  <c:v>-1.4744879467953539E-3</c:v>
                </c:pt>
                <c:pt idx="390">
                  <c:v>-4.8034585008996204E-3</c:v>
                </c:pt>
                <c:pt idx="391">
                  <c:v>-5.9895541062102032E-3</c:v>
                </c:pt>
                <c:pt idx="392">
                  <c:v>-1.2022452850310953E-2</c:v>
                </c:pt>
                <c:pt idx="393">
                  <c:v>-3.996126437957128E-3</c:v>
                </c:pt>
                <c:pt idx="394">
                  <c:v>1.3359843970441574E-2</c:v>
                </c:pt>
                <c:pt idx="395">
                  <c:v>5.5881971716924045E-4</c:v>
                </c:pt>
                <c:pt idx="396">
                  <c:v>-9.0202945039619606E-3</c:v>
                </c:pt>
                <c:pt idx="397">
                  <c:v>-6.1270251887788167E-3</c:v>
                </c:pt>
                <c:pt idx="398">
                  <c:v>1.1563284677372981E-2</c:v>
                </c:pt>
                <c:pt idx="399">
                  <c:v>2.1052162536036208E-3</c:v>
                </c:pt>
                <c:pt idx="400">
                  <c:v>-3.3254984890323811E-3</c:v>
                </c:pt>
                <c:pt idx="401">
                  <c:v>1.635102019072027E-3</c:v>
                </c:pt>
                <c:pt idx="402">
                  <c:v>-3.429014359122138E-3</c:v>
                </c:pt>
                <c:pt idx="403">
                  <c:v>5.4937428850926088E-3</c:v>
                </c:pt>
                <c:pt idx="404">
                  <c:v>3.5722713951225368E-3</c:v>
                </c:pt>
                <c:pt idx="405">
                  <c:v>1.7816701974031756E-3</c:v>
                </c:pt>
                <c:pt idx="406">
                  <c:v>9.9199028280964607E-3</c:v>
                </c:pt>
                <c:pt idx="407">
                  <c:v>9.764043483317492E-3</c:v>
                </c:pt>
                <c:pt idx="408">
                  <c:v>5.8830370482004001E-3</c:v>
                </c:pt>
                <c:pt idx="409">
                  <c:v>7.744984905336522E-4</c:v>
                </c:pt>
                <c:pt idx="410">
                  <c:v>-2.1904531536037081E-3</c:v>
                </c:pt>
                <c:pt idx="411">
                  <c:v>-4.177876385444483E-5</c:v>
                </c:pt>
                <c:pt idx="412">
                  <c:v>1.1990611121318015E-2</c:v>
                </c:pt>
                <c:pt idx="413">
                  <c:v>1.7612391243183288E-2</c:v>
                </c:pt>
                <c:pt idx="414">
                  <c:v>-6.2573001952813713E-3</c:v>
                </c:pt>
                <c:pt idx="415">
                  <c:v>-8.2638922112173736E-3</c:v>
                </c:pt>
                <c:pt idx="416">
                  <c:v>-1.4403084843506758E-2</c:v>
                </c:pt>
                <c:pt idx="417">
                  <c:v>1.0717451654407248E-2</c:v>
                </c:pt>
                <c:pt idx="418">
                  <c:v>-1.1171115705640093E-3</c:v>
                </c:pt>
                <c:pt idx="419">
                  <c:v>9.7041161074621542E-3</c:v>
                </c:pt>
                <c:pt idx="420">
                  <c:v>-1.036629053107646E-3</c:v>
                </c:pt>
                <c:pt idx="421">
                  <c:v>7.3834542144328545E-3</c:v>
                </c:pt>
                <c:pt idx="422">
                  <c:v>8.8174554261679864E-3</c:v>
                </c:pt>
                <c:pt idx="423">
                  <c:v>-6.1421812591829362E-4</c:v>
                </c:pt>
                <c:pt idx="424">
                  <c:v>-2.1329766360032453E-3</c:v>
                </c:pt>
                <c:pt idx="425">
                  <c:v>-8.6356740659591783E-4</c:v>
                </c:pt>
                <c:pt idx="426">
                  <c:v>3.2690167862433439E-3</c:v>
                </c:pt>
                <c:pt idx="427">
                  <c:v>9.9788868111011769E-3</c:v>
                </c:pt>
                <c:pt idx="428">
                  <c:v>1.7586475130808646E-2</c:v>
                </c:pt>
                <c:pt idx="429">
                  <c:v>9.7517505450437376E-3</c:v>
                </c:pt>
                <c:pt idx="430">
                  <c:v>1.3003866563925071E-2</c:v>
                </c:pt>
                <c:pt idx="431">
                  <c:v>1.3464813630449666E-3</c:v>
                </c:pt>
                <c:pt idx="432">
                  <c:v>-3.1160310012175729E-3</c:v>
                </c:pt>
                <c:pt idx="433">
                  <c:v>-2.0405968712336573E-3</c:v>
                </c:pt>
                <c:pt idx="434">
                  <c:v>8.9308750899166119E-3</c:v>
                </c:pt>
                <c:pt idx="435">
                  <c:v>9.7336702966696765E-3</c:v>
                </c:pt>
                <c:pt idx="436">
                  <c:v>5.8088702668343982E-3</c:v>
                </c:pt>
                <c:pt idx="437">
                  <c:v>5.7376745979353105E-3</c:v>
                </c:pt>
                <c:pt idx="438">
                  <c:v>-4.0596232806562127E-3</c:v>
                </c:pt>
                <c:pt idx="439">
                  <c:v>-4.7829216274194297E-3</c:v>
                </c:pt>
                <c:pt idx="440">
                  <c:v>3.4989450800425488E-3</c:v>
                </c:pt>
                <c:pt idx="441">
                  <c:v>9.4326581806799866E-3</c:v>
                </c:pt>
                <c:pt idx="442">
                  <c:v>1.1423022574355078E-3</c:v>
                </c:pt>
                <c:pt idx="443">
                  <c:v>1.1991392764601273E-2</c:v>
                </c:pt>
                <c:pt idx="444">
                  <c:v>-2.5957903627859033E-2</c:v>
                </c:pt>
                <c:pt idx="445">
                  <c:v>-5.8440192504573523E-4</c:v>
                </c:pt>
                <c:pt idx="446">
                  <c:v>2.9064179751288888E-3</c:v>
                </c:pt>
                <c:pt idx="447">
                  <c:v>-8.1530240210353261E-4</c:v>
                </c:pt>
                <c:pt idx="448">
                  <c:v>-1.05620238188697E-3</c:v>
                </c:pt>
                <c:pt idx="449">
                  <c:v>-3.4220482161726818E-3</c:v>
                </c:pt>
                <c:pt idx="450">
                  <c:v>9.5833660539979531E-3</c:v>
                </c:pt>
                <c:pt idx="451">
                  <c:v>2.5465496766658716E-2</c:v>
                </c:pt>
                <c:pt idx="452">
                  <c:v>7.6614504160925825E-3</c:v>
                </c:pt>
                <c:pt idx="453">
                  <c:v>-1.3715934668363887E-3</c:v>
                </c:pt>
                <c:pt idx="454">
                  <c:v>7.8023338706714419E-3</c:v>
                </c:pt>
                <c:pt idx="455">
                  <c:v>1.4560116444752592E-2</c:v>
                </c:pt>
                <c:pt idx="456">
                  <c:v>5.769734349851314E-3</c:v>
                </c:pt>
                <c:pt idx="457">
                  <c:v>1.8108554742439591E-2</c:v>
                </c:pt>
                <c:pt idx="458">
                  <c:v>7.4264283262798192E-5</c:v>
                </c:pt>
                <c:pt idx="459">
                  <c:v>9.8005844374489063E-3</c:v>
                </c:pt>
                <c:pt idx="460">
                  <c:v>-1.8798736022219556E-2</c:v>
                </c:pt>
                <c:pt idx="461">
                  <c:v>-1.8241511707080351E-2</c:v>
                </c:pt>
                <c:pt idx="462">
                  <c:v>1.5138926612848238E-2</c:v>
                </c:pt>
                <c:pt idx="463">
                  <c:v>2.6465103269744691E-3</c:v>
                </c:pt>
                <c:pt idx="464">
                  <c:v>-4.7994453717868951E-2</c:v>
                </c:pt>
                <c:pt idx="465">
                  <c:v>5.4052554412278722E-3</c:v>
                </c:pt>
                <c:pt idx="466">
                  <c:v>1.2635922271539137E-2</c:v>
                </c:pt>
                <c:pt idx="467">
                  <c:v>9.7634794772680777E-3</c:v>
                </c:pt>
                <c:pt idx="468">
                  <c:v>6.6886977207507052E-3</c:v>
                </c:pt>
                <c:pt idx="469">
                  <c:v>2.2224471691773603E-3</c:v>
                </c:pt>
                <c:pt idx="470">
                  <c:v>-3.0892108919396748E-2</c:v>
                </c:pt>
                <c:pt idx="471">
                  <c:v>-7.5422240906056716E-3</c:v>
                </c:pt>
                <c:pt idx="472">
                  <c:v>-8.0901009110580738E-3</c:v>
                </c:pt>
                <c:pt idx="473">
                  <c:v>5.7127368851876432E-3</c:v>
                </c:pt>
                <c:pt idx="474">
                  <c:v>8.0515287832652448E-3</c:v>
                </c:pt>
                <c:pt idx="475">
                  <c:v>1.038490584165571E-2</c:v>
                </c:pt>
                <c:pt idx="476">
                  <c:v>1.2630849461413133E-3</c:v>
                </c:pt>
                <c:pt idx="477">
                  <c:v>-5.7409984435402685E-3</c:v>
                </c:pt>
                <c:pt idx="478">
                  <c:v>-2.6690740421724153E-3</c:v>
                </c:pt>
                <c:pt idx="479">
                  <c:v>-8.2764140559625481E-3</c:v>
                </c:pt>
                <c:pt idx="480">
                  <c:v>-5.6972995920024621E-3</c:v>
                </c:pt>
                <c:pt idx="481">
                  <c:v>3.1059663803513054E-4</c:v>
                </c:pt>
                <c:pt idx="482">
                  <c:v>1.0915545014576868E-2</c:v>
                </c:pt>
                <c:pt idx="483">
                  <c:v>-3.9072422284480391E-3</c:v>
                </c:pt>
                <c:pt idx="484">
                  <c:v>-1.034450067196399E-3</c:v>
                </c:pt>
                <c:pt idx="485">
                  <c:v>-4.3070670496273356E-3</c:v>
                </c:pt>
                <c:pt idx="486">
                  <c:v>-1.9223640901274402E-3</c:v>
                </c:pt>
                <c:pt idx="487">
                  <c:v>-1.1895397842269272E-4</c:v>
                </c:pt>
                <c:pt idx="488">
                  <c:v>4.6192983328567699E-3</c:v>
                </c:pt>
                <c:pt idx="489">
                  <c:v>-4.8278906024548087E-3</c:v>
                </c:pt>
                <c:pt idx="490">
                  <c:v>3.5399570607631159E-2</c:v>
                </c:pt>
                <c:pt idx="491">
                  <c:v>6.426842931052979E-3</c:v>
                </c:pt>
                <c:pt idx="492">
                  <c:v>1.9529236019809458E-2</c:v>
                </c:pt>
                <c:pt idx="493">
                  <c:v>2.8605914588536462E-2</c:v>
                </c:pt>
                <c:pt idx="494">
                  <c:v>-4.1068086927674739E-2</c:v>
                </c:pt>
                <c:pt idx="495">
                  <c:v>-1.5766848179167389E-2</c:v>
                </c:pt>
                <c:pt idx="496">
                  <c:v>3.932230987024209E-3</c:v>
                </c:pt>
                <c:pt idx="497">
                  <c:v>-6.1276688391439472E-3</c:v>
                </c:pt>
                <c:pt idx="498">
                  <c:v>-3.6372389221141818E-2</c:v>
                </c:pt>
                <c:pt idx="499">
                  <c:v>-1.3992737337747724E-2</c:v>
                </c:pt>
                <c:pt idx="500">
                  <c:v>1.0386982833816094E-2</c:v>
                </c:pt>
                <c:pt idx="501">
                  <c:v>2.6046198416180173E-3</c:v>
                </c:pt>
                <c:pt idx="502">
                  <c:v>-1.726141173785626E-2</c:v>
                </c:pt>
                <c:pt idx="503">
                  <c:v>6.2783725404026349E-3</c:v>
                </c:pt>
                <c:pt idx="504">
                  <c:v>-3.190703982853294E-3</c:v>
                </c:pt>
                <c:pt idx="505">
                  <c:v>2.3263205583354804E-2</c:v>
                </c:pt>
                <c:pt idx="506">
                  <c:v>1.4727946220332034E-2</c:v>
                </c:pt>
                <c:pt idx="507">
                  <c:v>1.190928558407179E-2</c:v>
                </c:pt>
                <c:pt idx="508">
                  <c:v>7.2357565718769263E-3</c:v>
                </c:pt>
                <c:pt idx="509">
                  <c:v>1.433104370554979E-2</c:v>
                </c:pt>
                <c:pt idx="510">
                  <c:v>1.9239090405782488E-2</c:v>
                </c:pt>
                <c:pt idx="511">
                  <c:v>4.5967732337874357E-4</c:v>
                </c:pt>
                <c:pt idx="512">
                  <c:v>-5.6958991071324339E-3</c:v>
                </c:pt>
                <c:pt idx="513">
                  <c:v>1.7925334166693733E-2</c:v>
                </c:pt>
                <c:pt idx="514">
                  <c:v>1.0151869068063443E-2</c:v>
                </c:pt>
                <c:pt idx="515">
                  <c:v>4.4565682353659023E-3</c:v>
                </c:pt>
                <c:pt idx="516">
                  <c:v>1.25911272370252E-2</c:v>
                </c:pt>
                <c:pt idx="517">
                  <c:v>1.341429043735573E-2</c:v>
                </c:pt>
                <c:pt idx="518">
                  <c:v>5.9963911955264832E-3</c:v>
                </c:pt>
                <c:pt idx="519">
                  <c:v>8.599195748071949E-4</c:v>
                </c:pt>
                <c:pt idx="520">
                  <c:v>-5.705899258093664E-3</c:v>
                </c:pt>
                <c:pt idx="521">
                  <c:v>1.0197782870092506E-2</c:v>
                </c:pt>
                <c:pt idx="522">
                  <c:v>2.1308305225318483E-3</c:v>
                </c:pt>
                <c:pt idx="523">
                  <c:v>2.0852089215877348E-3</c:v>
                </c:pt>
                <c:pt idx="524">
                  <c:v>2.0343987670682375E-2</c:v>
                </c:pt>
                <c:pt idx="525">
                  <c:v>2.0113108036717682E-2</c:v>
                </c:pt>
                <c:pt idx="526">
                  <c:v>9.2276980726181627E-3</c:v>
                </c:pt>
                <c:pt idx="527">
                  <c:v>-2.4141173399697367E-3</c:v>
                </c:pt>
                <c:pt idx="528">
                  <c:v>1.4392282793726154E-2</c:v>
                </c:pt>
                <c:pt idx="529">
                  <c:v>8.9995660459308378E-3</c:v>
                </c:pt>
                <c:pt idx="530">
                  <c:v>6.577528718672984E-3</c:v>
                </c:pt>
                <c:pt idx="531">
                  <c:v>7.3252602964697811E-3</c:v>
                </c:pt>
                <c:pt idx="532">
                  <c:v>9.583370643434579E-3</c:v>
                </c:pt>
                <c:pt idx="533">
                  <c:v>1.0292306771497233E-2</c:v>
                </c:pt>
                <c:pt idx="534">
                  <c:v>-3.9084490523551233E-3</c:v>
                </c:pt>
                <c:pt idx="535">
                  <c:v>6.4703751487524665E-4</c:v>
                </c:pt>
                <c:pt idx="536">
                  <c:v>1.1194844536173379E-3</c:v>
                </c:pt>
                <c:pt idx="537">
                  <c:v>-8.9676036507187803E-5</c:v>
                </c:pt>
                <c:pt idx="538">
                  <c:v>1.4878794339953745E-2</c:v>
                </c:pt>
                <c:pt idx="539">
                  <c:v>1.8576214842715027E-2</c:v>
                </c:pt>
                <c:pt idx="540">
                  <c:v>-2.4569999765787485E-3</c:v>
                </c:pt>
                <c:pt idx="541">
                  <c:v>-3.8614340705236203E-3</c:v>
                </c:pt>
                <c:pt idx="542">
                  <c:v>4.5743408170815557E-3</c:v>
                </c:pt>
                <c:pt idx="543">
                  <c:v>1.4798742959801943E-2</c:v>
                </c:pt>
                <c:pt idx="544">
                  <c:v>5.5649481050187048E-3</c:v>
                </c:pt>
                <c:pt idx="545">
                  <c:v>7.4423338560761663E-3</c:v>
                </c:pt>
                <c:pt idx="546">
                  <c:v>8.5236467357024184E-3</c:v>
                </c:pt>
                <c:pt idx="547">
                  <c:v>4.7978611061939291E-3</c:v>
                </c:pt>
                <c:pt idx="548">
                  <c:v>5.0774399088884012E-4</c:v>
                </c:pt>
                <c:pt idx="549">
                  <c:v>8.5966750517152656E-3</c:v>
                </c:pt>
                <c:pt idx="550">
                  <c:v>6.9087277144714524E-3</c:v>
                </c:pt>
                <c:pt idx="551">
                  <c:v>2.7820742795817617E-3</c:v>
                </c:pt>
                <c:pt idx="552">
                  <c:v>8.532725508131932E-3</c:v>
                </c:pt>
                <c:pt idx="553">
                  <c:v>-1.6400862562284272E-3</c:v>
                </c:pt>
                <c:pt idx="554">
                  <c:v>-1.8489332314817598E-3</c:v>
                </c:pt>
                <c:pt idx="555">
                  <c:v>-9.0640081780662594E-4</c:v>
                </c:pt>
                <c:pt idx="556">
                  <c:v>2.8437699561146405E-3</c:v>
                </c:pt>
                <c:pt idx="557">
                  <c:v>8.103409087940449E-3</c:v>
                </c:pt>
                <c:pt idx="558">
                  <c:v>3.9944086990111787E-4</c:v>
                </c:pt>
                <c:pt idx="559">
                  <c:v>3.5116431504380375E-3</c:v>
                </c:pt>
                <c:pt idx="560">
                  <c:v>2.2663721069308604E-3</c:v>
                </c:pt>
                <c:pt idx="561">
                  <c:v>1.2969687823804533E-3</c:v>
                </c:pt>
                <c:pt idx="562">
                  <c:v>1.8135117502508622E-3</c:v>
                </c:pt>
                <c:pt idx="563">
                  <c:v>-7.7910021272964312E-3</c:v>
                </c:pt>
                <c:pt idx="564">
                  <c:v>-3.2110155545722685E-3</c:v>
                </c:pt>
                <c:pt idx="565">
                  <c:v>5.6002078797164944E-3</c:v>
                </c:pt>
                <c:pt idx="566">
                  <c:v>-1.0989449997019381E-3</c:v>
                </c:pt>
                <c:pt idx="567">
                  <c:v>6.9483340616747682E-3</c:v>
                </c:pt>
                <c:pt idx="568">
                  <c:v>-4.724397045381145E-3</c:v>
                </c:pt>
                <c:pt idx="569">
                  <c:v>8.7121366770647225E-3</c:v>
                </c:pt>
                <c:pt idx="570">
                  <c:v>6.8938530180938738E-3</c:v>
                </c:pt>
                <c:pt idx="571">
                  <c:v>-2.6860246234421122E-2</c:v>
                </c:pt>
                <c:pt idx="572">
                  <c:v>-1.1243433615399149E-2</c:v>
                </c:pt>
                <c:pt idx="573">
                  <c:v>-1.4916190680392646E-2</c:v>
                </c:pt>
                <c:pt idx="574">
                  <c:v>-4.0401743526123747E-3</c:v>
                </c:pt>
                <c:pt idx="575">
                  <c:v>-1.6659420708697182E-3</c:v>
                </c:pt>
                <c:pt idx="576">
                  <c:v>7.0042091051556038E-3</c:v>
                </c:pt>
                <c:pt idx="577">
                  <c:v>1.5395030146757352E-5</c:v>
                </c:pt>
                <c:pt idx="578">
                  <c:v>-6.3332557044078056E-4</c:v>
                </c:pt>
                <c:pt idx="579">
                  <c:v>-1.5980176898944803E-2</c:v>
                </c:pt>
                <c:pt idx="580">
                  <c:v>-2.2213788730831899E-3</c:v>
                </c:pt>
                <c:pt idx="581">
                  <c:v>3.7263406653410486E-3</c:v>
                </c:pt>
                <c:pt idx="582">
                  <c:v>-8.6340682476848344E-3</c:v>
                </c:pt>
                <c:pt idx="583">
                  <c:v>2.9189829920453023E-3</c:v>
                </c:pt>
                <c:pt idx="584">
                  <c:v>1.288603620205188E-2</c:v>
                </c:pt>
                <c:pt idx="585">
                  <c:v>-8.6933623070607289E-3</c:v>
                </c:pt>
                <c:pt idx="586">
                  <c:v>1.6820219853248417E-2</c:v>
                </c:pt>
                <c:pt idx="587">
                  <c:v>-1.9766565914903517E-2</c:v>
                </c:pt>
                <c:pt idx="588">
                  <c:v>-4.1053223262559942E-3</c:v>
                </c:pt>
                <c:pt idx="589">
                  <c:v>-5.2395354319728844E-4</c:v>
                </c:pt>
                <c:pt idx="590">
                  <c:v>-3.1451125869100117E-3</c:v>
                </c:pt>
                <c:pt idx="591">
                  <c:v>1.1072868827816483E-2</c:v>
                </c:pt>
                <c:pt idx="592">
                  <c:v>4.0785192503985882E-3</c:v>
                </c:pt>
                <c:pt idx="593">
                  <c:v>1.8997621081116148E-2</c:v>
                </c:pt>
                <c:pt idx="594">
                  <c:v>8.8707057398909935E-3</c:v>
                </c:pt>
                <c:pt idx="595">
                  <c:v>7.012186842796077E-3</c:v>
                </c:pt>
                <c:pt idx="596">
                  <c:v>7.2433738444455395E-3</c:v>
                </c:pt>
                <c:pt idx="597">
                  <c:v>3.863515417668939E-3</c:v>
                </c:pt>
                <c:pt idx="598">
                  <c:v>1.0163212815052339E-2</c:v>
                </c:pt>
                <c:pt idx="599">
                  <c:v>7.5466333143549271E-3</c:v>
                </c:pt>
                <c:pt idx="600">
                  <c:v>1.482465744357184E-3</c:v>
                </c:pt>
                <c:pt idx="601">
                  <c:v>-6.1624046697535009E-4</c:v>
                </c:pt>
                <c:pt idx="602">
                  <c:v>-5.455722562641808E-4</c:v>
                </c:pt>
                <c:pt idx="603">
                  <c:v>-4.9579967732619303E-3</c:v>
                </c:pt>
                <c:pt idx="604">
                  <c:v>-6.2440312471410998E-3</c:v>
                </c:pt>
                <c:pt idx="605">
                  <c:v>8.895680603675498E-3</c:v>
                </c:pt>
                <c:pt idx="606">
                  <c:v>1.3855134283115085E-2</c:v>
                </c:pt>
                <c:pt idx="607">
                  <c:v>6.2526927902320124E-3</c:v>
                </c:pt>
                <c:pt idx="608">
                  <c:v>1.6556695826354887E-3</c:v>
                </c:pt>
                <c:pt idx="609">
                  <c:v>1.5105681913935968E-2</c:v>
                </c:pt>
                <c:pt idx="610">
                  <c:v>1.17049694859349E-3</c:v>
                </c:pt>
                <c:pt idx="611">
                  <c:v>-9.1200454453413734E-3</c:v>
                </c:pt>
                <c:pt idx="612">
                  <c:v>5.9118252426622372E-2</c:v>
                </c:pt>
                <c:pt idx="613">
                  <c:v>1.597378086659527E-3</c:v>
                </c:pt>
                <c:pt idx="614">
                  <c:v>3.2332211534144346E-2</c:v>
                </c:pt>
                <c:pt idx="615">
                  <c:v>-2.276650347520072E-3</c:v>
                </c:pt>
                <c:pt idx="616">
                  <c:v>-1.1911579885141132E-3</c:v>
                </c:pt>
                <c:pt idx="617">
                  <c:v>-1.0276651836719056E-2</c:v>
                </c:pt>
                <c:pt idx="618">
                  <c:v>-7.3061921823593299E-5</c:v>
                </c:pt>
                <c:pt idx="619">
                  <c:v>-1.6573635320510025E-2</c:v>
                </c:pt>
                <c:pt idx="620">
                  <c:v>-1.6657609680107515E-3</c:v>
                </c:pt>
                <c:pt idx="621">
                  <c:v>-3.1868072871163045E-3</c:v>
                </c:pt>
                <c:pt idx="622">
                  <c:v>1.7093539701289834E-5</c:v>
                </c:pt>
                <c:pt idx="623">
                  <c:v>-5.6537425611642503E-3</c:v>
                </c:pt>
                <c:pt idx="624">
                  <c:v>-3.162640323819214E-3</c:v>
                </c:pt>
                <c:pt idx="625">
                  <c:v>5.6827686043534262E-3</c:v>
                </c:pt>
                <c:pt idx="626">
                  <c:v>-1.0711261984433744E-2</c:v>
                </c:pt>
                <c:pt idx="627">
                  <c:v>4.9230689945430565E-3</c:v>
                </c:pt>
                <c:pt idx="628">
                  <c:v>6.5888493181675374E-3</c:v>
                </c:pt>
                <c:pt idx="629">
                  <c:v>6.8258139521388036E-3</c:v>
                </c:pt>
                <c:pt idx="630">
                  <c:v>1.9993351701760053E-3</c:v>
                </c:pt>
                <c:pt idx="631">
                  <c:v>-1.5506381323446314E-3</c:v>
                </c:pt>
                <c:pt idx="632">
                  <c:v>-7.8728743083364156E-3</c:v>
                </c:pt>
                <c:pt idx="633">
                  <c:v>7.6323601429253403E-3</c:v>
                </c:pt>
                <c:pt idx="634">
                  <c:v>8.4787306170828556E-3</c:v>
                </c:pt>
                <c:pt idx="635">
                  <c:v>-1.648393121063259E-3</c:v>
                </c:pt>
                <c:pt idx="636">
                  <c:v>-6.8567012697307267E-4</c:v>
                </c:pt>
                <c:pt idx="637">
                  <c:v>-4.4142722786362065E-4</c:v>
                </c:pt>
                <c:pt idx="638">
                  <c:v>-2.1083160411130759E-3</c:v>
                </c:pt>
                <c:pt idx="639">
                  <c:v>-9.8851684506043782E-3</c:v>
                </c:pt>
                <c:pt idx="640">
                  <c:v>3.440135801814361E-3</c:v>
                </c:pt>
                <c:pt idx="641">
                  <c:v>-8.685671068901479E-3</c:v>
                </c:pt>
                <c:pt idx="642">
                  <c:v>-3.44353388138621E-3</c:v>
                </c:pt>
                <c:pt idx="643">
                  <c:v>6.3253513138520883E-3</c:v>
                </c:pt>
                <c:pt idx="644">
                  <c:v>5.5120110645161821E-3</c:v>
                </c:pt>
                <c:pt idx="645">
                  <c:v>1.0045782161633907E-2</c:v>
                </c:pt>
                <c:pt idx="646">
                  <c:v>-7.2234101717971004E-3</c:v>
                </c:pt>
                <c:pt idx="647">
                  <c:v>-1.0893749840124761E-2</c:v>
                </c:pt>
                <c:pt idx="648">
                  <c:v>-9.7649305264574538E-3</c:v>
                </c:pt>
                <c:pt idx="649">
                  <c:v>3.520233383538675E-3</c:v>
                </c:pt>
                <c:pt idx="650">
                  <c:v>1.3946991453375396E-4</c:v>
                </c:pt>
                <c:pt idx="651">
                  <c:v>3.8230150802668807E-3</c:v>
                </c:pt>
                <c:pt idx="652">
                  <c:v>8.3401373468796544E-3</c:v>
                </c:pt>
                <c:pt idx="653">
                  <c:v>2.8202839529604187E-3</c:v>
                </c:pt>
                <c:pt idx="654">
                  <c:v>8.8645674724656971E-3</c:v>
                </c:pt>
                <c:pt idx="655">
                  <c:v>2.2376219950244135E-3</c:v>
                </c:pt>
                <c:pt idx="656">
                  <c:v>1.3839233288131239E-2</c:v>
                </c:pt>
                <c:pt idx="657">
                  <c:v>6.0317558227050809E-3</c:v>
                </c:pt>
                <c:pt idx="658">
                  <c:v>1.9810073505864135E-3</c:v>
                </c:pt>
                <c:pt idx="659">
                  <c:v>8.0729139842999429E-3</c:v>
                </c:pt>
                <c:pt idx="660">
                  <c:v>-7.8296210202361005E-4</c:v>
                </c:pt>
                <c:pt idx="661">
                  <c:v>-5.337125293229778E-3</c:v>
                </c:pt>
                <c:pt idx="662">
                  <c:v>-7.4655106739900398E-3</c:v>
                </c:pt>
                <c:pt idx="663">
                  <c:v>1.5956331207047786E-2</c:v>
                </c:pt>
                <c:pt idx="664">
                  <c:v>7.5313841267952021E-4</c:v>
                </c:pt>
                <c:pt idx="665">
                  <c:v>-5.0799826522503044E-3</c:v>
                </c:pt>
                <c:pt idx="666">
                  <c:v>-2.7731924562565398E-3</c:v>
                </c:pt>
                <c:pt idx="667">
                  <c:v>3.0326061581414173E-3</c:v>
                </c:pt>
                <c:pt idx="668">
                  <c:v>-5.0515974978526269E-3</c:v>
                </c:pt>
                <c:pt idx="669">
                  <c:v>2.0499810376754012E-3</c:v>
                </c:pt>
                <c:pt idx="670">
                  <c:v>1.4601153421018628E-3</c:v>
                </c:pt>
                <c:pt idx="671">
                  <c:v>-1.0750171512354974E-2</c:v>
                </c:pt>
                <c:pt idx="672">
                  <c:v>-2.3078905249098985E-2</c:v>
                </c:pt>
                <c:pt idx="673">
                  <c:v>-8.7336118860010959E-3</c:v>
                </c:pt>
                <c:pt idx="674">
                  <c:v>-2.9256442981862342E-3</c:v>
                </c:pt>
                <c:pt idx="675">
                  <c:v>-9.6567228542038534E-4</c:v>
                </c:pt>
                <c:pt idx="676">
                  <c:v>1.5069195554275284E-3</c:v>
                </c:pt>
                <c:pt idx="677">
                  <c:v>5.009674035734578E-3</c:v>
                </c:pt>
                <c:pt idx="678">
                  <c:v>5.4791069304742793E-3</c:v>
                </c:pt>
                <c:pt idx="679">
                  <c:v>5.8643236467959383E-4</c:v>
                </c:pt>
                <c:pt idx="680">
                  <c:v>-2.4047691853590829E-3</c:v>
                </c:pt>
                <c:pt idx="681">
                  <c:v>2.3545491932167729E-3</c:v>
                </c:pt>
                <c:pt idx="682">
                  <c:v>1.6378303100400154E-2</c:v>
                </c:pt>
                <c:pt idx="683">
                  <c:v>6.3868425747604183E-3</c:v>
                </c:pt>
                <c:pt idx="684">
                  <c:v>-2.4092596537628715E-3</c:v>
                </c:pt>
                <c:pt idx="685">
                  <c:v>-6.7124148535225537E-3</c:v>
                </c:pt>
                <c:pt idx="686">
                  <c:v>1.8760550813897729E-3</c:v>
                </c:pt>
                <c:pt idx="687">
                  <c:v>-3.201634927425119E-3</c:v>
                </c:pt>
                <c:pt idx="688">
                  <c:v>-7.993907830429671E-3</c:v>
                </c:pt>
                <c:pt idx="689">
                  <c:v>5.3177252951416183E-3</c:v>
                </c:pt>
                <c:pt idx="690">
                  <c:v>6.7906388511084102E-3</c:v>
                </c:pt>
                <c:pt idx="691">
                  <c:v>-1.0821620672488715E-2</c:v>
                </c:pt>
                <c:pt idx="692">
                  <c:v>9.7276809242755361E-4</c:v>
                </c:pt>
                <c:pt idx="693">
                  <c:v>-6.005780745447502E-3</c:v>
                </c:pt>
                <c:pt idx="694">
                  <c:v>4.2937864640136278E-3</c:v>
                </c:pt>
                <c:pt idx="695">
                  <c:v>-1.3586563734884588E-2</c:v>
                </c:pt>
                <c:pt idx="696">
                  <c:v>-5.9484765623319725E-4</c:v>
                </c:pt>
                <c:pt idx="697">
                  <c:v>-1.7067770216539584E-2</c:v>
                </c:pt>
                <c:pt idx="698">
                  <c:v>1.7814258309261987E-2</c:v>
                </c:pt>
                <c:pt idx="699">
                  <c:v>4.8301220824434037E-3</c:v>
                </c:pt>
                <c:pt idx="700">
                  <c:v>8.0598153421265317E-3</c:v>
                </c:pt>
                <c:pt idx="701">
                  <c:v>1.7780809840884058E-2</c:v>
                </c:pt>
                <c:pt idx="702">
                  <c:v>-6.4406430970470885E-3</c:v>
                </c:pt>
                <c:pt idx="703">
                  <c:v>2.7959174730440199E-3</c:v>
                </c:pt>
                <c:pt idx="704">
                  <c:v>-1.3060241840666855E-3</c:v>
                </c:pt>
                <c:pt idx="705">
                  <c:v>2.0109467293116093E-2</c:v>
                </c:pt>
                <c:pt idx="706">
                  <c:v>-1.4320207918165771E-2</c:v>
                </c:pt>
                <c:pt idx="707">
                  <c:v>-9.6948259742014806E-3</c:v>
                </c:pt>
                <c:pt idx="708">
                  <c:v>2.668424452493276E-2</c:v>
                </c:pt>
                <c:pt idx="709">
                  <c:v>1.8672074334955376E-2</c:v>
                </c:pt>
                <c:pt idx="710">
                  <c:v>1.5920989689048422E-2</c:v>
                </c:pt>
                <c:pt idx="711">
                  <c:v>9.2715107641675777E-4</c:v>
                </c:pt>
                <c:pt idx="712">
                  <c:v>-9.8762370430940036E-3</c:v>
                </c:pt>
                <c:pt idx="713">
                  <c:v>1.1707202062687503E-2</c:v>
                </c:pt>
                <c:pt idx="714">
                  <c:v>-3.4705789795006409E-2</c:v>
                </c:pt>
                <c:pt idx="715">
                  <c:v>-1.4946637750490028E-2</c:v>
                </c:pt>
                <c:pt idx="716">
                  <c:v>-1.1774367590933177E-2</c:v>
                </c:pt>
                <c:pt idx="717">
                  <c:v>5.8576277832908545E-5</c:v>
                </c:pt>
                <c:pt idx="718">
                  <c:v>7.3260525429603325E-3</c:v>
                </c:pt>
                <c:pt idx="719">
                  <c:v>-1.2260190326066896E-2</c:v>
                </c:pt>
                <c:pt idx="720">
                  <c:v>7.1415344155744999E-3</c:v>
                </c:pt>
                <c:pt idx="721">
                  <c:v>4.3769872691436472E-3</c:v>
                </c:pt>
                <c:pt idx="722">
                  <c:v>-2.248057131268336E-3</c:v>
                </c:pt>
                <c:pt idx="723">
                  <c:v>-4.5389174316872111E-3</c:v>
                </c:pt>
                <c:pt idx="724">
                  <c:v>9.783414088660675E-3</c:v>
                </c:pt>
                <c:pt idx="725">
                  <c:v>1.6934462297486463E-2</c:v>
                </c:pt>
                <c:pt idx="726">
                  <c:v>1.1912596491344152E-2</c:v>
                </c:pt>
                <c:pt idx="727">
                  <c:v>-1.3151802217476138E-2</c:v>
                </c:pt>
                <c:pt idx="728">
                  <c:v>-8.7722225487334628E-3</c:v>
                </c:pt>
                <c:pt idx="729">
                  <c:v>1.2250310064231355E-2</c:v>
                </c:pt>
                <c:pt idx="730">
                  <c:v>-4.245408881346298E-3</c:v>
                </c:pt>
                <c:pt idx="731">
                  <c:v>1.2592872562234302E-2</c:v>
                </c:pt>
                <c:pt idx="732">
                  <c:v>-1.2290481755453097E-2</c:v>
                </c:pt>
                <c:pt idx="733">
                  <c:v>-2.7784896665480521E-2</c:v>
                </c:pt>
                <c:pt idx="734">
                  <c:v>-8.0060085013903496E-3</c:v>
                </c:pt>
                <c:pt idx="735">
                  <c:v>-9.8963664738470902E-3</c:v>
                </c:pt>
                <c:pt idx="736">
                  <c:v>4.1826600755165734E-3</c:v>
                </c:pt>
                <c:pt idx="737">
                  <c:v>-3.7826500277708319E-3</c:v>
                </c:pt>
                <c:pt idx="738">
                  <c:v>1.1204848984228521E-3</c:v>
                </c:pt>
                <c:pt idx="739">
                  <c:v>-4.0096328751635978E-3</c:v>
                </c:pt>
                <c:pt idx="740">
                  <c:v>6.7248532376310254E-3</c:v>
                </c:pt>
                <c:pt idx="741">
                  <c:v>-1.7477849895235257E-3</c:v>
                </c:pt>
                <c:pt idx="742">
                  <c:v>-1.2750384933843581E-2</c:v>
                </c:pt>
                <c:pt idx="743">
                  <c:v>-5.7419152738436979E-3</c:v>
                </c:pt>
                <c:pt idx="744">
                  <c:v>1.0600106780313653E-3</c:v>
                </c:pt>
                <c:pt idx="745">
                  <c:v>6.5909476617574073E-3</c:v>
                </c:pt>
                <c:pt idx="746">
                  <c:v>-2.0155004817553796E-2</c:v>
                </c:pt>
                <c:pt idx="747">
                  <c:v>1.3157554131489613E-3</c:v>
                </c:pt>
                <c:pt idx="748">
                  <c:v>-1.1253564638230846E-3</c:v>
                </c:pt>
                <c:pt idx="749">
                  <c:v>3.9154663375832221E-3</c:v>
                </c:pt>
                <c:pt idx="750">
                  <c:v>7.2431140101259363E-4</c:v>
                </c:pt>
                <c:pt idx="751">
                  <c:v>-2.0896913851842841E-3</c:v>
                </c:pt>
                <c:pt idx="752">
                  <c:v>-3.8160932910692724E-3</c:v>
                </c:pt>
                <c:pt idx="753">
                  <c:v>4.3671438435305748E-3</c:v>
                </c:pt>
                <c:pt idx="754">
                  <c:v>-1.259718889925894E-3</c:v>
                </c:pt>
                <c:pt idx="755">
                  <c:v>-5.6185524546357437E-3</c:v>
                </c:pt>
                <c:pt idx="756">
                  <c:v>4.4679330005848381E-3</c:v>
                </c:pt>
                <c:pt idx="757">
                  <c:v>1.5045654408243446E-2</c:v>
                </c:pt>
                <c:pt idx="758">
                  <c:v>5.1846299030426646E-3</c:v>
                </c:pt>
                <c:pt idx="759">
                  <c:v>4.5644252921483745E-3</c:v>
                </c:pt>
                <c:pt idx="760">
                  <c:v>-5.5689248292557069E-3</c:v>
                </c:pt>
                <c:pt idx="761">
                  <c:v>3.4836435402039365E-3</c:v>
                </c:pt>
                <c:pt idx="762">
                  <c:v>3.2505204061642249E-3</c:v>
                </c:pt>
                <c:pt idx="763">
                  <c:v>1.3183920575136177E-2</c:v>
                </c:pt>
                <c:pt idx="764">
                  <c:v>3.0220953502317978E-3</c:v>
                </c:pt>
                <c:pt idx="765">
                  <c:v>-1.1117507574601183E-2</c:v>
                </c:pt>
                <c:pt idx="766">
                  <c:v>1.512276230903052E-3</c:v>
                </c:pt>
                <c:pt idx="767">
                  <c:v>-1.5406250103697462E-2</c:v>
                </c:pt>
                <c:pt idx="768">
                  <c:v>-3.7124033850621727E-3</c:v>
                </c:pt>
                <c:pt idx="769">
                  <c:v>3.1684191874254385E-3</c:v>
                </c:pt>
                <c:pt idx="770">
                  <c:v>1.8140809131349123E-3</c:v>
                </c:pt>
                <c:pt idx="771">
                  <c:v>-2.1079404775014958E-3</c:v>
                </c:pt>
                <c:pt idx="772">
                  <c:v>9.2446663731624527E-3</c:v>
                </c:pt>
                <c:pt idx="773">
                  <c:v>2.0071631367882506E-3</c:v>
                </c:pt>
                <c:pt idx="774">
                  <c:v>-4.6020715877803237E-3</c:v>
                </c:pt>
                <c:pt idx="775">
                  <c:v>-3.260488355670312E-3</c:v>
                </c:pt>
                <c:pt idx="776">
                  <c:v>1.8706343731089939E-3</c:v>
                </c:pt>
                <c:pt idx="777">
                  <c:v>-3.5188782099030485E-3</c:v>
                </c:pt>
                <c:pt idx="778">
                  <c:v>1.6687556804344326E-3</c:v>
                </c:pt>
                <c:pt idx="779">
                  <c:v>-1.7865033608416515E-3</c:v>
                </c:pt>
                <c:pt idx="780">
                  <c:v>1.3197098296573428E-2</c:v>
                </c:pt>
                <c:pt idx="781">
                  <c:v>6.3116635062802967E-3</c:v>
                </c:pt>
                <c:pt idx="782">
                  <c:v>3.3662770523905398E-3</c:v>
                </c:pt>
                <c:pt idx="783">
                  <c:v>2.018786408604967E-3</c:v>
                </c:pt>
                <c:pt idx="784">
                  <c:v>2.7992976032979503E-3</c:v>
                </c:pt>
                <c:pt idx="785">
                  <c:v>-1.0166976669314102E-2</c:v>
                </c:pt>
                <c:pt idx="786">
                  <c:v>-2.001530412062504E-3</c:v>
                </c:pt>
                <c:pt idx="787">
                  <c:v>8.9107236327000718E-3</c:v>
                </c:pt>
                <c:pt idx="788">
                  <c:v>1.3080434591549422E-2</c:v>
                </c:pt>
                <c:pt idx="789">
                  <c:v>-7.5190670434262643E-3</c:v>
                </c:pt>
                <c:pt idx="790">
                  <c:v>-9.1857603383144225E-4</c:v>
                </c:pt>
                <c:pt idx="791">
                  <c:v>-6.1941863971465387E-3</c:v>
                </c:pt>
                <c:pt idx="792">
                  <c:v>-7.2176238343432267E-3</c:v>
                </c:pt>
                <c:pt idx="793">
                  <c:v>-3.8124266875626707E-3</c:v>
                </c:pt>
                <c:pt idx="794">
                  <c:v>-2.2167911636692956E-3</c:v>
                </c:pt>
                <c:pt idx="795">
                  <c:v>-3.9470527893572908E-3</c:v>
                </c:pt>
                <c:pt idx="796">
                  <c:v>-1.5170944546053506E-3</c:v>
                </c:pt>
                <c:pt idx="797">
                  <c:v>3.3216051964666919E-3</c:v>
                </c:pt>
                <c:pt idx="798">
                  <c:v>-2.0470504546564764E-3</c:v>
                </c:pt>
                <c:pt idx="799">
                  <c:v>2.9496860593921123E-3</c:v>
                </c:pt>
                <c:pt idx="800">
                  <c:v>1.406405441740312E-3</c:v>
                </c:pt>
                <c:pt idx="801">
                  <c:v>-2.2529667685609409E-3</c:v>
                </c:pt>
                <c:pt idx="802">
                  <c:v>2.5322927043635981E-5</c:v>
                </c:pt>
                <c:pt idx="803">
                  <c:v>-1.0631516474820616E-2</c:v>
                </c:pt>
                <c:pt idx="804">
                  <c:v>-3.5555750248233435E-3</c:v>
                </c:pt>
                <c:pt idx="805">
                  <c:v>6.2762988725034632E-3</c:v>
                </c:pt>
                <c:pt idx="806">
                  <c:v>-7.2719632865725367E-3</c:v>
                </c:pt>
                <c:pt idx="807">
                  <c:v>-2.0466520205554002E-3</c:v>
                </c:pt>
                <c:pt idx="808">
                  <c:v>-1.0249445942921783E-2</c:v>
                </c:pt>
                <c:pt idx="809">
                  <c:v>-7.0469382852958147E-3</c:v>
                </c:pt>
                <c:pt idx="810">
                  <c:v>-6.6433339067363713E-4</c:v>
                </c:pt>
                <c:pt idx="811">
                  <c:v>1.2611770331844588E-2</c:v>
                </c:pt>
                <c:pt idx="812">
                  <c:v>-1.0260765669108229E-2</c:v>
                </c:pt>
                <c:pt idx="813">
                  <c:v>-4.8491887354391765E-3</c:v>
                </c:pt>
                <c:pt idx="814">
                  <c:v>-4.4660110594789901E-3</c:v>
                </c:pt>
                <c:pt idx="815">
                  <c:v>5.5271513713817154E-3</c:v>
                </c:pt>
                <c:pt idx="816">
                  <c:v>-4.2487910866625123E-3</c:v>
                </c:pt>
                <c:pt idx="817">
                  <c:v>1.7832322271188032E-2</c:v>
                </c:pt>
                <c:pt idx="818">
                  <c:v>1.454052036143926E-2</c:v>
                </c:pt>
                <c:pt idx="819">
                  <c:v>-5.9188348705783598E-3</c:v>
                </c:pt>
                <c:pt idx="820">
                  <c:v>9.4690167102810269E-3</c:v>
                </c:pt>
                <c:pt idx="821">
                  <c:v>1.6194665249821435E-2</c:v>
                </c:pt>
                <c:pt idx="822">
                  <c:v>8.6805407599478621E-3</c:v>
                </c:pt>
                <c:pt idx="823">
                  <c:v>2.1826943483975934E-2</c:v>
                </c:pt>
                <c:pt idx="824">
                  <c:v>2.885769922916418E-3</c:v>
                </c:pt>
                <c:pt idx="825">
                  <c:v>-1.8530344435268189E-3</c:v>
                </c:pt>
                <c:pt idx="826">
                  <c:v>-3.1353161534824862E-3</c:v>
                </c:pt>
                <c:pt idx="827">
                  <c:v>7.6052019581393671E-3</c:v>
                </c:pt>
                <c:pt idx="828">
                  <c:v>1.9699679526144001E-3</c:v>
                </c:pt>
                <c:pt idx="829">
                  <c:v>1.2556463931100857E-3</c:v>
                </c:pt>
                <c:pt idx="830">
                  <c:v>-5.8207513979236652E-3</c:v>
                </c:pt>
                <c:pt idx="831">
                  <c:v>6.1646801860325727E-3</c:v>
                </c:pt>
                <c:pt idx="832">
                  <c:v>-1.5520382009752844E-2</c:v>
                </c:pt>
                <c:pt idx="833">
                  <c:v>1.7487404389355185E-3</c:v>
                </c:pt>
                <c:pt idx="834">
                  <c:v>-2.3642937589790556E-2</c:v>
                </c:pt>
                <c:pt idx="835">
                  <c:v>-1.682237704132945E-2</c:v>
                </c:pt>
                <c:pt idx="836">
                  <c:v>-6.4700602683752662E-3</c:v>
                </c:pt>
                <c:pt idx="837">
                  <c:v>1.1612705036002317E-2</c:v>
                </c:pt>
                <c:pt idx="838">
                  <c:v>1.2547404085863823E-2</c:v>
                </c:pt>
                <c:pt idx="839">
                  <c:v>4.4757274028852231E-3</c:v>
                </c:pt>
                <c:pt idx="840">
                  <c:v>1.392127061641186E-3</c:v>
                </c:pt>
                <c:pt idx="841">
                  <c:v>-5.9402842059108904E-3</c:v>
                </c:pt>
                <c:pt idx="842">
                  <c:v>-6.7777474847075803E-3</c:v>
                </c:pt>
                <c:pt idx="843">
                  <c:v>2.1549882368743427E-3</c:v>
                </c:pt>
                <c:pt idx="844">
                  <c:v>5.8865220921343261E-3</c:v>
                </c:pt>
                <c:pt idx="845">
                  <c:v>-1.120275480167658E-2</c:v>
                </c:pt>
                <c:pt idx="846">
                  <c:v>-2.6970834964039386E-3</c:v>
                </c:pt>
                <c:pt idx="847">
                  <c:v>2.0139925688989417E-2</c:v>
                </c:pt>
                <c:pt idx="848">
                  <c:v>-3.8981697437809854E-2</c:v>
                </c:pt>
                <c:pt idx="849">
                  <c:v>6.0961219686025284E-3</c:v>
                </c:pt>
                <c:pt idx="850">
                  <c:v>7.5314256316211994E-3</c:v>
                </c:pt>
                <c:pt idx="851">
                  <c:v>9.8394063190747061E-3</c:v>
                </c:pt>
                <c:pt idx="852">
                  <c:v>7.0313346504567971E-3</c:v>
                </c:pt>
                <c:pt idx="853">
                  <c:v>1.3670767048769423E-2</c:v>
                </c:pt>
                <c:pt idx="854">
                  <c:v>-2.7009574975252793E-2</c:v>
                </c:pt>
                <c:pt idx="855">
                  <c:v>6.6793719372935014E-3</c:v>
                </c:pt>
                <c:pt idx="856">
                  <c:v>4.399184081306828E-3</c:v>
                </c:pt>
                <c:pt idx="857">
                  <c:v>-3.6686512666710125E-4</c:v>
                </c:pt>
                <c:pt idx="858">
                  <c:v>-2.1165441355963121E-4</c:v>
                </c:pt>
                <c:pt idx="859">
                  <c:v>6.3495283055403223E-3</c:v>
                </c:pt>
                <c:pt idx="860">
                  <c:v>-2.1853117258879666E-2</c:v>
                </c:pt>
                <c:pt idx="861">
                  <c:v>-1.21182878489214E-2</c:v>
                </c:pt>
                <c:pt idx="862">
                  <c:v>-7.4771102002082392E-3</c:v>
                </c:pt>
                <c:pt idx="863">
                  <c:v>8.8289675637672187E-4</c:v>
                </c:pt>
                <c:pt idx="864">
                  <c:v>4.1690143473914754E-3</c:v>
                </c:pt>
                <c:pt idx="865">
                  <c:v>7.5159179073901348E-3</c:v>
                </c:pt>
                <c:pt idx="866">
                  <c:v>1.2592632792115414E-2</c:v>
                </c:pt>
                <c:pt idx="867">
                  <c:v>1.4860434914442556E-3</c:v>
                </c:pt>
                <c:pt idx="868">
                  <c:v>-2.6690517787414065E-2</c:v>
                </c:pt>
                <c:pt idx="869">
                  <c:v>8.7684190866183179E-3</c:v>
                </c:pt>
                <c:pt idx="870">
                  <c:v>1.3766976693168908E-3</c:v>
                </c:pt>
                <c:pt idx="871">
                  <c:v>-1.8836667781189809E-2</c:v>
                </c:pt>
                <c:pt idx="872">
                  <c:v>1.3707258352518105E-2</c:v>
                </c:pt>
                <c:pt idx="873">
                  <c:v>8.2331793160327397E-4</c:v>
                </c:pt>
                <c:pt idx="874">
                  <c:v>-1.4738982483594728E-2</c:v>
                </c:pt>
                <c:pt idx="875">
                  <c:v>2.563077942734754E-3</c:v>
                </c:pt>
                <c:pt idx="876">
                  <c:v>-4.1023076322984187E-2</c:v>
                </c:pt>
                <c:pt idx="877">
                  <c:v>-1.2402638545347129E-2</c:v>
                </c:pt>
                <c:pt idx="878">
                  <c:v>-5.5472535581926989E-3</c:v>
                </c:pt>
                <c:pt idx="879">
                  <c:v>1.1420318565048009E-2</c:v>
                </c:pt>
                <c:pt idx="880">
                  <c:v>-2.181692967457417E-3</c:v>
                </c:pt>
                <c:pt idx="881">
                  <c:v>-6.32390109866193E-3</c:v>
                </c:pt>
                <c:pt idx="882">
                  <c:v>-8.4215778868615854E-3</c:v>
                </c:pt>
                <c:pt idx="883">
                  <c:v>-4.4312809803437447E-3</c:v>
                </c:pt>
                <c:pt idx="884">
                  <c:v>-1.3293552101498012E-3</c:v>
                </c:pt>
                <c:pt idx="885">
                  <c:v>2.5193381956065846E-3</c:v>
                </c:pt>
                <c:pt idx="886">
                  <c:v>6.9084056275790428E-3</c:v>
                </c:pt>
                <c:pt idx="887">
                  <c:v>4.4511903358461844E-4</c:v>
                </c:pt>
                <c:pt idx="888">
                  <c:v>3.8258433311778341E-2</c:v>
                </c:pt>
                <c:pt idx="889">
                  <c:v>1.5021640068486346E-2</c:v>
                </c:pt>
                <c:pt idx="890">
                  <c:v>-7.3512109197004108E-3</c:v>
                </c:pt>
                <c:pt idx="891">
                  <c:v>4.1663555520750463E-3</c:v>
                </c:pt>
                <c:pt idx="892">
                  <c:v>5.9313872430531408E-4</c:v>
                </c:pt>
                <c:pt idx="893">
                  <c:v>-2.7685749348147843E-2</c:v>
                </c:pt>
                <c:pt idx="894">
                  <c:v>4.9696375356313265E-3</c:v>
                </c:pt>
                <c:pt idx="895">
                  <c:v>1.3335645894812526E-2</c:v>
                </c:pt>
                <c:pt idx="896">
                  <c:v>-2.2759441657834146E-3</c:v>
                </c:pt>
                <c:pt idx="897">
                  <c:v>1.1497816247988997E-2</c:v>
                </c:pt>
                <c:pt idx="898">
                  <c:v>8.7809412107237202E-3</c:v>
                </c:pt>
                <c:pt idx="899">
                  <c:v>6.5690084795115415E-4</c:v>
                </c:pt>
                <c:pt idx="900">
                  <c:v>7.3780564158839315E-3</c:v>
                </c:pt>
                <c:pt idx="901">
                  <c:v>-6.1137787408901208E-4</c:v>
                </c:pt>
                <c:pt idx="902">
                  <c:v>4.6537332003717411E-3</c:v>
                </c:pt>
                <c:pt idx="903">
                  <c:v>-1.7742733334200816E-2</c:v>
                </c:pt>
                <c:pt idx="904">
                  <c:v>-3.8307528545885039E-3</c:v>
                </c:pt>
                <c:pt idx="905">
                  <c:v>5.8524943606813257E-3</c:v>
                </c:pt>
                <c:pt idx="906">
                  <c:v>8.1382363365231011E-3</c:v>
                </c:pt>
                <c:pt idx="907">
                  <c:v>-6.5616987295127847E-3</c:v>
                </c:pt>
                <c:pt idx="908">
                  <c:v>-4.567239831056156E-3</c:v>
                </c:pt>
                <c:pt idx="909">
                  <c:v>1.8833741917377512E-2</c:v>
                </c:pt>
                <c:pt idx="910">
                  <c:v>3.8390003346677423E-3</c:v>
                </c:pt>
                <c:pt idx="911">
                  <c:v>-8.9819092947808141E-3</c:v>
                </c:pt>
                <c:pt idx="912">
                  <c:v>-2.8829204951140591E-2</c:v>
                </c:pt>
                <c:pt idx="913">
                  <c:v>5.7562235939132218E-4</c:v>
                </c:pt>
                <c:pt idx="914">
                  <c:v>2.605914707512705E-4</c:v>
                </c:pt>
                <c:pt idx="915">
                  <c:v>-6.4606444395737825E-3</c:v>
                </c:pt>
                <c:pt idx="916">
                  <c:v>7.7049531713292091E-3</c:v>
                </c:pt>
                <c:pt idx="917">
                  <c:v>1.0839564353050186E-2</c:v>
                </c:pt>
                <c:pt idx="918">
                  <c:v>3.5073742012127151E-3</c:v>
                </c:pt>
                <c:pt idx="919">
                  <c:v>-2.885720666865774E-2</c:v>
                </c:pt>
                <c:pt idx="920">
                  <c:v>2.6823850788830483E-3</c:v>
                </c:pt>
                <c:pt idx="921">
                  <c:v>-7.730334403592329E-3</c:v>
                </c:pt>
                <c:pt idx="922">
                  <c:v>-6.853071435749424E-3</c:v>
                </c:pt>
                <c:pt idx="923">
                  <c:v>5.1664682413058681E-3</c:v>
                </c:pt>
                <c:pt idx="924">
                  <c:v>-6.3544543500459981E-3</c:v>
                </c:pt>
                <c:pt idx="925">
                  <c:v>1.9194160733624131E-3</c:v>
                </c:pt>
                <c:pt idx="926">
                  <c:v>-9.446309704321176E-3</c:v>
                </c:pt>
                <c:pt idx="927">
                  <c:v>3.032866318792969E-3</c:v>
                </c:pt>
                <c:pt idx="928">
                  <c:v>-8.6258539103353394E-3</c:v>
                </c:pt>
                <c:pt idx="929">
                  <c:v>8.5272574728579836E-3</c:v>
                </c:pt>
                <c:pt idx="930">
                  <c:v>2.3275979603522394E-3</c:v>
                </c:pt>
                <c:pt idx="931">
                  <c:v>-1.4898828459812142E-3</c:v>
                </c:pt>
                <c:pt idx="932">
                  <c:v>1.0186876416312949E-3</c:v>
                </c:pt>
                <c:pt idx="933">
                  <c:v>-5.5556097629726733E-3</c:v>
                </c:pt>
                <c:pt idx="934">
                  <c:v>9.7351914087729797E-3</c:v>
                </c:pt>
                <c:pt idx="935">
                  <c:v>6.607649905189408E-3</c:v>
                </c:pt>
                <c:pt idx="936">
                  <c:v>6.5834906720386279E-3</c:v>
                </c:pt>
                <c:pt idx="937">
                  <c:v>-1.1379001948398733E-4</c:v>
                </c:pt>
                <c:pt idx="938">
                  <c:v>2.8470661249403117E-3</c:v>
                </c:pt>
                <c:pt idx="939">
                  <c:v>1.4988492411185969E-3</c:v>
                </c:pt>
                <c:pt idx="940">
                  <c:v>-8.0447138283392273E-4</c:v>
                </c:pt>
                <c:pt idx="941">
                  <c:v>-2.0962595638926084E-3</c:v>
                </c:pt>
                <c:pt idx="942">
                  <c:v>4.2901469839915938E-3</c:v>
                </c:pt>
                <c:pt idx="943">
                  <c:v>-1.6639369327751919E-4</c:v>
                </c:pt>
                <c:pt idx="944">
                  <c:v>-1.4810335283858236E-2</c:v>
                </c:pt>
                <c:pt idx="945">
                  <c:v>-2.2974116574073079E-3</c:v>
                </c:pt>
                <c:pt idx="946">
                  <c:v>-3.3050392835330378E-3</c:v>
                </c:pt>
                <c:pt idx="947">
                  <c:v>5.4629046919795826E-6</c:v>
                </c:pt>
                <c:pt idx="948">
                  <c:v>-3.3332425884083066E-3</c:v>
                </c:pt>
                <c:pt idx="949">
                  <c:v>7.6545629979040666E-4</c:v>
                </c:pt>
                <c:pt idx="950">
                  <c:v>-1.4165037505750461E-4</c:v>
                </c:pt>
                <c:pt idx="951">
                  <c:v>1.1952193870856321E-2</c:v>
                </c:pt>
                <c:pt idx="952">
                  <c:v>5.8415386970052221E-3</c:v>
                </c:pt>
                <c:pt idx="953">
                  <c:v>-7.1703397801570722E-3</c:v>
                </c:pt>
                <c:pt idx="954">
                  <c:v>3.7562644797943621E-4</c:v>
                </c:pt>
                <c:pt idx="955">
                  <c:v>1.1227108850713362E-2</c:v>
                </c:pt>
                <c:pt idx="956">
                  <c:v>6.5212024288238786E-3</c:v>
                </c:pt>
                <c:pt idx="957">
                  <c:v>4.0496485516546355E-3</c:v>
                </c:pt>
                <c:pt idx="958">
                  <c:v>3.5266518768253515E-3</c:v>
                </c:pt>
                <c:pt idx="959">
                  <c:v>4.9126164126843596E-3</c:v>
                </c:pt>
                <c:pt idx="960">
                  <c:v>2.9672009298291283E-3</c:v>
                </c:pt>
                <c:pt idx="961">
                  <c:v>-4.6454551038693183E-3</c:v>
                </c:pt>
                <c:pt idx="962">
                  <c:v>-3.3548768944742465E-3</c:v>
                </c:pt>
                <c:pt idx="963">
                  <c:v>2.081042726231626E-3</c:v>
                </c:pt>
                <c:pt idx="964">
                  <c:v>-4.7535972847419367E-5</c:v>
                </c:pt>
                <c:pt idx="965">
                  <c:v>-3.6734367088821118E-3</c:v>
                </c:pt>
                <c:pt idx="966">
                  <c:v>1.0005995351324782E-2</c:v>
                </c:pt>
                <c:pt idx="967">
                  <c:v>3.8754939265330749E-3</c:v>
                </c:pt>
                <c:pt idx="968">
                  <c:v>-1.4327360556956329E-2</c:v>
                </c:pt>
                <c:pt idx="969">
                  <c:v>2.5901392267758668E-2</c:v>
                </c:pt>
                <c:pt idx="970">
                  <c:v>-3.4351266413462258E-3</c:v>
                </c:pt>
                <c:pt idx="971">
                  <c:v>-2.8277408129444093E-3</c:v>
                </c:pt>
                <c:pt idx="972">
                  <c:v>-7.4812637709374945E-3</c:v>
                </c:pt>
                <c:pt idx="973">
                  <c:v>-1.5095719861738129E-4</c:v>
                </c:pt>
                <c:pt idx="974">
                  <c:v>1.3232666609212388E-2</c:v>
                </c:pt>
                <c:pt idx="975">
                  <c:v>1.1088795251200316E-3</c:v>
                </c:pt>
                <c:pt idx="976">
                  <c:v>-3.0531420185194089E-5</c:v>
                </c:pt>
                <c:pt idx="977">
                  <c:v>-4.7058198590495613E-2</c:v>
                </c:pt>
                <c:pt idx="978">
                  <c:v>6.5840765453255862E-3</c:v>
                </c:pt>
                <c:pt idx="979">
                  <c:v>-5.6843087532443826E-3</c:v>
                </c:pt>
                <c:pt idx="980">
                  <c:v>2.7562351861624462E-2</c:v>
                </c:pt>
                <c:pt idx="981">
                  <c:v>4.060702275481891E-3</c:v>
                </c:pt>
                <c:pt idx="982">
                  <c:v>-9.6464000973768439E-3</c:v>
                </c:pt>
                <c:pt idx="983">
                  <c:v>-1.3010884451812869E-2</c:v>
                </c:pt>
                <c:pt idx="984">
                  <c:v>-1.7411301781615547E-2</c:v>
                </c:pt>
                <c:pt idx="985">
                  <c:v>-1.601246391382475E-2</c:v>
                </c:pt>
                <c:pt idx="986">
                  <c:v>8.2174342069594453E-3</c:v>
                </c:pt>
                <c:pt idx="987">
                  <c:v>-1.8166696323927924E-3</c:v>
                </c:pt>
                <c:pt idx="988">
                  <c:v>-7.4874991701207594E-3</c:v>
                </c:pt>
                <c:pt idx="989">
                  <c:v>1.7636990868951711E-2</c:v>
                </c:pt>
                <c:pt idx="990">
                  <c:v>-2.8175386865109884E-4</c:v>
                </c:pt>
                <c:pt idx="991">
                  <c:v>-1.2924563596671948E-2</c:v>
                </c:pt>
                <c:pt idx="992">
                  <c:v>-1.1148728521241356E-3</c:v>
                </c:pt>
                <c:pt idx="993">
                  <c:v>-1.5178380406766022E-2</c:v>
                </c:pt>
                <c:pt idx="994">
                  <c:v>-3.8219038476989928E-3</c:v>
                </c:pt>
                <c:pt idx="995">
                  <c:v>1.6226457130344622E-3</c:v>
                </c:pt>
                <c:pt idx="996">
                  <c:v>3.9704510333718164E-3</c:v>
                </c:pt>
                <c:pt idx="997">
                  <c:v>-1.7082362969647377E-3</c:v>
                </c:pt>
                <c:pt idx="998">
                  <c:v>3.5510853804811746E-3</c:v>
                </c:pt>
                <c:pt idx="999">
                  <c:v>1.5735543856164536E-2</c:v>
                </c:pt>
                <c:pt idx="1000">
                  <c:v>4.9618694897862478E-3</c:v>
                </c:pt>
                <c:pt idx="1001">
                  <c:v>3.0466048316461812E-3</c:v>
                </c:pt>
                <c:pt idx="1002">
                  <c:v>1.3148759567243878E-2</c:v>
                </c:pt>
                <c:pt idx="1003">
                  <c:v>-3.8134046765495415E-3</c:v>
                </c:pt>
                <c:pt idx="1004">
                  <c:v>-3.2721668791944121E-3</c:v>
                </c:pt>
                <c:pt idx="1005">
                  <c:v>-5.3040718965374446E-3</c:v>
                </c:pt>
                <c:pt idx="1006">
                  <c:v>7.0756883708070891E-3</c:v>
                </c:pt>
                <c:pt idx="1007">
                  <c:v>1.9494078461643648E-2</c:v>
                </c:pt>
                <c:pt idx="1008">
                  <c:v>-4.2854405014733261E-3</c:v>
                </c:pt>
                <c:pt idx="1009">
                  <c:v>1.1004049291644604E-2</c:v>
                </c:pt>
                <c:pt idx="1010">
                  <c:v>2.5725456008521663E-2</c:v>
                </c:pt>
                <c:pt idx="1011">
                  <c:v>-1.5069589463638443E-2</c:v>
                </c:pt>
                <c:pt idx="1012">
                  <c:v>1.2258908699308386E-3</c:v>
                </c:pt>
                <c:pt idx="1013">
                  <c:v>-1.4566554616823138E-2</c:v>
                </c:pt>
                <c:pt idx="1014">
                  <c:v>-2.4404499704391257E-3</c:v>
                </c:pt>
                <c:pt idx="1015">
                  <c:v>4.7959096058591555E-3</c:v>
                </c:pt>
                <c:pt idx="1016">
                  <c:v>-6.5673276457090058E-3</c:v>
                </c:pt>
                <c:pt idx="1017">
                  <c:v>-8.3901475207850077E-3</c:v>
                </c:pt>
                <c:pt idx="1018">
                  <c:v>3.8509795706425857E-3</c:v>
                </c:pt>
                <c:pt idx="1019">
                  <c:v>-6.2138638206134255E-4</c:v>
                </c:pt>
                <c:pt idx="1020">
                  <c:v>1.2010348292437096E-2</c:v>
                </c:pt>
                <c:pt idx="1021">
                  <c:v>-2.0059445702069606E-2</c:v>
                </c:pt>
                <c:pt idx="1022">
                  <c:v>1.0200643673400862E-2</c:v>
                </c:pt>
                <c:pt idx="1023">
                  <c:v>-5.6742850347608698E-3</c:v>
                </c:pt>
                <c:pt idx="1024">
                  <c:v>-4.9310239469031996E-3</c:v>
                </c:pt>
                <c:pt idx="1025">
                  <c:v>-6.5872408066804172E-3</c:v>
                </c:pt>
                <c:pt idx="1026">
                  <c:v>-8.9463222836476154E-3</c:v>
                </c:pt>
                <c:pt idx="1027">
                  <c:v>-1.1162260486702595E-2</c:v>
                </c:pt>
                <c:pt idx="1028">
                  <c:v>-2.3130160167836281E-3</c:v>
                </c:pt>
                <c:pt idx="1029">
                  <c:v>-6.0608953961661374E-3</c:v>
                </c:pt>
                <c:pt idx="1030">
                  <c:v>4.3611794663666022E-3</c:v>
                </c:pt>
                <c:pt idx="1031">
                  <c:v>-3.7239285548247365E-3</c:v>
                </c:pt>
                <c:pt idx="1032">
                  <c:v>-8.0202308164549832E-3</c:v>
                </c:pt>
                <c:pt idx="1033">
                  <c:v>1.5290808205127399E-3</c:v>
                </c:pt>
                <c:pt idx="1034">
                  <c:v>1.2293158709296582E-2</c:v>
                </c:pt>
                <c:pt idx="1035">
                  <c:v>4.9229783749753699E-3</c:v>
                </c:pt>
                <c:pt idx="1036">
                  <c:v>-7.1313992136950262E-3</c:v>
                </c:pt>
                <c:pt idx="1037">
                  <c:v>-4.018882096025145E-3</c:v>
                </c:pt>
                <c:pt idx="1038">
                  <c:v>-8.2947398997442509E-4</c:v>
                </c:pt>
                <c:pt idx="1039">
                  <c:v>1.1600522439261637E-3</c:v>
                </c:pt>
                <c:pt idx="1040">
                  <c:v>-1.0764875628144445E-2</c:v>
                </c:pt>
                <c:pt idx="1041">
                  <c:v>-1.3243429845880293E-4</c:v>
                </c:pt>
                <c:pt idx="1042">
                  <c:v>1.1409099833846197E-3</c:v>
                </c:pt>
                <c:pt idx="1043">
                  <c:v>4.8618343352809009E-3</c:v>
                </c:pt>
                <c:pt idx="1044">
                  <c:v>-4.7872539206013009E-3</c:v>
                </c:pt>
                <c:pt idx="1045">
                  <c:v>-5.7232045579070547E-3</c:v>
                </c:pt>
                <c:pt idx="1046">
                  <c:v>-4.0312607218550879E-3</c:v>
                </c:pt>
                <c:pt idx="1047">
                  <c:v>-5.8924751118271225E-3</c:v>
                </c:pt>
                <c:pt idx="1048">
                  <c:v>1.0764536504549794E-2</c:v>
                </c:pt>
                <c:pt idx="1049">
                  <c:v>7.2234700884181062E-3</c:v>
                </c:pt>
                <c:pt idx="1050">
                  <c:v>7.3681399038512995E-3</c:v>
                </c:pt>
                <c:pt idx="1051">
                  <c:v>-5.4494566867302422E-3</c:v>
                </c:pt>
                <c:pt idx="1052">
                  <c:v>-2.1349349999874243E-3</c:v>
                </c:pt>
                <c:pt idx="1053">
                  <c:v>-2.2504410332524795E-3</c:v>
                </c:pt>
                <c:pt idx="1054">
                  <c:v>5.1320152038335908E-3</c:v>
                </c:pt>
                <c:pt idx="1055">
                  <c:v>2.5167845763972676E-4</c:v>
                </c:pt>
                <c:pt idx="1056">
                  <c:v>-7.7138426130159013E-3</c:v>
                </c:pt>
                <c:pt idx="1057">
                  <c:v>-3.1680774998278853E-3</c:v>
                </c:pt>
                <c:pt idx="1058">
                  <c:v>-3.1178149013975347E-3</c:v>
                </c:pt>
                <c:pt idx="1059">
                  <c:v>6.6082726528063948E-4</c:v>
                </c:pt>
                <c:pt idx="1060">
                  <c:v>6.428853661234999E-3</c:v>
                </c:pt>
                <c:pt idx="1061">
                  <c:v>8.4572850363901515E-3</c:v>
                </c:pt>
                <c:pt idx="1062">
                  <c:v>-5.4328332593216368E-3</c:v>
                </c:pt>
                <c:pt idx="1063">
                  <c:v>-1.2046148159585447E-4</c:v>
                </c:pt>
                <c:pt idx="1064">
                  <c:v>-7.7371207534801239E-3</c:v>
                </c:pt>
                <c:pt idx="1065">
                  <c:v>3.0017192236722737E-4</c:v>
                </c:pt>
                <c:pt idx="1066">
                  <c:v>-2.5189844469082948E-3</c:v>
                </c:pt>
                <c:pt idx="1067">
                  <c:v>-1.6750478241925101E-3</c:v>
                </c:pt>
                <c:pt idx="1068">
                  <c:v>8.1385063823409445E-4</c:v>
                </c:pt>
                <c:pt idx="1069">
                  <c:v>4.3266329695856977E-3</c:v>
                </c:pt>
                <c:pt idx="1070">
                  <c:v>2.8803067161324099E-3</c:v>
                </c:pt>
                <c:pt idx="1071">
                  <c:v>2.3125287881408136E-4</c:v>
                </c:pt>
                <c:pt idx="1072">
                  <c:v>7.0415292152849478E-4</c:v>
                </c:pt>
                <c:pt idx="1073">
                  <c:v>-2.4466265588386745E-3</c:v>
                </c:pt>
                <c:pt idx="1074">
                  <c:v>-1.0191211110526135E-2</c:v>
                </c:pt>
                <c:pt idx="1075">
                  <c:v>1.7043078298473246E-2</c:v>
                </c:pt>
                <c:pt idx="1076">
                  <c:v>-2.0749306807564803E-3</c:v>
                </c:pt>
                <c:pt idx="1077">
                  <c:v>-1.7491363955308285E-3</c:v>
                </c:pt>
                <c:pt idx="1078">
                  <c:v>-5.3906603548448976E-3</c:v>
                </c:pt>
                <c:pt idx="1079">
                  <c:v>-2.3930676977282784E-3</c:v>
                </c:pt>
                <c:pt idx="1080">
                  <c:v>9.3874020663054659E-3</c:v>
                </c:pt>
                <c:pt idx="1081">
                  <c:v>4.6300450785007443E-3</c:v>
                </c:pt>
                <c:pt idx="1082">
                  <c:v>2.8811325391176878E-3</c:v>
                </c:pt>
                <c:pt idx="1083">
                  <c:v>-1.4707170938081923E-2</c:v>
                </c:pt>
                <c:pt idx="1084">
                  <c:v>-5.3917077786121946E-3</c:v>
                </c:pt>
                <c:pt idx="1085">
                  <c:v>1.2910040980612764E-3</c:v>
                </c:pt>
                <c:pt idx="1086">
                  <c:v>-1.8013159358945402E-3</c:v>
                </c:pt>
                <c:pt idx="1087">
                  <c:v>-5.2861212033855718E-4</c:v>
                </c:pt>
                <c:pt idx="1088">
                  <c:v>-4.6881474966038962E-3</c:v>
                </c:pt>
                <c:pt idx="1089">
                  <c:v>2.2318140501233243E-3</c:v>
                </c:pt>
                <c:pt idx="1090">
                  <c:v>-7.2121185869074515E-3</c:v>
                </c:pt>
                <c:pt idx="1091">
                  <c:v>-3.1184868738145027E-3</c:v>
                </c:pt>
                <c:pt idx="1092">
                  <c:v>-1.9193007112413736E-3</c:v>
                </c:pt>
                <c:pt idx="1093">
                  <c:v>8.7229570940479638E-3</c:v>
                </c:pt>
                <c:pt idx="1094">
                  <c:v>1.1031783681706658E-3</c:v>
                </c:pt>
                <c:pt idx="1095">
                  <c:v>9.9182420555899466E-3</c:v>
                </c:pt>
                <c:pt idx="1096">
                  <c:v>-7.6921191709392704E-3</c:v>
                </c:pt>
                <c:pt idx="1097">
                  <c:v>-3.2023081130521649E-3</c:v>
                </c:pt>
                <c:pt idx="1098">
                  <c:v>1.8866789596717478E-3</c:v>
                </c:pt>
                <c:pt idx="1099">
                  <c:v>2.4570872630891986E-3</c:v>
                </c:pt>
                <c:pt idx="1100">
                  <c:v>-6.9337522258866905E-4</c:v>
                </c:pt>
                <c:pt idx="1101">
                  <c:v>-1.3355118749748519E-3</c:v>
                </c:pt>
                <c:pt idx="1102">
                  <c:v>6.157464223780054E-3</c:v>
                </c:pt>
                <c:pt idx="1103">
                  <c:v>1.6340136259399916E-2</c:v>
                </c:pt>
                <c:pt idx="1104">
                  <c:v>7.171075479662131E-3</c:v>
                </c:pt>
                <c:pt idx="1105">
                  <c:v>-4.6056261696971742E-4</c:v>
                </c:pt>
                <c:pt idx="1106">
                  <c:v>1.1050598414795689E-2</c:v>
                </c:pt>
                <c:pt idx="1107">
                  <c:v>4.4156781195177509E-3</c:v>
                </c:pt>
                <c:pt idx="1108">
                  <c:v>3.966679284189983E-3</c:v>
                </c:pt>
                <c:pt idx="1109">
                  <c:v>7.4803501201451501E-3</c:v>
                </c:pt>
                <c:pt idx="1110">
                  <c:v>-2.3650396183539E-3</c:v>
                </c:pt>
                <c:pt idx="1111">
                  <c:v>-6.5180108138390156E-3</c:v>
                </c:pt>
                <c:pt idx="1112">
                  <c:v>4.0507630418259036E-3</c:v>
                </c:pt>
                <c:pt idx="1113">
                  <c:v>1.376080887807259E-2</c:v>
                </c:pt>
                <c:pt idx="1114">
                  <c:v>5.1411090475375178E-3</c:v>
                </c:pt>
                <c:pt idx="1115">
                  <c:v>8.5275894513885467E-3</c:v>
                </c:pt>
                <c:pt idx="1116">
                  <c:v>1.1057895190601718E-2</c:v>
                </c:pt>
                <c:pt idx="1117">
                  <c:v>-4.2056058930445735E-3</c:v>
                </c:pt>
                <c:pt idx="1118">
                  <c:v>-1.3390957514982845E-2</c:v>
                </c:pt>
                <c:pt idx="1119">
                  <c:v>-4.3500627619891827E-3</c:v>
                </c:pt>
                <c:pt idx="1120">
                  <c:v>-5.1608564438508754E-3</c:v>
                </c:pt>
                <c:pt idx="1121">
                  <c:v>-8.5349465454917506E-3</c:v>
                </c:pt>
                <c:pt idx="1122">
                  <c:v>2.1831374047235692E-2</c:v>
                </c:pt>
                <c:pt idx="1123">
                  <c:v>-4.9599807343085897E-3</c:v>
                </c:pt>
                <c:pt idx="1124">
                  <c:v>-8.3195494513595668E-3</c:v>
                </c:pt>
                <c:pt idx="1125">
                  <c:v>-2.0537544455060787E-3</c:v>
                </c:pt>
                <c:pt idx="1126">
                  <c:v>1.0825458764466934E-2</c:v>
                </c:pt>
                <c:pt idx="1127">
                  <c:v>-8.653670636519074E-3</c:v>
                </c:pt>
                <c:pt idx="1128">
                  <c:v>1.6681339760309839E-3</c:v>
                </c:pt>
                <c:pt idx="1129">
                  <c:v>-1.7885194881091455E-3</c:v>
                </c:pt>
                <c:pt idx="1130">
                  <c:v>5.8303737499326054E-3</c:v>
                </c:pt>
                <c:pt idx="1131">
                  <c:v>1.5678758861266062E-3</c:v>
                </c:pt>
                <c:pt idx="1132">
                  <c:v>-4.6126629027089579E-3</c:v>
                </c:pt>
                <c:pt idx="1133">
                  <c:v>9.948736471131021E-3</c:v>
                </c:pt>
                <c:pt idx="1134">
                  <c:v>1.7922999673746685E-2</c:v>
                </c:pt>
                <c:pt idx="1135">
                  <c:v>-1.015928494055799E-2</c:v>
                </c:pt>
                <c:pt idx="1136">
                  <c:v>1.9667628129835829E-2</c:v>
                </c:pt>
                <c:pt idx="1137">
                  <c:v>-1.69915092114277E-2</c:v>
                </c:pt>
                <c:pt idx="1138">
                  <c:v>-2.8619274738285335E-3</c:v>
                </c:pt>
                <c:pt idx="1139">
                  <c:v>-3.5828146008385696E-3</c:v>
                </c:pt>
                <c:pt idx="1140">
                  <c:v>2.1761689940646397E-3</c:v>
                </c:pt>
                <c:pt idx="1141">
                  <c:v>1.3330542539351528E-3</c:v>
                </c:pt>
                <c:pt idx="1142">
                  <c:v>-2.3940926544150431E-2</c:v>
                </c:pt>
                <c:pt idx="1143">
                  <c:v>-4.4729319059375657E-3</c:v>
                </c:pt>
                <c:pt idx="1144">
                  <c:v>3.9954602332372396E-3</c:v>
                </c:pt>
                <c:pt idx="1145">
                  <c:v>3.014050815143735E-3</c:v>
                </c:pt>
                <c:pt idx="1146">
                  <c:v>1.1269604383480217E-2</c:v>
                </c:pt>
                <c:pt idx="1147">
                  <c:v>3.9625177393212739E-3</c:v>
                </c:pt>
                <c:pt idx="1148">
                  <c:v>-1.5978328860683264E-2</c:v>
                </c:pt>
                <c:pt idx="1149">
                  <c:v>1.3225342900314912E-2</c:v>
                </c:pt>
                <c:pt idx="1150">
                  <c:v>2.0209267670376761E-3</c:v>
                </c:pt>
                <c:pt idx="1151">
                  <c:v>2.2346492470096763E-2</c:v>
                </c:pt>
                <c:pt idx="1152">
                  <c:v>2.3570024703270884E-2</c:v>
                </c:pt>
                <c:pt idx="1153">
                  <c:v>-2.0871708297781139E-2</c:v>
                </c:pt>
                <c:pt idx="1154">
                  <c:v>-1.2012551865085385E-2</c:v>
                </c:pt>
                <c:pt idx="1155">
                  <c:v>-1.8382257461257826E-2</c:v>
                </c:pt>
                <c:pt idx="1156">
                  <c:v>-1.7154133037795501E-2</c:v>
                </c:pt>
                <c:pt idx="1157">
                  <c:v>1.2341831768831711E-2</c:v>
                </c:pt>
                <c:pt idx="1158">
                  <c:v>-1.9112545325273966E-2</c:v>
                </c:pt>
                <c:pt idx="1159">
                  <c:v>4.275277296909144E-3</c:v>
                </c:pt>
                <c:pt idx="1160">
                  <c:v>8.133628024914916E-3</c:v>
                </c:pt>
                <c:pt idx="1161">
                  <c:v>-5.9215061936089101E-3</c:v>
                </c:pt>
                <c:pt idx="1162">
                  <c:v>-2.1885922565605732E-3</c:v>
                </c:pt>
                <c:pt idx="1163">
                  <c:v>1.329377650036662E-2</c:v>
                </c:pt>
                <c:pt idx="1164">
                  <c:v>-8.0074351474728311E-3</c:v>
                </c:pt>
                <c:pt idx="1165">
                  <c:v>-3.5147060233549779E-3</c:v>
                </c:pt>
                <c:pt idx="1166">
                  <c:v>-7.3032049000976811E-3</c:v>
                </c:pt>
                <c:pt idx="1167">
                  <c:v>1.8401594703739634E-3</c:v>
                </c:pt>
                <c:pt idx="1168">
                  <c:v>-1.3372351348589049E-2</c:v>
                </c:pt>
                <c:pt idx="1169">
                  <c:v>-2.1296002918838497E-3</c:v>
                </c:pt>
                <c:pt idx="1170">
                  <c:v>1.0616792152940816E-2</c:v>
                </c:pt>
                <c:pt idx="1171">
                  <c:v>1.238267425421901E-2</c:v>
                </c:pt>
                <c:pt idx="1172">
                  <c:v>-5.3665662661065653E-3</c:v>
                </c:pt>
                <c:pt idx="1173">
                  <c:v>-1.2622552513930517E-2</c:v>
                </c:pt>
                <c:pt idx="1174">
                  <c:v>-6.5302946324097429E-4</c:v>
                </c:pt>
                <c:pt idx="1175">
                  <c:v>-1.0080932120226742E-3</c:v>
                </c:pt>
                <c:pt idx="1176">
                  <c:v>-3.9210511111740839E-3</c:v>
                </c:pt>
                <c:pt idx="1177">
                  <c:v>-5.9317806868969031E-4</c:v>
                </c:pt>
                <c:pt idx="1178">
                  <c:v>7.5845302975461517E-3</c:v>
                </c:pt>
                <c:pt idx="1179">
                  <c:v>7.1762405010329959E-3</c:v>
                </c:pt>
                <c:pt idx="1180">
                  <c:v>-2.9554468914235726E-3</c:v>
                </c:pt>
                <c:pt idx="1181">
                  <c:v>4.7543595347663047E-3</c:v>
                </c:pt>
                <c:pt idx="1182">
                  <c:v>-6.2869512828001147E-3</c:v>
                </c:pt>
                <c:pt idx="1183">
                  <c:v>3.6889104546422805E-3</c:v>
                </c:pt>
                <c:pt idx="1184">
                  <c:v>4.3339168592706843E-3</c:v>
                </c:pt>
                <c:pt idx="1185">
                  <c:v>4.7876473466055783E-3</c:v>
                </c:pt>
                <c:pt idx="1186">
                  <c:v>-2.5317248479159752E-3</c:v>
                </c:pt>
                <c:pt idx="1187">
                  <c:v>6.7325000317446128E-3</c:v>
                </c:pt>
                <c:pt idx="1188">
                  <c:v>-4.9297184533637576E-3</c:v>
                </c:pt>
                <c:pt idx="1189">
                  <c:v>3.8609844405936076E-3</c:v>
                </c:pt>
                <c:pt idx="1190">
                  <c:v>-4.4484117480568615E-3</c:v>
                </c:pt>
                <c:pt idx="1191">
                  <c:v>-1.268772009171657E-3</c:v>
                </c:pt>
                <c:pt idx="1192">
                  <c:v>-2.2262017063279711E-3</c:v>
                </c:pt>
                <c:pt idx="1193">
                  <c:v>3.7001840510569269E-3</c:v>
                </c:pt>
                <c:pt idx="1194">
                  <c:v>6.9425958581239384E-3</c:v>
                </c:pt>
                <c:pt idx="1195">
                  <c:v>-1.0715301108284176E-3</c:v>
                </c:pt>
                <c:pt idx="1196">
                  <c:v>6.8321345855530922E-3</c:v>
                </c:pt>
                <c:pt idx="1197">
                  <c:v>4.2326804924190152E-3</c:v>
                </c:pt>
                <c:pt idx="1198">
                  <c:v>1.1265065084479544E-2</c:v>
                </c:pt>
                <c:pt idx="1199">
                  <c:v>-8.0628449870495081E-4</c:v>
                </c:pt>
                <c:pt idx="1200">
                  <c:v>5.6635789966421862E-3</c:v>
                </c:pt>
                <c:pt idx="1201">
                  <c:v>1.552769053771229E-2</c:v>
                </c:pt>
                <c:pt idx="1202">
                  <c:v>1.3873517099074429E-3</c:v>
                </c:pt>
                <c:pt idx="1203">
                  <c:v>1.0153841530162005E-2</c:v>
                </c:pt>
                <c:pt idx="1204">
                  <c:v>-9.5875650382787284E-3</c:v>
                </c:pt>
                <c:pt idx="1205">
                  <c:v>5.9311183213307224E-3</c:v>
                </c:pt>
                <c:pt idx="1206">
                  <c:v>7.6372143326285625E-3</c:v>
                </c:pt>
                <c:pt idx="1207">
                  <c:v>4.2128382960890422E-3</c:v>
                </c:pt>
                <c:pt idx="1208">
                  <c:v>-9.8495953270613876E-3</c:v>
                </c:pt>
                <c:pt idx="1209">
                  <c:v>-9.3000659571038959E-3</c:v>
                </c:pt>
                <c:pt idx="1210">
                  <c:v>-5.9725786894095523E-4</c:v>
                </c:pt>
                <c:pt idx="1211">
                  <c:v>9.3749589196910794E-3</c:v>
                </c:pt>
                <c:pt idx="1212">
                  <c:v>2.5282745953605947E-3</c:v>
                </c:pt>
                <c:pt idx="1213">
                  <c:v>-3.5547362353366337E-4</c:v>
                </c:pt>
                <c:pt idx="1214">
                  <c:v>1.8738466964866623E-2</c:v>
                </c:pt>
                <c:pt idx="1215">
                  <c:v>3.8895339272309194E-3</c:v>
                </c:pt>
                <c:pt idx="1216">
                  <c:v>2.4123288700154386E-3</c:v>
                </c:pt>
                <c:pt idx="1217">
                  <c:v>2.428638409112394E-3</c:v>
                </c:pt>
                <c:pt idx="1218">
                  <c:v>-3.2126084314703697E-4</c:v>
                </c:pt>
                <c:pt idx="1219">
                  <c:v>-2.1723884663681931E-3</c:v>
                </c:pt>
                <c:pt idx="1220">
                  <c:v>3.7880769753984005E-3</c:v>
                </c:pt>
                <c:pt idx="1221">
                  <c:v>4.8397021180011186E-4</c:v>
                </c:pt>
                <c:pt idx="1222">
                  <c:v>8.6909313200178619E-3</c:v>
                </c:pt>
                <c:pt idx="1223">
                  <c:v>1.4523183281136325E-2</c:v>
                </c:pt>
                <c:pt idx="1224">
                  <c:v>6.4138364191125424E-3</c:v>
                </c:pt>
                <c:pt idx="1225">
                  <c:v>-5.4578205811553438E-3</c:v>
                </c:pt>
                <c:pt idx="1226">
                  <c:v>1.6184744336763542E-2</c:v>
                </c:pt>
                <c:pt idx="1227">
                  <c:v>1.2898310629108992E-2</c:v>
                </c:pt>
                <c:pt idx="1228">
                  <c:v>5.824509771268741E-3</c:v>
                </c:pt>
                <c:pt idx="1229">
                  <c:v>-1.380191394370054E-2</c:v>
                </c:pt>
                <c:pt idx="1230">
                  <c:v>-8.7201257008388319E-3</c:v>
                </c:pt>
                <c:pt idx="1231">
                  <c:v>6.4248332764400742E-4</c:v>
                </c:pt>
                <c:pt idx="1232">
                  <c:v>-3.3946109812713408E-3</c:v>
                </c:pt>
                <c:pt idx="1233">
                  <c:v>3.6519173677160891E-3</c:v>
                </c:pt>
                <c:pt idx="1234">
                  <c:v>-1.5923351002665447E-3</c:v>
                </c:pt>
                <c:pt idx="1235">
                  <c:v>1.1832992107630022E-4</c:v>
                </c:pt>
                <c:pt idx="1236">
                  <c:v>-1.5359494258364302E-2</c:v>
                </c:pt>
                <c:pt idx="1237">
                  <c:v>1.0757404372214647E-3</c:v>
                </c:pt>
                <c:pt idx="1238">
                  <c:v>9.0479020714966454E-3</c:v>
                </c:pt>
                <c:pt idx="1239">
                  <c:v>1.2872066682362983E-3</c:v>
                </c:pt>
                <c:pt idx="1240">
                  <c:v>-8.2707389344871558E-3</c:v>
                </c:pt>
                <c:pt idx="1241">
                  <c:v>1.9595372221212767E-2</c:v>
                </c:pt>
                <c:pt idx="1242">
                  <c:v>-4.9139247961012275E-3</c:v>
                </c:pt>
                <c:pt idx="1243">
                  <c:v>3.4994214078581075E-2</c:v>
                </c:pt>
                <c:pt idx="1244">
                  <c:v>-1.9449959887685511E-2</c:v>
                </c:pt>
                <c:pt idx="1245">
                  <c:v>-3.153578592784205E-2</c:v>
                </c:pt>
                <c:pt idx="1246">
                  <c:v>-4.7114881096365522E-3</c:v>
                </c:pt>
                <c:pt idx="1247">
                  <c:v>-1.119796265131549E-2</c:v>
                </c:pt>
                <c:pt idx="1248">
                  <c:v>1.4163475985072485E-2</c:v>
                </c:pt>
                <c:pt idx="1249">
                  <c:v>1.6257668264925526E-3</c:v>
                </c:pt>
                <c:pt idx="1250">
                  <c:v>-8.1110518317639643E-3</c:v>
                </c:pt>
                <c:pt idx="1251">
                  <c:v>1.4145224039702448E-2</c:v>
                </c:pt>
                <c:pt idx="1252">
                  <c:v>1.5280302487570169E-2</c:v>
                </c:pt>
                <c:pt idx="1253">
                  <c:v>4.3857661658370222E-3</c:v>
                </c:pt>
                <c:pt idx="1254">
                  <c:v>2.3841677088405088E-3</c:v>
                </c:pt>
                <c:pt idx="1255">
                  <c:v>-1.8881888308400251E-3</c:v>
                </c:pt>
                <c:pt idx="1256">
                  <c:v>3.439926392274154E-3</c:v>
                </c:pt>
                <c:pt idx="1257">
                  <c:v>-5.0522484308559816E-3</c:v>
                </c:pt>
                <c:pt idx="1258">
                  <c:v>-1.4427270853314713E-2</c:v>
                </c:pt>
                <c:pt idx="1259">
                  <c:v>1.1022802910866426E-2</c:v>
                </c:pt>
                <c:pt idx="1260">
                  <c:v>1.2638908545955969E-2</c:v>
                </c:pt>
                <c:pt idx="1261">
                  <c:v>1.8464772073233337E-2</c:v>
                </c:pt>
                <c:pt idx="1262">
                  <c:v>1.4078966597197986E-3</c:v>
                </c:pt>
                <c:pt idx="1263">
                  <c:v>-2.4914881972746772E-2</c:v>
                </c:pt>
                <c:pt idx="1264">
                  <c:v>-1.490009568079384E-2</c:v>
                </c:pt>
                <c:pt idx="1265">
                  <c:v>2.5988699450943138E-3</c:v>
                </c:pt>
                <c:pt idx="1266">
                  <c:v>-1.5359539621535133E-2</c:v>
                </c:pt>
                <c:pt idx="1267">
                  <c:v>1.1374550667080751E-2</c:v>
                </c:pt>
                <c:pt idx="1268">
                  <c:v>-2.3027618130208774E-2</c:v>
                </c:pt>
                <c:pt idx="1269">
                  <c:v>-2.5149277490487554E-3</c:v>
                </c:pt>
                <c:pt idx="1270">
                  <c:v>-1.6689647069723851E-3</c:v>
                </c:pt>
                <c:pt idx="1271">
                  <c:v>1.1319922034783727E-3</c:v>
                </c:pt>
                <c:pt idx="1272">
                  <c:v>-8.1855867566205612E-3</c:v>
                </c:pt>
                <c:pt idx="1273">
                  <c:v>-7.7786582020461861E-3</c:v>
                </c:pt>
                <c:pt idx="1274">
                  <c:v>4.0156127021860992E-3</c:v>
                </c:pt>
                <c:pt idx="1275">
                  <c:v>1.2411818851775071E-3</c:v>
                </c:pt>
                <c:pt idx="1276">
                  <c:v>-1.5146498806746691E-3</c:v>
                </c:pt>
                <c:pt idx="1277">
                  <c:v>-4.3471503699274586E-3</c:v>
                </c:pt>
                <c:pt idx="1278">
                  <c:v>1.5047964210284436E-5</c:v>
                </c:pt>
                <c:pt idx="1279">
                  <c:v>-2.735926147814584E-3</c:v>
                </c:pt>
                <c:pt idx="1280">
                  <c:v>1.4875452885078704E-2</c:v>
                </c:pt>
                <c:pt idx="1281">
                  <c:v>8.8269220646608167E-4</c:v>
                </c:pt>
                <c:pt idx="1282">
                  <c:v>-7.3425817014711329E-3</c:v>
                </c:pt>
                <c:pt idx="1283">
                  <c:v>6.49049330128739E-3</c:v>
                </c:pt>
                <c:pt idx="1284">
                  <c:v>-3.9136619298660354E-3</c:v>
                </c:pt>
                <c:pt idx="1285">
                  <c:v>8.4441560086865874E-3</c:v>
                </c:pt>
                <c:pt idx="1286">
                  <c:v>1.1058972972110684E-2</c:v>
                </c:pt>
                <c:pt idx="1287">
                  <c:v>6.4783258369489997E-3</c:v>
                </c:pt>
                <c:pt idx="1288">
                  <c:v>1.3325630075052971E-3</c:v>
                </c:pt>
                <c:pt idx="1289">
                  <c:v>-6.2606585764939928E-4</c:v>
                </c:pt>
                <c:pt idx="1290">
                  <c:v>5.367990624187205E-3</c:v>
                </c:pt>
                <c:pt idx="1291">
                  <c:v>1.4140732765787969E-2</c:v>
                </c:pt>
                <c:pt idx="1292">
                  <c:v>1.2316280845974916E-2</c:v>
                </c:pt>
                <c:pt idx="1293">
                  <c:v>4.568468857509304E-3</c:v>
                </c:pt>
                <c:pt idx="1294">
                  <c:v>-6.1943562030725065E-3</c:v>
                </c:pt>
                <c:pt idx="1295">
                  <c:v>-7.1116007800944327E-3</c:v>
                </c:pt>
                <c:pt idx="1296">
                  <c:v>-7.4407705950703905E-4</c:v>
                </c:pt>
                <c:pt idx="1297">
                  <c:v>1.5330550190043501E-3</c:v>
                </c:pt>
                <c:pt idx="1298">
                  <c:v>-4.1756492931129575E-3</c:v>
                </c:pt>
                <c:pt idx="1299">
                  <c:v>-4.507676441534921E-3</c:v>
                </c:pt>
                <c:pt idx="1300">
                  <c:v>-2.1196203569355167E-3</c:v>
                </c:pt>
                <c:pt idx="1301">
                  <c:v>1.6144153190448832E-2</c:v>
                </c:pt>
                <c:pt idx="1302">
                  <c:v>-2.8711189119875842E-3</c:v>
                </c:pt>
                <c:pt idx="1303">
                  <c:v>-3.3966437385537932E-3</c:v>
                </c:pt>
                <c:pt idx="1304">
                  <c:v>7.1043192074374904E-3</c:v>
                </c:pt>
                <c:pt idx="1305">
                  <c:v>7.7104181605664058E-3</c:v>
                </c:pt>
                <c:pt idx="1306">
                  <c:v>-7.3734168246528788E-3</c:v>
                </c:pt>
                <c:pt idx="1307">
                  <c:v>1.5618807064162464E-2</c:v>
                </c:pt>
                <c:pt idx="1308">
                  <c:v>1.0870508419063046E-2</c:v>
                </c:pt>
                <c:pt idx="1309">
                  <c:v>5.4106852490481468E-3</c:v>
                </c:pt>
                <c:pt idx="1310">
                  <c:v>1.0625266213793439E-2</c:v>
                </c:pt>
                <c:pt idx="1311">
                  <c:v>1.6314246953144092E-2</c:v>
                </c:pt>
                <c:pt idx="1312">
                  <c:v>7.8263440435304111E-4</c:v>
                </c:pt>
                <c:pt idx="1313">
                  <c:v>-5.9886876230174427E-3</c:v>
                </c:pt>
                <c:pt idx="1314">
                  <c:v>2.7665555004720895E-3</c:v>
                </c:pt>
                <c:pt idx="1315">
                  <c:v>1.3210955371989843E-3</c:v>
                </c:pt>
                <c:pt idx="1316">
                  <c:v>8.5644982635005949E-3</c:v>
                </c:pt>
                <c:pt idx="1317">
                  <c:v>8.9026264923742476E-3</c:v>
                </c:pt>
                <c:pt idx="1318">
                  <c:v>8.790036159625909E-3</c:v>
                </c:pt>
                <c:pt idx="1319">
                  <c:v>-1.801322729868057E-3</c:v>
                </c:pt>
                <c:pt idx="1320">
                  <c:v>3.4586276853520348E-3</c:v>
                </c:pt>
                <c:pt idx="1321">
                  <c:v>1.1831038065343247E-2</c:v>
                </c:pt>
                <c:pt idx="1322">
                  <c:v>1.3344522478866987E-3</c:v>
                </c:pt>
                <c:pt idx="1323">
                  <c:v>1.2530645142764099E-2</c:v>
                </c:pt>
                <c:pt idx="1324">
                  <c:v>9.0898939455833529E-3</c:v>
                </c:pt>
                <c:pt idx="1325">
                  <c:v>4.8456414083324056E-3</c:v>
                </c:pt>
                <c:pt idx="1326">
                  <c:v>4.3190881500243198E-3</c:v>
                </c:pt>
                <c:pt idx="1327">
                  <c:v>2.0927332411233828E-3</c:v>
                </c:pt>
                <c:pt idx="1328">
                  <c:v>2.5443250545078518E-3</c:v>
                </c:pt>
                <c:pt idx="1329">
                  <c:v>1.3581171532558476E-2</c:v>
                </c:pt>
                <c:pt idx="1330">
                  <c:v>7.0247909706333579E-3</c:v>
                </c:pt>
                <c:pt idx="1331">
                  <c:v>7.1394708641763609E-3</c:v>
                </c:pt>
                <c:pt idx="1332">
                  <c:v>6.8188229891577154E-3</c:v>
                </c:pt>
                <c:pt idx="1333">
                  <c:v>-9.5496795177856704E-3</c:v>
                </c:pt>
                <c:pt idx="1334">
                  <c:v>-5.2741919048199617E-4</c:v>
                </c:pt>
                <c:pt idx="1335">
                  <c:v>9.3274866974609686E-3</c:v>
                </c:pt>
                <c:pt idx="1336">
                  <c:v>8.9410728928607155E-3</c:v>
                </c:pt>
                <c:pt idx="1337">
                  <c:v>-3.0086598479121471E-3</c:v>
                </c:pt>
                <c:pt idx="1338">
                  <c:v>-9.1238417569016496E-3</c:v>
                </c:pt>
                <c:pt idx="1339">
                  <c:v>-5.0101237186618089E-3</c:v>
                </c:pt>
                <c:pt idx="1340">
                  <c:v>5.7535201544678862E-3</c:v>
                </c:pt>
                <c:pt idx="1341">
                  <c:v>-2.2669766815596553E-2</c:v>
                </c:pt>
                <c:pt idx="1342">
                  <c:v>-1.4788243646626342E-2</c:v>
                </c:pt>
                <c:pt idx="1343">
                  <c:v>1.8109184407963704E-3</c:v>
                </c:pt>
                <c:pt idx="1344">
                  <c:v>7.5130158949075158E-3</c:v>
                </c:pt>
                <c:pt idx="1345">
                  <c:v>1.554839383623994E-3</c:v>
                </c:pt>
                <c:pt idx="1346">
                  <c:v>1.1619945258311296E-2</c:v>
                </c:pt>
                <c:pt idx="1347">
                  <c:v>6.7712230494155626E-3</c:v>
                </c:pt>
                <c:pt idx="1348">
                  <c:v>-8.1982080972238594E-3</c:v>
                </c:pt>
                <c:pt idx="1349">
                  <c:v>-1.9268746703183284E-4</c:v>
                </c:pt>
                <c:pt idx="1350">
                  <c:v>1.1347961332045197E-2</c:v>
                </c:pt>
                <c:pt idx="1351">
                  <c:v>2.6742325580298137E-3</c:v>
                </c:pt>
                <c:pt idx="1352">
                  <c:v>6.9982804784746696E-3</c:v>
                </c:pt>
                <c:pt idx="1353">
                  <c:v>-4.1726993336508094E-3</c:v>
                </c:pt>
                <c:pt idx="1354">
                  <c:v>-2.8350142531666871E-3</c:v>
                </c:pt>
                <c:pt idx="1355">
                  <c:v>-6.6085943343615356E-3</c:v>
                </c:pt>
                <c:pt idx="1356">
                  <c:v>1.0459408779241683E-2</c:v>
                </c:pt>
                <c:pt idx="1357">
                  <c:v>-5.9797114412851373E-3</c:v>
                </c:pt>
                <c:pt idx="1358">
                  <c:v>6.017766655129886E-3</c:v>
                </c:pt>
                <c:pt idx="1359">
                  <c:v>3.3199735019458195E-3</c:v>
                </c:pt>
                <c:pt idx="1360">
                  <c:v>2.6789258822571328E-3</c:v>
                </c:pt>
                <c:pt idx="1361">
                  <c:v>9.5911553341730595E-3</c:v>
                </c:pt>
                <c:pt idx="1362">
                  <c:v>4.8395304873883769E-4</c:v>
                </c:pt>
                <c:pt idx="1363">
                  <c:v>-1.0950583951074328E-3</c:v>
                </c:pt>
                <c:pt idx="1364">
                  <c:v>-1.2571683381670662E-2</c:v>
                </c:pt>
                <c:pt idx="1365">
                  <c:v>-7.7831302262982459E-3</c:v>
                </c:pt>
                <c:pt idx="1366">
                  <c:v>2.2440312483783943E-3</c:v>
                </c:pt>
                <c:pt idx="1367">
                  <c:v>-5.7165237438012361E-3</c:v>
                </c:pt>
                <c:pt idx="1368">
                  <c:v>2.873441893624756E-2</c:v>
                </c:pt>
                <c:pt idx="1369">
                  <c:v>1.859867743420876E-2</c:v>
                </c:pt>
                <c:pt idx="1370">
                  <c:v>7.3904743278341541E-3</c:v>
                </c:pt>
                <c:pt idx="1371">
                  <c:v>-1.4991291328089162E-2</c:v>
                </c:pt>
                <c:pt idx="1372">
                  <c:v>-1.3530860559688861E-3</c:v>
                </c:pt>
                <c:pt idx="1373">
                  <c:v>1.190849128409952E-2</c:v>
                </c:pt>
                <c:pt idx="1374">
                  <c:v>1.2768780516690806E-3</c:v>
                </c:pt>
                <c:pt idx="1375">
                  <c:v>-3.2144216432111967E-2</c:v>
                </c:pt>
                <c:pt idx="1376">
                  <c:v>2.0340626763722877E-2</c:v>
                </c:pt>
                <c:pt idx="1377">
                  <c:v>4.7953906642502063E-2</c:v>
                </c:pt>
                <c:pt idx="1378">
                  <c:v>3.4180216086095428E-3</c:v>
                </c:pt>
                <c:pt idx="1379">
                  <c:v>6.1144607722298109E-3</c:v>
                </c:pt>
                <c:pt idx="1380">
                  <c:v>-3.1224167426295191E-2</c:v>
                </c:pt>
                <c:pt idx="1381">
                  <c:v>6.1531599727364271E-3</c:v>
                </c:pt>
                <c:pt idx="1382">
                  <c:v>2.7962366412484823E-2</c:v>
                </c:pt>
                <c:pt idx="1383">
                  <c:v>-8.3338803229426276E-3</c:v>
                </c:pt>
                <c:pt idx="1384">
                  <c:v>2.1334798383866059E-2</c:v>
                </c:pt>
                <c:pt idx="1385">
                  <c:v>-3.2972200498453737E-2</c:v>
                </c:pt>
                <c:pt idx="1386">
                  <c:v>2.7259827448310219E-2</c:v>
                </c:pt>
                <c:pt idx="1387">
                  <c:v>4.3283014020742527E-2</c:v>
                </c:pt>
                <c:pt idx="1388">
                  <c:v>9.3713556171858593E-3</c:v>
                </c:pt>
                <c:pt idx="1389">
                  <c:v>4.3115411804210753E-2</c:v>
                </c:pt>
                <c:pt idx="1390">
                  <c:v>-3.0658597765814378E-3</c:v>
                </c:pt>
                <c:pt idx="1391">
                  <c:v>3.089316101396546E-2</c:v>
                </c:pt>
                <c:pt idx="1392">
                  <c:v>-4.542754149070731E-2</c:v>
                </c:pt>
                <c:pt idx="1393">
                  <c:v>-6.8560729451883878E-2</c:v>
                </c:pt>
                <c:pt idx="1394">
                  <c:v>1.7842118591442371E-2</c:v>
                </c:pt>
                <c:pt idx="1395">
                  <c:v>-9.4101633841342826E-3</c:v>
                </c:pt>
                <c:pt idx="1396">
                  <c:v>-6.7476614138731045E-2</c:v>
                </c:pt>
                <c:pt idx="1397">
                  <c:v>-3.1704997875903577E-2</c:v>
                </c:pt>
                <c:pt idx="1398">
                  <c:v>-6.5887743172102123E-2</c:v>
                </c:pt>
                <c:pt idx="1399">
                  <c:v>2.8976527038499663E-3</c:v>
                </c:pt>
                <c:pt idx="1400">
                  <c:v>-4.55644256866609E-2</c:v>
                </c:pt>
                <c:pt idx="1401">
                  <c:v>-5.9688426414118299E-4</c:v>
                </c:pt>
                <c:pt idx="1402">
                  <c:v>1.7183433421616181E-2</c:v>
                </c:pt>
                <c:pt idx="1403">
                  <c:v>-3.0369702302505523E-2</c:v>
                </c:pt>
                <c:pt idx="1404">
                  <c:v>-2.9516955795410717E-2</c:v>
                </c:pt>
                <c:pt idx="1405">
                  <c:v>1.2227037196965001E-2</c:v>
                </c:pt>
                <c:pt idx="1406">
                  <c:v>-7.4816937281120361E-3</c:v>
                </c:pt>
                <c:pt idx="1407">
                  <c:v>-2.4587556589297874E-3</c:v>
                </c:pt>
                <c:pt idx="1408">
                  <c:v>3.4559107320471301E-2</c:v>
                </c:pt>
                <c:pt idx="1409">
                  <c:v>-2.7226909113058383E-3</c:v>
                </c:pt>
                <c:pt idx="1410">
                  <c:v>-6.5472335388631177E-3</c:v>
                </c:pt>
                <c:pt idx="1411">
                  <c:v>-1.3384990909313043E-2</c:v>
                </c:pt>
                <c:pt idx="1412">
                  <c:v>-7.2880126651191923E-3</c:v>
                </c:pt>
                <c:pt idx="1413">
                  <c:v>-2.7466122324854941E-2</c:v>
                </c:pt>
                <c:pt idx="1414">
                  <c:v>-5.7416137929160562E-3</c:v>
                </c:pt>
                <c:pt idx="1415">
                  <c:v>-2.2888748899554537E-3</c:v>
                </c:pt>
                <c:pt idx="1416">
                  <c:v>9.9356943996753797E-3</c:v>
                </c:pt>
                <c:pt idx="1417">
                  <c:v>-1.6874875444982214E-3</c:v>
                </c:pt>
                <c:pt idx="1418">
                  <c:v>-5.2447829018792101E-3</c:v>
                </c:pt>
                <c:pt idx="1419">
                  <c:v>-1.867453485752681E-3</c:v>
                </c:pt>
                <c:pt idx="1420">
                  <c:v>2.0563542850639244E-2</c:v>
                </c:pt>
                <c:pt idx="1421">
                  <c:v>1.0630918117806382E-2</c:v>
                </c:pt>
                <c:pt idx="1422">
                  <c:v>-2.109749417279903E-2</c:v>
                </c:pt>
                <c:pt idx="1423">
                  <c:v>-1.4261225638382632E-2</c:v>
                </c:pt>
                <c:pt idx="1424">
                  <c:v>-3.9095739802001142E-3</c:v>
                </c:pt>
                <c:pt idx="1425">
                  <c:v>1.1751479483228959E-2</c:v>
                </c:pt>
                <c:pt idx="1426">
                  <c:v>-2.9342599518531288E-2</c:v>
                </c:pt>
                <c:pt idx="1427">
                  <c:v>-6.5047056917188961E-3</c:v>
                </c:pt>
                <c:pt idx="1428">
                  <c:v>1.1480069787379914E-4</c:v>
                </c:pt>
                <c:pt idx="1429">
                  <c:v>-9.4680300024658909E-3</c:v>
                </c:pt>
                <c:pt idx="1430">
                  <c:v>-5.6427913716350971E-3</c:v>
                </c:pt>
                <c:pt idx="1431">
                  <c:v>-2.2001720262433996E-3</c:v>
                </c:pt>
                <c:pt idx="1432">
                  <c:v>2.9661031901842346E-3</c:v>
                </c:pt>
                <c:pt idx="1433">
                  <c:v>-1.2762777050590764E-3</c:v>
                </c:pt>
                <c:pt idx="1434">
                  <c:v>-1.5298002556159082E-3</c:v>
                </c:pt>
                <c:pt idx="1435">
                  <c:v>-2.8340752458088131E-3</c:v>
                </c:pt>
                <c:pt idx="1436">
                  <c:v>-9.7327242060453768E-3</c:v>
                </c:pt>
                <c:pt idx="1437">
                  <c:v>2.3840650549980902E-3</c:v>
                </c:pt>
                <c:pt idx="1438">
                  <c:v>1.676318231117921E-3</c:v>
                </c:pt>
                <c:pt idx="1439">
                  <c:v>-4.9531280087689884E-3</c:v>
                </c:pt>
                <c:pt idx="1440">
                  <c:v>-2.6909666586216979E-4</c:v>
                </c:pt>
                <c:pt idx="1441">
                  <c:v>2.6893759236039816E-4</c:v>
                </c:pt>
                <c:pt idx="1442">
                  <c:v>1.6084915788065236E-2</c:v>
                </c:pt>
                <c:pt idx="1443">
                  <c:v>2.8181304699793751E-2</c:v>
                </c:pt>
                <c:pt idx="1444">
                  <c:v>-1.305135227816993E-2</c:v>
                </c:pt>
                <c:pt idx="1445">
                  <c:v>1.4728459540142232E-2</c:v>
                </c:pt>
                <c:pt idx="1446">
                  <c:v>-2.4267011315280352E-2</c:v>
                </c:pt>
                <c:pt idx="1447">
                  <c:v>-3.7066191847791594E-3</c:v>
                </c:pt>
                <c:pt idx="1448">
                  <c:v>2.6105314009661883E-2</c:v>
                </c:pt>
                <c:pt idx="1449">
                  <c:v>1.6323031647415404E-2</c:v>
                </c:pt>
                <c:pt idx="1450">
                  <c:v>-3.7307135998622776E-3</c:v>
                </c:pt>
                <c:pt idx="1451">
                  <c:v>9.5694998081947589E-4</c:v>
                </c:pt>
                <c:pt idx="1452">
                  <c:v>-6.7900560667130917E-3</c:v>
                </c:pt>
                <c:pt idx="1453">
                  <c:v>1.9824034326250167E-2</c:v>
                </c:pt>
                <c:pt idx="1454">
                  <c:v>7.9990921881439771E-3</c:v>
                </c:pt>
                <c:pt idx="1455">
                  <c:v>-2.0196904512748078E-2</c:v>
                </c:pt>
                <c:pt idx="1456">
                  <c:v>4.3689185463075438E-3</c:v>
                </c:pt>
                <c:pt idx="1457">
                  <c:v>-2.2794601731432041E-2</c:v>
                </c:pt>
                <c:pt idx="1458">
                  <c:v>-3.9491331539006601E-3</c:v>
                </c:pt>
                <c:pt idx="1459">
                  <c:v>2.9722741427038839E-3</c:v>
                </c:pt>
                <c:pt idx="1460">
                  <c:v>1.7799381620022609E-2</c:v>
                </c:pt>
                <c:pt idx="1461">
                  <c:v>9.9328210352081329E-3</c:v>
                </c:pt>
                <c:pt idx="1462">
                  <c:v>-4.2559574769401122E-4</c:v>
                </c:pt>
                <c:pt idx="1463">
                  <c:v>-3.2750844715059364E-3</c:v>
                </c:pt>
                <c:pt idx="1464">
                  <c:v>5.4842889216373649E-3</c:v>
                </c:pt>
                <c:pt idx="1465">
                  <c:v>-7.1061628071122287E-3</c:v>
                </c:pt>
                <c:pt idx="1466">
                  <c:v>2.2428034674258682E-3</c:v>
                </c:pt>
                <c:pt idx="1467">
                  <c:v>9.2022650812555139E-3</c:v>
                </c:pt>
                <c:pt idx="1468">
                  <c:v>1.2108705153444041E-2</c:v>
                </c:pt>
                <c:pt idx="1469">
                  <c:v>-8.3612840324372145E-3</c:v>
                </c:pt>
                <c:pt idx="1470">
                  <c:v>2.1293459904066538E-2</c:v>
                </c:pt>
                <c:pt idx="1471">
                  <c:v>1.5020305495724716E-2</c:v>
                </c:pt>
                <c:pt idx="1472">
                  <c:v>1.5307144925650521E-2</c:v>
                </c:pt>
                <c:pt idx="1473">
                  <c:v>8.6696538303295857E-3</c:v>
                </c:pt>
                <c:pt idx="1474">
                  <c:v>-1.0918741305151013E-2</c:v>
                </c:pt>
                <c:pt idx="1475">
                  <c:v>7.5539626201589459E-3</c:v>
                </c:pt>
                <c:pt idx="1476">
                  <c:v>2.2222395920791026E-2</c:v>
                </c:pt>
                <c:pt idx="1477">
                  <c:v>-2.4616906183552799E-2</c:v>
                </c:pt>
                <c:pt idx="1478">
                  <c:v>-1.3657425234743944E-2</c:v>
                </c:pt>
                <c:pt idx="1479">
                  <c:v>3.9782294705032794E-3</c:v>
                </c:pt>
                <c:pt idx="1480">
                  <c:v>2.2021935462241887E-2</c:v>
                </c:pt>
                <c:pt idx="1481">
                  <c:v>9.1477101860205981E-3</c:v>
                </c:pt>
                <c:pt idx="1482">
                  <c:v>2.0512842589223861E-3</c:v>
                </c:pt>
                <c:pt idx="1483">
                  <c:v>1.0917826357058113E-2</c:v>
                </c:pt>
                <c:pt idx="1484">
                  <c:v>-1.0200227698210444E-3</c:v>
                </c:pt>
                <c:pt idx="1485">
                  <c:v>2.2928910205524546E-2</c:v>
                </c:pt>
                <c:pt idx="1486">
                  <c:v>6.14231237758181E-3</c:v>
                </c:pt>
                <c:pt idx="1487">
                  <c:v>2.9503555488363934E-3</c:v>
                </c:pt>
                <c:pt idx="1488">
                  <c:v>8.3437245728091667E-3</c:v>
                </c:pt>
                <c:pt idx="1489">
                  <c:v>2.2918316681529382E-3</c:v>
                </c:pt>
                <c:pt idx="1490">
                  <c:v>2.6175467113624201E-2</c:v>
                </c:pt>
                <c:pt idx="1491">
                  <c:v>5.0851253432379288E-3</c:v>
                </c:pt>
                <c:pt idx="1492">
                  <c:v>1.3099867570696744E-2</c:v>
                </c:pt>
                <c:pt idx="1493">
                  <c:v>-1.0681260246686382E-3</c:v>
                </c:pt>
                <c:pt idx="1494">
                  <c:v>-1.8924096594399281E-3</c:v>
                </c:pt>
                <c:pt idx="1495">
                  <c:v>6.0649258737883781E-3</c:v>
                </c:pt>
                <c:pt idx="1496">
                  <c:v>-3.110553490146579E-3</c:v>
                </c:pt>
                <c:pt idx="1497">
                  <c:v>9.65290049040529E-3</c:v>
                </c:pt>
                <c:pt idx="1498">
                  <c:v>7.2511307583130076E-3</c:v>
                </c:pt>
                <c:pt idx="1499">
                  <c:v>3.4526502105350692E-3</c:v>
                </c:pt>
                <c:pt idx="1500">
                  <c:v>-2.318915032853407E-2</c:v>
                </c:pt>
                <c:pt idx="1501">
                  <c:v>-8.3808869757288267E-4</c:v>
                </c:pt>
                <c:pt idx="1502">
                  <c:v>-1.1158630020223945E-2</c:v>
                </c:pt>
                <c:pt idx="1503">
                  <c:v>5.7963479721730021E-3</c:v>
                </c:pt>
                <c:pt idx="1504">
                  <c:v>-3.0050084449133423E-3</c:v>
                </c:pt>
                <c:pt idx="1505">
                  <c:v>-8.3951909301887874E-3</c:v>
                </c:pt>
                <c:pt idx="1506">
                  <c:v>1.3165450500621708E-2</c:v>
                </c:pt>
                <c:pt idx="1507">
                  <c:v>1.5032928903517304E-2</c:v>
                </c:pt>
                <c:pt idx="1508">
                  <c:v>1.4075495076861207E-3</c:v>
                </c:pt>
                <c:pt idx="1509">
                  <c:v>-4.7626380852885944E-3</c:v>
                </c:pt>
                <c:pt idx="1510">
                  <c:v>1.8269432197550835E-2</c:v>
                </c:pt>
                <c:pt idx="1511">
                  <c:v>8.5817004938591908E-3</c:v>
                </c:pt>
                <c:pt idx="1512">
                  <c:v>1.2016679361067427E-2</c:v>
                </c:pt>
                <c:pt idx="1513">
                  <c:v>3.3803223878227425E-3</c:v>
                </c:pt>
                <c:pt idx="1514">
                  <c:v>5.4699591787112437E-3</c:v>
                </c:pt>
                <c:pt idx="1515">
                  <c:v>2.5069525839843877E-4</c:v>
                </c:pt>
                <c:pt idx="1516">
                  <c:v>2.0262207445530984E-2</c:v>
                </c:pt>
                <c:pt idx="1517">
                  <c:v>-4.1602764562630725E-3</c:v>
                </c:pt>
                <c:pt idx="1518">
                  <c:v>-8.295202775812506E-3</c:v>
                </c:pt>
                <c:pt idx="1519">
                  <c:v>2.4575441376880592E-3</c:v>
                </c:pt>
                <c:pt idx="1520">
                  <c:v>-1.1207650936903421E-2</c:v>
                </c:pt>
                <c:pt idx="1521">
                  <c:v>-2.2660306990765389E-3</c:v>
                </c:pt>
                <c:pt idx="1522">
                  <c:v>1.9919208935883309E-2</c:v>
                </c:pt>
                <c:pt idx="1523">
                  <c:v>-1.1076839955723889E-2</c:v>
                </c:pt>
                <c:pt idx="1524">
                  <c:v>-6.1481025602481228E-4</c:v>
                </c:pt>
                <c:pt idx="1525">
                  <c:v>1.4206524442597781E-2</c:v>
                </c:pt>
                <c:pt idx="1526">
                  <c:v>-2.0699529997042243E-3</c:v>
                </c:pt>
                <c:pt idx="1527">
                  <c:v>1.9117533515771168E-2</c:v>
                </c:pt>
                <c:pt idx="1528">
                  <c:v>1.6005080873857821E-2</c:v>
                </c:pt>
                <c:pt idx="1529">
                  <c:v>8.354523301021332E-3</c:v>
                </c:pt>
                <c:pt idx="1530">
                  <c:v>-9.9058579792245228E-4</c:v>
                </c:pt>
                <c:pt idx="1531">
                  <c:v>1.4594252605193992E-2</c:v>
                </c:pt>
                <c:pt idx="1532">
                  <c:v>-8.2379349568773696E-3</c:v>
                </c:pt>
                <c:pt idx="1533">
                  <c:v>1.2980872280106777E-2</c:v>
                </c:pt>
                <c:pt idx="1534">
                  <c:v>-1.6142466451097789E-2</c:v>
                </c:pt>
                <c:pt idx="1535">
                  <c:v>-1.5626167882651806E-2</c:v>
                </c:pt>
                <c:pt idx="1536">
                  <c:v>1.7283066616315132E-3</c:v>
                </c:pt>
                <c:pt idx="1537">
                  <c:v>2.1051355477939493E-3</c:v>
                </c:pt>
                <c:pt idx="1538">
                  <c:v>-2.6456450891084241E-2</c:v>
                </c:pt>
                <c:pt idx="1539">
                  <c:v>-1.6761775724530369E-2</c:v>
                </c:pt>
                <c:pt idx="1540">
                  <c:v>2.9435552219289559E-2</c:v>
                </c:pt>
                <c:pt idx="1541">
                  <c:v>1.8196719048022888E-2</c:v>
                </c:pt>
                <c:pt idx="1542">
                  <c:v>2.8982742278879842E-2</c:v>
                </c:pt>
                <c:pt idx="1543">
                  <c:v>2.7735103841071387E-2</c:v>
                </c:pt>
                <c:pt idx="1544">
                  <c:v>-2.2577675747143852E-2</c:v>
                </c:pt>
                <c:pt idx="1545">
                  <c:v>-1.0387726402398545E-2</c:v>
                </c:pt>
                <c:pt idx="1546">
                  <c:v>-1.7817550685411129E-2</c:v>
                </c:pt>
                <c:pt idx="1547">
                  <c:v>-2.3329173208191875E-2</c:v>
                </c:pt>
                <c:pt idx="1548">
                  <c:v>-5.7769524835796712E-3</c:v>
                </c:pt>
                <c:pt idx="1549">
                  <c:v>-1.5335176927223533E-2</c:v>
                </c:pt>
                <c:pt idx="1550">
                  <c:v>-5.4241465920373006E-3</c:v>
                </c:pt>
                <c:pt idx="1551">
                  <c:v>-3.1112939626431499E-3</c:v>
                </c:pt>
                <c:pt idx="1552">
                  <c:v>8.8558638352498695E-3</c:v>
                </c:pt>
                <c:pt idx="1553">
                  <c:v>-2.3983566010582448E-3</c:v>
                </c:pt>
                <c:pt idx="1554">
                  <c:v>-1.1495402181771541E-2</c:v>
                </c:pt>
                <c:pt idx="1555">
                  <c:v>-1.0575287242960729E-2</c:v>
                </c:pt>
                <c:pt idx="1556">
                  <c:v>1.3888288777645409E-3</c:v>
                </c:pt>
                <c:pt idx="1557">
                  <c:v>-9.6124573143072899E-3</c:v>
                </c:pt>
                <c:pt idx="1558">
                  <c:v>4.0304377381305484E-3</c:v>
                </c:pt>
                <c:pt idx="1559">
                  <c:v>3.8750698193430878E-3</c:v>
                </c:pt>
                <c:pt idx="1560">
                  <c:v>4.6187596604594051E-3</c:v>
                </c:pt>
                <c:pt idx="1561">
                  <c:v>-2.0388399850948872E-2</c:v>
                </c:pt>
                <c:pt idx="1562">
                  <c:v>3.023775916671519E-4</c:v>
                </c:pt>
                <c:pt idx="1563">
                  <c:v>4.14765909094304E-4</c:v>
                </c:pt>
                <c:pt idx="1564">
                  <c:v>-2.1208410782808145E-2</c:v>
                </c:pt>
                <c:pt idx="1565">
                  <c:v>-5.9898923702746973E-3</c:v>
                </c:pt>
                <c:pt idx="1566">
                  <c:v>1.0446202059393689E-3</c:v>
                </c:pt>
                <c:pt idx="1567">
                  <c:v>-4.5871315747651747E-4</c:v>
                </c:pt>
                <c:pt idx="1568">
                  <c:v>3.345910876077462E-3</c:v>
                </c:pt>
                <c:pt idx="1569">
                  <c:v>-1.3083935019634283E-2</c:v>
                </c:pt>
                <c:pt idx="1570">
                  <c:v>-1.1009348400462757E-2</c:v>
                </c:pt>
                <c:pt idx="1571">
                  <c:v>-9.3398917658049363E-3</c:v>
                </c:pt>
                <c:pt idx="1572">
                  <c:v>1.7181278166537559E-2</c:v>
                </c:pt>
                <c:pt idx="1573">
                  <c:v>9.141574987653044E-3</c:v>
                </c:pt>
                <c:pt idx="1574">
                  <c:v>2.7948549890595069E-3</c:v>
                </c:pt>
                <c:pt idx="1575">
                  <c:v>3.7649795318469865E-3</c:v>
                </c:pt>
                <c:pt idx="1576">
                  <c:v>-9.2154083364037499E-3</c:v>
                </c:pt>
                <c:pt idx="1577">
                  <c:v>-2.9850292273145367E-3</c:v>
                </c:pt>
                <c:pt idx="1578">
                  <c:v>-8.1611281056045426E-3</c:v>
                </c:pt>
                <c:pt idx="1579">
                  <c:v>-1.8599155877894191E-2</c:v>
                </c:pt>
                <c:pt idx="1580">
                  <c:v>3.6958604591221232E-3</c:v>
                </c:pt>
                <c:pt idx="1581">
                  <c:v>9.8046174817031113E-3</c:v>
                </c:pt>
                <c:pt idx="1582">
                  <c:v>-7.381410149207866E-4</c:v>
                </c:pt>
                <c:pt idx="1583">
                  <c:v>-1.3850336747152692E-2</c:v>
                </c:pt>
                <c:pt idx="1584">
                  <c:v>-1.1360598432235657E-2</c:v>
                </c:pt>
                <c:pt idx="1585">
                  <c:v>4.798453919391662E-3</c:v>
                </c:pt>
                <c:pt idx="1586">
                  <c:v>1.3313324515791274E-2</c:v>
                </c:pt>
                <c:pt idx="1587">
                  <c:v>8.0231160838838533E-3</c:v>
                </c:pt>
                <c:pt idx="1588">
                  <c:v>2.6701342733284721E-3</c:v>
                </c:pt>
                <c:pt idx="1589">
                  <c:v>-2.6411275615549061E-2</c:v>
                </c:pt>
                <c:pt idx="1590">
                  <c:v>-1.3050805855989708E-2</c:v>
                </c:pt>
                <c:pt idx="1591">
                  <c:v>4.271480387759367E-4</c:v>
                </c:pt>
                <c:pt idx="1592">
                  <c:v>2.8903313601882544E-2</c:v>
                </c:pt>
                <c:pt idx="1593">
                  <c:v>-2.0956445810994023E-2</c:v>
                </c:pt>
                <c:pt idx="1594">
                  <c:v>-1.8037290698093712E-4</c:v>
                </c:pt>
                <c:pt idx="1595">
                  <c:v>3.4419726744411867E-3</c:v>
                </c:pt>
                <c:pt idx="1596">
                  <c:v>2.7259756434855682E-2</c:v>
                </c:pt>
                <c:pt idx="1597">
                  <c:v>3.573459800670415E-2</c:v>
                </c:pt>
                <c:pt idx="1598">
                  <c:v>5.7611094436360328E-3</c:v>
                </c:pt>
                <c:pt idx="1599">
                  <c:v>2.5302548164388848E-3</c:v>
                </c:pt>
                <c:pt idx="1600">
                  <c:v>-2.3681880373682115E-2</c:v>
                </c:pt>
                <c:pt idx="1601">
                  <c:v>2.538874767633969E-3</c:v>
                </c:pt>
                <c:pt idx="1602">
                  <c:v>-4.5102739261332391E-4</c:v>
                </c:pt>
                <c:pt idx="1603">
                  <c:v>-2.3508973967156323E-2</c:v>
                </c:pt>
                <c:pt idx="1604">
                  <c:v>-4.9046023176116411E-3</c:v>
                </c:pt>
                <c:pt idx="1605">
                  <c:v>-4.2069323188819712E-3</c:v>
                </c:pt>
                <c:pt idx="1606">
                  <c:v>-1.6727821176243392E-2</c:v>
                </c:pt>
                <c:pt idx="1607">
                  <c:v>7.2011508360242404E-4</c:v>
                </c:pt>
                <c:pt idx="1608">
                  <c:v>-1.4326902979961462E-2</c:v>
                </c:pt>
                <c:pt idx="1609">
                  <c:v>-1.1619905312601674E-2</c:v>
                </c:pt>
                <c:pt idx="1610">
                  <c:v>-6.437776407633362E-3</c:v>
                </c:pt>
                <c:pt idx="1611">
                  <c:v>-6.5313087167568999E-3</c:v>
                </c:pt>
                <c:pt idx="1612">
                  <c:v>-2.8106175413668065E-3</c:v>
                </c:pt>
                <c:pt idx="1613">
                  <c:v>9.0933723013052921E-3</c:v>
                </c:pt>
                <c:pt idx="1614">
                  <c:v>7.9930419060793966E-3</c:v>
                </c:pt>
                <c:pt idx="1615">
                  <c:v>2.7529919077640902E-3</c:v>
                </c:pt>
                <c:pt idx="1616">
                  <c:v>-1.3486103210991243E-2</c:v>
                </c:pt>
                <c:pt idx="1617">
                  <c:v>-1.0478791026713941E-2</c:v>
                </c:pt>
                <c:pt idx="1618">
                  <c:v>1.3055846675500792E-2</c:v>
                </c:pt>
                <c:pt idx="1619">
                  <c:v>1.6132205176400147E-3</c:v>
                </c:pt>
                <c:pt idx="1620">
                  <c:v>-1.6836467867513531E-2</c:v>
                </c:pt>
                <c:pt idx="1621">
                  <c:v>-3.2564456987081046E-3</c:v>
                </c:pt>
                <c:pt idx="1622">
                  <c:v>4.4515126331523226E-3</c:v>
                </c:pt>
                <c:pt idx="1623">
                  <c:v>1.4956925750061793E-2</c:v>
                </c:pt>
                <c:pt idx="1624">
                  <c:v>5.6950211212236784E-3</c:v>
                </c:pt>
                <c:pt idx="1625">
                  <c:v>-1.483033786453373E-2</c:v>
                </c:pt>
                <c:pt idx="1626">
                  <c:v>5.6351364271241024E-3</c:v>
                </c:pt>
                <c:pt idx="1627">
                  <c:v>-1.5988034692356105E-2</c:v>
                </c:pt>
                <c:pt idx="1628">
                  <c:v>1.5193472884041256E-4</c:v>
                </c:pt>
                <c:pt idx="1629">
                  <c:v>-1.3325951797342707E-2</c:v>
                </c:pt>
                <c:pt idx="1630">
                  <c:v>-3.4782809877886638E-4</c:v>
                </c:pt>
                <c:pt idx="1631">
                  <c:v>-8.3123777045145449E-3</c:v>
                </c:pt>
                <c:pt idx="1632">
                  <c:v>-7.6195350295761325E-3</c:v>
                </c:pt>
                <c:pt idx="1633">
                  <c:v>2.5001977799364102E-3</c:v>
                </c:pt>
                <c:pt idx="1634">
                  <c:v>-1.0575128814287611E-2</c:v>
                </c:pt>
                <c:pt idx="1635">
                  <c:v>1.658999304184584E-2</c:v>
                </c:pt>
                <c:pt idx="1636">
                  <c:v>5.2577247666189654E-3</c:v>
                </c:pt>
                <c:pt idx="1637">
                  <c:v>-1.046432472651857E-2</c:v>
                </c:pt>
                <c:pt idx="1638">
                  <c:v>3.8338182052177414E-3</c:v>
                </c:pt>
                <c:pt idx="1639">
                  <c:v>-4.2298177637300561E-3</c:v>
                </c:pt>
                <c:pt idx="1640">
                  <c:v>-1.6732979612492209E-3</c:v>
                </c:pt>
                <c:pt idx="1641">
                  <c:v>-6.1664858520613375E-3</c:v>
                </c:pt>
                <c:pt idx="1642">
                  <c:v>1.4227183317909675E-2</c:v>
                </c:pt>
                <c:pt idx="1643">
                  <c:v>-1.2926512956789833E-2</c:v>
                </c:pt>
                <c:pt idx="1644">
                  <c:v>-3.0907605218021585E-3</c:v>
                </c:pt>
                <c:pt idx="1645">
                  <c:v>8.3400841566944289E-4</c:v>
                </c:pt>
                <c:pt idx="1646">
                  <c:v>-7.095859096072491E-4</c:v>
                </c:pt>
                <c:pt idx="1647">
                  <c:v>-6.7059937771876102E-4</c:v>
                </c:pt>
                <c:pt idx="1648">
                  <c:v>-8.7511865649040274E-3</c:v>
                </c:pt>
                <c:pt idx="1649">
                  <c:v>-6.9247702063025517E-3</c:v>
                </c:pt>
                <c:pt idx="1650">
                  <c:v>-3.0338755473562368E-3</c:v>
                </c:pt>
                <c:pt idx="1651">
                  <c:v>-1.5403874339805978E-3</c:v>
                </c:pt>
                <c:pt idx="1652">
                  <c:v>5.3296731506427683E-3</c:v>
                </c:pt>
                <c:pt idx="1653">
                  <c:v>1.2403404464518994E-2</c:v>
                </c:pt>
                <c:pt idx="1654">
                  <c:v>9.353446348651288E-3</c:v>
                </c:pt>
                <c:pt idx="1655">
                  <c:v>-3.3223712426589565E-3</c:v>
                </c:pt>
                <c:pt idx="1656">
                  <c:v>-1.9822863705945434E-2</c:v>
                </c:pt>
                <c:pt idx="1657">
                  <c:v>-1.0229375004529338E-2</c:v>
                </c:pt>
                <c:pt idx="1658">
                  <c:v>-1.3620921615814081E-3</c:v>
                </c:pt>
                <c:pt idx="1659">
                  <c:v>-5.1805663344370806E-3</c:v>
                </c:pt>
                <c:pt idx="1660">
                  <c:v>8.0664072716041917E-3</c:v>
                </c:pt>
                <c:pt idx="1661">
                  <c:v>-6.5242033273934606E-3</c:v>
                </c:pt>
                <c:pt idx="1662">
                  <c:v>-6.5997030627610795E-3</c:v>
                </c:pt>
                <c:pt idx="1663">
                  <c:v>-5.0139506820811989E-4</c:v>
                </c:pt>
                <c:pt idx="1664">
                  <c:v>-9.1579270083860223E-4</c:v>
                </c:pt>
                <c:pt idx="1665">
                  <c:v>-1.2850931169062351E-3</c:v>
                </c:pt>
                <c:pt idx="1666">
                  <c:v>6.6891448383979485E-3</c:v>
                </c:pt>
                <c:pt idx="1667">
                  <c:v>-1.3716222743709233E-2</c:v>
                </c:pt>
                <c:pt idx="1668">
                  <c:v>-1.0775958531672861E-2</c:v>
                </c:pt>
                <c:pt idx="1669">
                  <c:v>-4.1664177047575244E-3</c:v>
                </c:pt>
                <c:pt idx="1670">
                  <c:v>-2.6123175180508265E-3</c:v>
                </c:pt>
                <c:pt idx="1671">
                  <c:v>1.2202552446676474E-2</c:v>
                </c:pt>
                <c:pt idx="1672">
                  <c:v>7.6763157997937811E-3</c:v>
                </c:pt>
                <c:pt idx="1673">
                  <c:v>4.7380853406987292E-3</c:v>
                </c:pt>
                <c:pt idx="1674">
                  <c:v>-4.2511407555896342E-4</c:v>
                </c:pt>
                <c:pt idx="1675">
                  <c:v>5.0544172464732987E-3</c:v>
                </c:pt>
                <c:pt idx="1676">
                  <c:v>3.8572171510684442E-3</c:v>
                </c:pt>
                <c:pt idx="1677">
                  <c:v>-6.0512554741783283E-4</c:v>
                </c:pt>
                <c:pt idx="1678">
                  <c:v>5.7743987757706656E-3</c:v>
                </c:pt>
                <c:pt idx="1679">
                  <c:v>3.9005358349825593E-3</c:v>
                </c:pt>
                <c:pt idx="1680">
                  <c:v>9.0643861220111883E-3</c:v>
                </c:pt>
                <c:pt idx="1681">
                  <c:v>6.0364061923599607E-3</c:v>
                </c:pt>
                <c:pt idx="1682">
                  <c:v>1.5954075908377224E-3</c:v>
                </c:pt>
                <c:pt idx="1683">
                  <c:v>-7.1425042918691847E-4</c:v>
                </c:pt>
                <c:pt idx="1684">
                  <c:v>-8.6390804098633381E-3</c:v>
                </c:pt>
                <c:pt idx="1685">
                  <c:v>5.1156294124586037E-3</c:v>
                </c:pt>
                <c:pt idx="1686">
                  <c:v>9.3080297922512167E-3</c:v>
                </c:pt>
                <c:pt idx="1687">
                  <c:v>-1.0539704499429804E-3</c:v>
                </c:pt>
                <c:pt idx="1688">
                  <c:v>4.3315179787927118E-3</c:v>
                </c:pt>
                <c:pt idx="1689">
                  <c:v>-3.3495934959348996E-3</c:v>
                </c:pt>
                <c:pt idx="1690">
                  <c:v>1.2709271207186236E-2</c:v>
                </c:pt>
                <c:pt idx="1691">
                  <c:v>2.7030035829292545E-2</c:v>
                </c:pt>
                <c:pt idx="1692">
                  <c:v>1.4596980822273301E-4</c:v>
                </c:pt>
                <c:pt idx="1693">
                  <c:v>-6.700312870003452E-3</c:v>
                </c:pt>
                <c:pt idx="1694">
                  <c:v>-5.277167768193136E-3</c:v>
                </c:pt>
                <c:pt idx="16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C7-4619-983B-177EAA88A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437904"/>
        <c:axId val="1933440624"/>
      </c:scatterChart>
      <c:valAx>
        <c:axId val="1933437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Index return</a:t>
                </a:r>
              </a:p>
            </c:rich>
          </c:tx>
          <c:layout>
            <c:manualLayout>
              <c:xMode val="edge"/>
              <c:yMode val="edge"/>
              <c:x val="0.57040748074242009"/>
              <c:y val="0.893540084851371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%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440624"/>
        <c:crosses val="autoZero"/>
        <c:crossBetween val="midCat"/>
      </c:valAx>
      <c:valAx>
        <c:axId val="193344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Company return</a:t>
                </a:r>
              </a:p>
            </c:rich>
          </c:tx>
          <c:layout>
            <c:manualLayout>
              <c:xMode val="edge"/>
              <c:yMode val="edge"/>
              <c:x val="2.7660956820810798E-2"/>
              <c:y val="0.244109802765966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%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437904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Lucky Core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Lucky Core vs KSE-100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>
                <a:gsLst>
                  <a:gs pos="0">
                    <a:schemeClr val="accent1">
                      <a:tint val="50000"/>
                    </a:schemeClr>
                  </a:gs>
                  <a:gs pos="35000">
                    <a:schemeClr val="accent1">
                      <a:tint val="37000"/>
                    </a:schemeClr>
                  </a:gs>
                  <a:gs pos="100000">
                    <a:schemeClr val="accent1">
                      <a:tint val="15000"/>
                    </a:schemeClr>
                  </a:gs>
                </a:gsLst>
                <a:lin ang="16200000" scaled="1"/>
                <a:tileRect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'[1]Lucky Core Industries'!$E$4:$E$1679</c:f>
              <c:numCache>
                <c:formatCode>General</c:formatCode>
                <c:ptCount val="1676"/>
                <c:pt idx="0">
                  <c:v>-6.700312870003452E-3</c:v>
                </c:pt>
                <c:pt idx="1">
                  <c:v>1.4596980822273301E-4</c:v>
                </c:pt>
                <c:pt idx="2">
                  <c:v>2.7030035829292545E-2</c:v>
                </c:pt>
                <c:pt idx="3">
                  <c:v>1.2709271207186236E-2</c:v>
                </c:pt>
                <c:pt idx="4">
                  <c:v>-3.3495934959348996E-3</c:v>
                </c:pt>
                <c:pt idx="5">
                  <c:v>4.3315179787927118E-3</c:v>
                </c:pt>
                <c:pt idx="6">
                  <c:v>-1.0539704499429804E-3</c:v>
                </c:pt>
                <c:pt idx="7">
                  <c:v>9.3080297922512167E-3</c:v>
                </c:pt>
                <c:pt idx="8">
                  <c:v>5.1156294124586037E-3</c:v>
                </c:pt>
                <c:pt idx="9">
                  <c:v>-8.6390804098633381E-3</c:v>
                </c:pt>
                <c:pt idx="10">
                  <c:v>-7.1425042918691847E-4</c:v>
                </c:pt>
                <c:pt idx="11">
                  <c:v>1.5954075908377224E-3</c:v>
                </c:pt>
                <c:pt idx="12">
                  <c:v>6.0364061923599607E-3</c:v>
                </c:pt>
                <c:pt idx="13">
                  <c:v>9.0643861220111883E-3</c:v>
                </c:pt>
                <c:pt idx="14">
                  <c:v>3.9005358349825593E-3</c:v>
                </c:pt>
                <c:pt idx="15">
                  <c:v>5.7743987757706656E-3</c:v>
                </c:pt>
                <c:pt idx="16">
                  <c:v>-6.0512554741783283E-4</c:v>
                </c:pt>
                <c:pt idx="17">
                  <c:v>3.8572171510684442E-3</c:v>
                </c:pt>
                <c:pt idx="18">
                  <c:v>5.0544172464732987E-3</c:v>
                </c:pt>
                <c:pt idx="19">
                  <c:v>-4.2511407555896342E-4</c:v>
                </c:pt>
                <c:pt idx="20">
                  <c:v>4.7380853406987292E-3</c:v>
                </c:pt>
                <c:pt idx="21">
                  <c:v>7.6763157997937811E-3</c:v>
                </c:pt>
                <c:pt idx="22">
                  <c:v>1.2202552446676474E-2</c:v>
                </c:pt>
                <c:pt idx="23">
                  <c:v>-2.6123175180508265E-3</c:v>
                </c:pt>
                <c:pt idx="24">
                  <c:v>-4.1664177047575244E-3</c:v>
                </c:pt>
                <c:pt idx="25">
                  <c:v>-1.0775958531672861E-2</c:v>
                </c:pt>
                <c:pt idx="26">
                  <c:v>-1.3716222743709233E-2</c:v>
                </c:pt>
                <c:pt idx="27">
                  <c:v>6.6891448383979485E-3</c:v>
                </c:pt>
                <c:pt idx="28">
                  <c:v>-1.2850931169062351E-3</c:v>
                </c:pt>
                <c:pt idx="29">
                  <c:v>-9.1579270083860223E-4</c:v>
                </c:pt>
                <c:pt idx="30">
                  <c:v>-5.0139506820811989E-4</c:v>
                </c:pt>
                <c:pt idx="31">
                  <c:v>-6.5997030627610795E-3</c:v>
                </c:pt>
                <c:pt idx="32">
                  <c:v>-6.5242033273934606E-3</c:v>
                </c:pt>
                <c:pt idx="33">
                  <c:v>8.0664072716041917E-3</c:v>
                </c:pt>
                <c:pt idx="34">
                  <c:v>-5.1805663344370806E-3</c:v>
                </c:pt>
                <c:pt idx="35">
                  <c:v>-1.3620921615814081E-3</c:v>
                </c:pt>
                <c:pt idx="36">
                  <c:v>-1.0229375004529338E-2</c:v>
                </c:pt>
                <c:pt idx="37">
                  <c:v>-1.9822863705945434E-2</c:v>
                </c:pt>
                <c:pt idx="38">
                  <c:v>-3.3223712426589565E-3</c:v>
                </c:pt>
                <c:pt idx="39">
                  <c:v>9.353446348651288E-3</c:v>
                </c:pt>
                <c:pt idx="40">
                  <c:v>1.2403404464518994E-2</c:v>
                </c:pt>
                <c:pt idx="41">
                  <c:v>5.3296731506427683E-3</c:v>
                </c:pt>
                <c:pt idx="42">
                  <c:v>-1.5403874339805978E-3</c:v>
                </c:pt>
                <c:pt idx="43">
                  <c:v>-3.0338755473562368E-3</c:v>
                </c:pt>
                <c:pt idx="44">
                  <c:v>-6.9247702063025517E-3</c:v>
                </c:pt>
                <c:pt idx="45">
                  <c:v>-8.7511865649040274E-3</c:v>
                </c:pt>
                <c:pt idx="46">
                  <c:v>-6.7059937771876102E-4</c:v>
                </c:pt>
                <c:pt idx="47">
                  <c:v>-7.095859096072491E-4</c:v>
                </c:pt>
                <c:pt idx="48">
                  <c:v>8.3400841566944289E-4</c:v>
                </c:pt>
                <c:pt idx="49">
                  <c:v>-3.0907605218021585E-3</c:v>
                </c:pt>
                <c:pt idx="50">
                  <c:v>-1.2926512956789833E-2</c:v>
                </c:pt>
                <c:pt idx="51">
                  <c:v>7.9729657412037653E-3</c:v>
                </c:pt>
                <c:pt idx="52">
                  <c:v>-1.6732979612492209E-3</c:v>
                </c:pt>
                <c:pt idx="53">
                  <c:v>-4.2298177637300561E-3</c:v>
                </c:pt>
                <c:pt idx="54">
                  <c:v>3.8338182052177414E-3</c:v>
                </c:pt>
                <c:pt idx="55">
                  <c:v>-1.046432472651857E-2</c:v>
                </c:pt>
                <c:pt idx="56">
                  <c:v>5.2577247666189654E-3</c:v>
                </c:pt>
                <c:pt idx="57">
                  <c:v>1.658999304184584E-2</c:v>
                </c:pt>
                <c:pt idx="58">
                  <c:v>-1.0575128814287611E-2</c:v>
                </c:pt>
                <c:pt idx="59">
                  <c:v>2.5001977799364102E-3</c:v>
                </c:pt>
                <c:pt idx="60">
                  <c:v>-7.6195350295761325E-3</c:v>
                </c:pt>
                <c:pt idx="61">
                  <c:v>-8.3123777045145449E-3</c:v>
                </c:pt>
                <c:pt idx="62">
                  <c:v>-3.4782809877886638E-4</c:v>
                </c:pt>
                <c:pt idx="63">
                  <c:v>-1.3325951797342707E-2</c:v>
                </c:pt>
                <c:pt idx="64">
                  <c:v>1.5193472884041256E-4</c:v>
                </c:pt>
                <c:pt idx="65">
                  <c:v>-1.5988034692356105E-2</c:v>
                </c:pt>
                <c:pt idx="66">
                  <c:v>5.6351364271241024E-3</c:v>
                </c:pt>
                <c:pt idx="67">
                  <c:v>-1.483033786453373E-2</c:v>
                </c:pt>
                <c:pt idx="68">
                  <c:v>5.6950211212236784E-3</c:v>
                </c:pt>
                <c:pt idx="69">
                  <c:v>1.4956925750061793E-2</c:v>
                </c:pt>
                <c:pt idx="70">
                  <c:v>4.4515126331523226E-3</c:v>
                </c:pt>
                <c:pt idx="71">
                  <c:v>-3.2564456987081046E-3</c:v>
                </c:pt>
                <c:pt idx="72">
                  <c:v>-1.6836467867513531E-2</c:v>
                </c:pt>
                <c:pt idx="73">
                  <c:v>1.6132205176400147E-3</c:v>
                </c:pt>
                <c:pt idx="74">
                  <c:v>1.3055846675500792E-2</c:v>
                </c:pt>
                <c:pt idx="75">
                  <c:v>-1.0478791026713941E-2</c:v>
                </c:pt>
                <c:pt idx="76">
                  <c:v>-1.3486103210991243E-2</c:v>
                </c:pt>
                <c:pt idx="77">
                  <c:v>2.7529919077640902E-3</c:v>
                </c:pt>
                <c:pt idx="78">
                  <c:v>7.9930419060793966E-3</c:v>
                </c:pt>
                <c:pt idx="79">
                  <c:v>9.0933723013052921E-3</c:v>
                </c:pt>
                <c:pt idx="80">
                  <c:v>-2.8106175413668065E-3</c:v>
                </c:pt>
                <c:pt idx="81">
                  <c:v>-6.5313087167568999E-3</c:v>
                </c:pt>
                <c:pt idx="82">
                  <c:v>-6.437776407633362E-3</c:v>
                </c:pt>
                <c:pt idx="83">
                  <c:v>-1.1619905312601674E-2</c:v>
                </c:pt>
                <c:pt idx="84">
                  <c:v>-1.4326902979961462E-2</c:v>
                </c:pt>
                <c:pt idx="85">
                  <c:v>7.2011508360242404E-4</c:v>
                </c:pt>
                <c:pt idx="86">
                  <c:v>-1.6727821176243392E-2</c:v>
                </c:pt>
                <c:pt idx="87">
                  <c:v>-4.2069323188819712E-3</c:v>
                </c:pt>
                <c:pt idx="88">
                  <c:v>-4.9046023176116411E-3</c:v>
                </c:pt>
                <c:pt idx="89">
                  <c:v>-2.3508973967156323E-2</c:v>
                </c:pt>
                <c:pt idx="90">
                  <c:v>-4.5102739261332391E-4</c:v>
                </c:pt>
                <c:pt idx="91">
                  <c:v>2.538874767633969E-3</c:v>
                </c:pt>
                <c:pt idx="92">
                  <c:v>-2.3681880373682115E-2</c:v>
                </c:pt>
                <c:pt idx="93">
                  <c:v>2.5302548164388848E-3</c:v>
                </c:pt>
                <c:pt idx="94">
                  <c:v>5.7611094436360328E-3</c:v>
                </c:pt>
                <c:pt idx="95">
                  <c:v>3.573459800670415E-2</c:v>
                </c:pt>
                <c:pt idx="96">
                  <c:v>2.7259756434855682E-2</c:v>
                </c:pt>
                <c:pt idx="97">
                  <c:v>3.4419726744411867E-3</c:v>
                </c:pt>
                <c:pt idx="98">
                  <c:v>-1.8037290698093712E-4</c:v>
                </c:pt>
                <c:pt idx="99">
                  <c:v>-2.0956445810994023E-2</c:v>
                </c:pt>
                <c:pt idx="100">
                  <c:v>2.8903313601882544E-2</c:v>
                </c:pt>
                <c:pt idx="101">
                  <c:v>4.271480387759367E-4</c:v>
                </c:pt>
                <c:pt idx="102">
                  <c:v>-1.3050805855989708E-2</c:v>
                </c:pt>
                <c:pt idx="103">
                  <c:v>-2.6411275615549061E-2</c:v>
                </c:pt>
                <c:pt idx="104">
                  <c:v>2.6701342733284721E-3</c:v>
                </c:pt>
                <c:pt idx="105">
                  <c:v>8.0231160838838533E-3</c:v>
                </c:pt>
                <c:pt idx="106">
                  <c:v>1.3313324515791274E-2</c:v>
                </c:pt>
                <c:pt idx="107">
                  <c:v>4.798453919391662E-3</c:v>
                </c:pt>
                <c:pt idx="108">
                  <c:v>-1.1360598432235657E-2</c:v>
                </c:pt>
                <c:pt idx="109">
                  <c:v>-1.3850336747152692E-2</c:v>
                </c:pt>
                <c:pt idx="110">
                  <c:v>-7.381410149207866E-4</c:v>
                </c:pt>
                <c:pt idx="111">
                  <c:v>9.8046174817031113E-3</c:v>
                </c:pt>
                <c:pt idx="112">
                  <c:v>3.6958604591221232E-3</c:v>
                </c:pt>
                <c:pt idx="113">
                  <c:v>-1.8599155877894191E-2</c:v>
                </c:pt>
                <c:pt idx="114">
                  <c:v>-8.1611281056045426E-3</c:v>
                </c:pt>
                <c:pt idx="115">
                  <c:v>-2.9850292273145367E-3</c:v>
                </c:pt>
                <c:pt idx="116">
                  <c:v>-9.2154083364037499E-3</c:v>
                </c:pt>
                <c:pt idx="117">
                  <c:v>3.7649795318469865E-3</c:v>
                </c:pt>
                <c:pt idx="118">
                  <c:v>2.7948549890595069E-3</c:v>
                </c:pt>
                <c:pt idx="119">
                  <c:v>9.141574987653044E-3</c:v>
                </c:pt>
                <c:pt idx="120">
                  <c:v>1.7181278166537559E-2</c:v>
                </c:pt>
                <c:pt idx="121">
                  <c:v>-9.3398917658049363E-3</c:v>
                </c:pt>
                <c:pt idx="122">
                  <c:v>-1.1009348400462757E-2</c:v>
                </c:pt>
                <c:pt idx="123">
                  <c:v>-1.3083935019634283E-2</c:v>
                </c:pt>
                <c:pt idx="124">
                  <c:v>3.345910876077462E-3</c:v>
                </c:pt>
                <c:pt idx="125">
                  <c:v>-4.5871315747651747E-4</c:v>
                </c:pt>
                <c:pt idx="126">
                  <c:v>1.0446202059393689E-3</c:v>
                </c:pt>
                <c:pt idx="127">
                  <c:v>-5.9898923702746973E-3</c:v>
                </c:pt>
                <c:pt idx="128">
                  <c:v>-2.1208410782808145E-2</c:v>
                </c:pt>
                <c:pt idx="129">
                  <c:v>7.1726891667815349E-4</c:v>
                </c:pt>
                <c:pt idx="130">
                  <c:v>-2.0388399850948872E-2</c:v>
                </c:pt>
                <c:pt idx="131">
                  <c:v>4.6187596604594051E-3</c:v>
                </c:pt>
                <c:pt idx="132">
                  <c:v>3.8750698193430878E-3</c:v>
                </c:pt>
                <c:pt idx="133">
                  <c:v>4.0304377381305484E-3</c:v>
                </c:pt>
                <c:pt idx="134">
                  <c:v>-9.6124573143072899E-3</c:v>
                </c:pt>
                <c:pt idx="135">
                  <c:v>1.3888288777645409E-3</c:v>
                </c:pt>
                <c:pt idx="136">
                  <c:v>-1.0575287242960729E-2</c:v>
                </c:pt>
                <c:pt idx="137">
                  <c:v>-1.1495402181771541E-2</c:v>
                </c:pt>
                <c:pt idx="138">
                  <c:v>-2.3983566010582448E-3</c:v>
                </c:pt>
                <c:pt idx="139">
                  <c:v>8.8558638352498695E-3</c:v>
                </c:pt>
                <c:pt idx="140">
                  <c:v>-3.1112939626431499E-3</c:v>
                </c:pt>
                <c:pt idx="141">
                  <c:v>-2.0676143271592746E-2</c:v>
                </c:pt>
                <c:pt idx="142">
                  <c:v>-5.7769524835796712E-3</c:v>
                </c:pt>
                <c:pt idx="143">
                  <c:v>-2.3329173208191875E-2</c:v>
                </c:pt>
                <c:pt idx="144">
                  <c:v>-1.7817550685411129E-2</c:v>
                </c:pt>
                <c:pt idx="145">
                  <c:v>-1.0387726402398545E-2</c:v>
                </c:pt>
                <c:pt idx="146">
                  <c:v>-2.2577675747143852E-2</c:v>
                </c:pt>
                <c:pt idx="147">
                  <c:v>2.7735103841071387E-2</c:v>
                </c:pt>
                <c:pt idx="148">
                  <c:v>2.8982742278879842E-2</c:v>
                </c:pt>
                <c:pt idx="149">
                  <c:v>1.8196719048022888E-2</c:v>
                </c:pt>
                <c:pt idx="150">
                  <c:v>2.9435552219289559E-2</c:v>
                </c:pt>
                <c:pt idx="151">
                  <c:v>-1.6761775724530369E-2</c:v>
                </c:pt>
                <c:pt idx="152">
                  <c:v>-2.6456450891084241E-2</c:v>
                </c:pt>
                <c:pt idx="153">
                  <c:v>2.1051355477939493E-3</c:v>
                </c:pt>
                <c:pt idx="154">
                  <c:v>1.7283066616315132E-3</c:v>
                </c:pt>
                <c:pt idx="155">
                  <c:v>-1.5626167882651806E-2</c:v>
                </c:pt>
                <c:pt idx="156">
                  <c:v>-1.6142466451097789E-2</c:v>
                </c:pt>
                <c:pt idx="157">
                  <c:v>1.2980872280106777E-2</c:v>
                </c:pt>
                <c:pt idx="158">
                  <c:v>-8.2379349568773696E-3</c:v>
                </c:pt>
                <c:pt idx="159">
                  <c:v>1.4594252605193992E-2</c:v>
                </c:pt>
                <c:pt idx="160">
                  <c:v>-9.9058579792245228E-4</c:v>
                </c:pt>
                <c:pt idx="161">
                  <c:v>8.354523301021332E-3</c:v>
                </c:pt>
                <c:pt idx="162">
                  <c:v>1.6005080873857821E-2</c:v>
                </c:pt>
                <c:pt idx="163">
                  <c:v>1.9117533515771168E-2</c:v>
                </c:pt>
                <c:pt idx="164">
                  <c:v>-2.0699529997042243E-3</c:v>
                </c:pt>
                <c:pt idx="165">
                  <c:v>1.4206524442597781E-2</c:v>
                </c:pt>
                <c:pt idx="166">
                  <c:v>-6.1481025602481228E-4</c:v>
                </c:pt>
                <c:pt idx="167">
                  <c:v>-1.1076839955723889E-2</c:v>
                </c:pt>
                <c:pt idx="168">
                  <c:v>1.9919208935883309E-2</c:v>
                </c:pt>
                <c:pt idx="169">
                  <c:v>-2.2660306990765389E-3</c:v>
                </c:pt>
                <c:pt idx="170">
                  <c:v>-1.1207650936903421E-2</c:v>
                </c:pt>
                <c:pt idx="171">
                  <c:v>2.4575441376880592E-3</c:v>
                </c:pt>
                <c:pt idx="172">
                  <c:v>-8.295202775812506E-3</c:v>
                </c:pt>
                <c:pt idx="173">
                  <c:v>-4.1602764562630725E-3</c:v>
                </c:pt>
                <c:pt idx="174">
                  <c:v>2.0262207445530984E-2</c:v>
                </c:pt>
                <c:pt idx="175">
                  <c:v>2.5069525839843877E-4</c:v>
                </c:pt>
                <c:pt idx="176">
                  <c:v>5.4699591787112437E-3</c:v>
                </c:pt>
                <c:pt idx="177">
                  <c:v>3.3803223878227425E-3</c:v>
                </c:pt>
                <c:pt idx="178">
                  <c:v>1.2016679361067427E-2</c:v>
                </c:pt>
                <c:pt idx="179">
                  <c:v>8.5817004938591908E-3</c:v>
                </c:pt>
                <c:pt idx="180">
                  <c:v>1.8269432197550835E-2</c:v>
                </c:pt>
                <c:pt idx="181">
                  <c:v>-4.7626380852885944E-3</c:v>
                </c:pt>
                <c:pt idx="182">
                  <c:v>1.4075495076861207E-3</c:v>
                </c:pt>
                <c:pt idx="183">
                  <c:v>1.5032928903517304E-2</c:v>
                </c:pt>
                <c:pt idx="184">
                  <c:v>1.3165450500621708E-2</c:v>
                </c:pt>
                <c:pt idx="185">
                  <c:v>-8.3951909301887874E-3</c:v>
                </c:pt>
                <c:pt idx="186">
                  <c:v>-3.0050084449133423E-3</c:v>
                </c:pt>
                <c:pt idx="187">
                  <c:v>5.7963479721730021E-3</c:v>
                </c:pt>
                <c:pt idx="188">
                  <c:v>-1.1158630020223945E-2</c:v>
                </c:pt>
                <c:pt idx="189">
                  <c:v>-8.3808869757288267E-4</c:v>
                </c:pt>
                <c:pt idx="190">
                  <c:v>-2.318915032853407E-2</c:v>
                </c:pt>
                <c:pt idx="191">
                  <c:v>3.4526502105350692E-3</c:v>
                </c:pt>
                <c:pt idx="192">
                  <c:v>7.2511307583130076E-3</c:v>
                </c:pt>
                <c:pt idx="193">
                  <c:v>9.65290049040529E-3</c:v>
                </c:pt>
                <c:pt idx="194">
                  <c:v>-3.110553490146579E-3</c:v>
                </c:pt>
                <c:pt idx="195">
                  <c:v>6.0649258737883781E-3</c:v>
                </c:pt>
                <c:pt idx="196">
                  <c:v>-1.8924096594399281E-3</c:v>
                </c:pt>
                <c:pt idx="197">
                  <c:v>-1.0681260246686382E-3</c:v>
                </c:pt>
                <c:pt idx="198">
                  <c:v>1.3099867570696744E-2</c:v>
                </c:pt>
                <c:pt idx="199">
                  <c:v>5.0851253432379288E-3</c:v>
                </c:pt>
                <c:pt idx="200">
                  <c:v>2.6175467113624201E-2</c:v>
                </c:pt>
                <c:pt idx="201">
                  <c:v>2.2918316681529382E-3</c:v>
                </c:pt>
                <c:pt idx="202">
                  <c:v>8.3437245728091667E-3</c:v>
                </c:pt>
                <c:pt idx="203">
                  <c:v>2.9503555488363934E-3</c:v>
                </c:pt>
                <c:pt idx="204">
                  <c:v>6.14231237758181E-3</c:v>
                </c:pt>
                <c:pt idx="205">
                  <c:v>2.2928910205524546E-2</c:v>
                </c:pt>
                <c:pt idx="206">
                  <c:v>-1.0200227698210444E-3</c:v>
                </c:pt>
                <c:pt idx="207">
                  <c:v>1.0917826357058113E-2</c:v>
                </c:pt>
                <c:pt idx="208">
                  <c:v>2.0512842589223861E-3</c:v>
                </c:pt>
                <c:pt idx="209">
                  <c:v>9.1477101860205981E-3</c:v>
                </c:pt>
                <c:pt idx="210">
                  <c:v>2.2021935462241887E-2</c:v>
                </c:pt>
                <c:pt idx="211">
                  <c:v>3.9782294705032794E-3</c:v>
                </c:pt>
                <c:pt idx="212">
                  <c:v>-1.3657425234743944E-2</c:v>
                </c:pt>
                <c:pt idx="213">
                  <c:v>-2.4616906183552799E-2</c:v>
                </c:pt>
                <c:pt idx="214">
                  <c:v>2.2222395920791026E-2</c:v>
                </c:pt>
                <c:pt idx="215">
                  <c:v>7.5539626201589459E-3</c:v>
                </c:pt>
                <c:pt idx="216">
                  <c:v>-1.0918741305151013E-2</c:v>
                </c:pt>
                <c:pt idx="217">
                  <c:v>8.6696538303295857E-3</c:v>
                </c:pt>
                <c:pt idx="218">
                  <c:v>1.5307144925650521E-2</c:v>
                </c:pt>
                <c:pt idx="219">
                  <c:v>1.5020305495724716E-2</c:v>
                </c:pt>
                <c:pt idx="220">
                  <c:v>2.1293459904066538E-2</c:v>
                </c:pt>
                <c:pt idx="221">
                  <c:v>-8.3612840324372145E-3</c:v>
                </c:pt>
                <c:pt idx="222">
                  <c:v>1.2108705153444041E-2</c:v>
                </c:pt>
                <c:pt idx="223">
                  <c:v>9.2022650812555139E-3</c:v>
                </c:pt>
                <c:pt idx="224">
                  <c:v>2.2428034674258682E-3</c:v>
                </c:pt>
                <c:pt idx="225">
                  <c:v>-7.1061628071122287E-3</c:v>
                </c:pt>
                <c:pt idx="226">
                  <c:v>5.4842889216373649E-3</c:v>
                </c:pt>
                <c:pt idx="227">
                  <c:v>-3.2750844715059364E-3</c:v>
                </c:pt>
                <c:pt idx="228">
                  <c:v>-4.2559574769401122E-4</c:v>
                </c:pt>
                <c:pt idx="229">
                  <c:v>9.9328210352081329E-3</c:v>
                </c:pt>
                <c:pt idx="230">
                  <c:v>1.7799381620022609E-2</c:v>
                </c:pt>
                <c:pt idx="231">
                  <c:v>2.9722741427038839E-3</c:v>
                </c:pt>
                <c:pt idx="232">
                  <c:v>-3.9491331539006601E-3</c:v>
                </c:pt>
                <c:pt idx="233">
                  <c:v>-2.2794601731432041E-2</c:v>
                </c:pt>
                <c:pt idx="234">
                  <c:v>4.3689185463075438E-3</c:v>
                </c:pt>
                <c:pt idx="235">
                  <c:v>-2.0196904512748078E-2</c:v>
                </c:pt>
                <c:pt idx="236">
                  <c:v>7.9990921881439771E-3</c:v>
                </c:pt>
                <c:pt idx="237">
                  <c:v>1.9824034326250167E-2</c:v>
                </c:pt>
                <c:pt idx="238">
                  <c:v>-6.7900560667130917E-3</c:v>
                </c:pt>
                <c:pt idx="239">
                  <c:v>9.5694998081947589E-4</c:v>
                </c:pt>
                <c:pt idx="240">
                  <c:v>-3.7307135998622776E-3</c:v>
                </c:pt>
                <c:pt idx="241">
                  <c:v>1.6323031647415404E-2</c:v>
                </c:pt>
                <c:pt idx="242">
                  <c:v>2.6105314009661883E-2</c:v>
                </c:pt>
                <c:pt idx="243">
                  <c:v>-3.7066191847791594E-3</c:v>
                </c:pt>
                <c:pt idx="244">
                  <c:v>-2.4267011315280352E-2</c:v>
                </c:pt>
                <c:pt idx="245">
                  <c:v>1.4728459540142232E-2</c:v>
                </c:pt>
                <c:pt idx="246">
                  <c:v>-1.305135227816993E-2</c:v>
                </c:pt>
                <c:pt idx="247">
                  <c:v>2.8181304699793751E-2</c:v>
                </c:pt>
                <c:pt idx="248">
                  <c:v>1.6084915788065236E-2</c:v>
                </c:pt>
                <c:pt idx="249">
                  <c:v>2.6893759236039816E-4</c:v>
                </c:pt>
                <c:pt idx="250">
                  <c:v>-2.6909666586216979E-4</c:v>
                </c:pt>
                <c:pt idx="251">
                  <c:v>-4.9531280087689884E-3</c:v>
                </c:pt>
                <c:pt idx="252">
                  <c:v>1.676318231117921E-3</c:v>
                </c:pt>
                <c:pt idx="253">
                  <c:v>2.3840650549980902E-3</c:v>
                </c:pt>
                <c:pt idx="254">
                  <c:v>-9.7327242060453768E-3</c:v>
                </c:pt>
                <c:pt idx="255">
                  <c:v>-2.8340752458088131E-3</c:v>
                </c:pt>
                <c:pt idx="256">
                  <c:v>-1.5298002556159082E-3</c:v>
                </c:pt>
                <c:pt idx="257">
                  <c:v>-1.2762777050590764E-3</c:v>
                </c:pt>
                <c:pt idx="258">
                  <c:v>2.9661031901842346E-3</c:v>
                </c:pt>
                <c:pt idx="259">
                  <c:v>-2.2001720262433996E-3</c:v>
                </c:pt>
                <c:pt idx="260">
                  <c:v>-5.6427913716350971E-3</c:v>
                </c:pt>
                <c:pt idx="261">
                  <c:v>-9.4680300024658909E-3</c:v>
                </c:pt>
                <c:pt idx="262">
                  <c:v>1.1480069787379914E-4</c:v>
                </c:pt>
                <c:pt idx="263">
                  <c:v>-6.5047056917188961E-3</c:v>
                </c:pt>
                <c:pt idx="264">
                  <c:v>-2.9342599518531288E-2</c:v>
                </c:pt>
                <c:pt idx="265">
                  <c:v>1.1751479483228959E-2</c:v>
                </c:pt>
                <c:pt idx="266">
                  <c:v>-3.9095739802001142E-3</c:v>
                </c:pt>
                <c:pt idx="267">
                  <c:v>-1.4261225638382632E-2</c:v>
                </c:pt>
                <c:pt idx="268">
                  <c:v>-2.109749417279903E-2</c:v>
                </c:pt>
                <c:pt idx="269">
                  <c:v>1.0630918117806382E-2</c:v>
                </c:pt>
                <c:pt idx="270">
                  <c:v>2.0563542850639244E-2</c:v>
                </c:pt>
                <c:pt idx="271">
                  <c:v>-1.867453485752681E-3</c:v>
                </c:pt>
                <c:pt idx="272">
                  <c:v>-5.2447829018792101E-3</c:v>
                </c:pt>
                <c:pt idx="273">
                  <c:v>-1.6874875444982214E-3</c:v>
                </c:pt>
                <c:pt idx="274">
                  <c:v>9.9356943996753797E-3</c:v>
                </c:pt>
                <c:pt idx="275">
                  <c:v>-2.2888748899554537E-3</c:v>
                </c:pt>
                <c:pt idx="276">
                  <c:v>-5.7416137929160562E-3</c:v>
                </c:pt>
                <c:pt idx="277">
                  <c:v>-2.7466122324854941E-2</c:v>
                </c:pt>
                <c:pt idx="278">
                  <c:v>-7.2880126651191923E-3</c:v>
                </c:pt>
                <c:pt idx="279">
                  <c:v>-1.3384990909313043E-2</c:v>
                </c:pt>
                <c:pt idx="280">
                  <c:v>-6.5472335388631177E-3</c:v>
                </c:pt>
                <c:pt idx="281">
                  <c:v>-2.7226909113058383E-3</c:v>
                </c:pt>
                <c:pt idx="282">
                  <c:v>3.4559107320471301E-2</c:v>
                </c:pt>
                <c:pt idx="283">
                  <c:v>-2.4587556589297874E-3</c:v>
                </c:pt>
                <c:pt idx="284">
                  <c:v>-7.4816937281120361E-3</c:v>
                </c:pt>
                <c:pt idx="285">
                  <c:v>1.2227037196965001E-2</c:v>
                </c:pt>
                <c:pt idx="286">
                  <c:v>-2.9516955795410717E-2</c:v>
                </c:pt>
                <c:pt idx="287">
                  <c:v>-3.0369702302505523E-2</c:v>
                </c:pt>
                <c:pt idx="288">
                  <c:v>1.7183433421616181E-2</c:v>
                </c:pt>
                <c:pt idx="289">
                  <c:v>-5.9688426414118299E-4</c:v>
                </c:pt>
                <c:pt idx="290">
                  <c:v>-4.55644256866609E-2</c:v>
                </c:pt>
                <c:pt idx="291">
                  <c:v>2.8976527038499663E-3</c:v>
                </c:pt>
                <c:pt idx="292">
                  <c:v>-6.5887743172102123E-2</c:v>
                </c:pt>
                <c:pt idx="293">
                  <c:v>-3.1704997875903577E-2</c:v>
                </c:pt>
                <c:pt idx="294">
                  <c:v>-6.7476614138731045E-2</c:v>
                </c:pt>
                <c:pt idx="295">
                  <c:v>-9.4101633841342826E-3</c:v>
                </c:pt>
                <c:pt idx="296">
                  <c:v>1.7842118591442371E-2</c:v>
                </c:pt>
                <c:pt idx="297">
                  <c:v>-6.8560729451883878E-2</c:v>
                </c:pt>
                <c:pt idx="298">
                  <c:v>-4.542754149070731E-2</c:v>
                </c:pt>
                <c:pt idx="299">
                  <c:v>3.089316101396546E-2</c:v>
                </c:pt>
                <c:pt idx="300">
                  <c:v>-3.0658597765814378E-3</c:v>
                </c:pt>
                <c:pt idx="301">
                  <c:v>4.3115411804210753E-2</c:v>
                </c:pt>
                <c:pt idx="302">
                  <c:v>9.3713556171858593E-3</c:v>
                </c:pt>
                <c:pt idx="303">
                  <c:v>4.3283014020742527E-2</c:v>
                </c:pt>
                <c:pt idx="304">
                  <c:v>2.7259827448310219E-2</c:v>
                </c:pt>
                <c:pt idx="305">
                  <c:v>-3.2972200498453737E-2</c:v>
                </c:pt>
                <c:pt idx="306">
                  <c:v>2.1334798383866059E-2</c:v>
                </c:pt>
                <c:pt idx="307">
                  <c:v>-8.3338803229426276E-3</c:v>
                </c:pt>
                <c:pt idx="308">
                  <c:v>2.7962366412484823E-2</c:v>
                </c:pt>
                <c:pt idx="309">
                  <c:v>6.1531599727364271E-3</c:v>
                </c:pt>
                <c:pt idx="310">
                  <c:v>-3.1224167426295191E-2</c:v>
                </c:pt>
                <c:pt idx="311">
                  <c:v>6.1144607722298109E-3</c:v>
                </c:pt>
                <c:pt idx="312">
                  <c:v>3.4180216086095428E-3</c:v>
                </c:pt>
                <c:pt idx="313">
                  <c:v>4.7953906642502063E-2</c:v>
                </c:pt>
                <c:pt idx="314">
                  <c:v>2.0340626763722877E-2</c:v>
                </c:pt>
                <c:pt idx="315">
                  <c:v>-3.2144216432111967E-2</c:v>
                </c:pt>
                <c:pt idx="316">
                  <c:v>1.2768780516690806E-3</c:v>
                </c:pt>
                <c:pt idx="317">
                  <c:v>1.190849128409952E-2</c:v>
                </c:pt>
                <c:pt idx="318">
                  <c:v>-1.3530860559688861E-3</c:v>
                </c:pt>
                <c:pt idx="319">
                  <c:v>-1.4991291328089162E-2</c:v>
                </c:pt>
                <c:pt idx="320">
                  <c:v>7.3904743278341541E-3</c:v>
                </c:pt>
                <c:pt idx="321">
                  <c:v>1.859867743420876E-2</c:v>
                </c:pt>
                <c:pt idx="322">
                  <c:v>2.873441893624756E-2</c:v>
                </c:pt>
                <c:pt idx="323">
                  <c:v>-5.7165237438012361E-3</c:v>
                </c:pt>
                <c:pt idx="324">
                  <c:v>2.2440312483783943E-3</c:v>
                </c:pt>
                <c:pt idx="325">
                  <c:v>-7.7831302262982459E-3</c:v>
                </c:pt>
                <c:pt idx="326">
                  <c:v>-1.2571683381670662E-2</c:v>
                </c:pt>
                <c:pt idx="327">
                  <c:v>-1.0950583951074328E-3</c:v>
                </c:pt>
                <c:pt idx="328">
                  <c:v>4.8395304873883769E-4</c:v>
                </c:pt>
                <c:pt idx="329">
                  <c:v>9.5911553341730595E-3</c:v>
                </c:pt>
                <c:pt idx="330">
                  <c:v>2.6789258822571328E-3</c:v>
                </c:pt>
                <c:pt idx="331">
                  <c:v>3.3199735019458195E-3</c:v>
                </c:pt>
                <c:pt idx="332">
                  <c:v>6.017766655129886E-3</c:v>
                </c:pt>
                <c:pt idx="333">
                  <c:v>-5.9797114412851373E-3</c:v>
                </c:pt>
                <c:pt idx="334">
                  <c:v>1.0459408779241683E-2</c:v>
                </c:pt>
                <c:pt idx="335">
                  <c:v>-6.6085943343615356E-3</c:v>
                </c:pt>
                <c:pt idx="336">
                  <c:v>-2.8350142531666871E-3</c:v>
                </c:pt>
                <c:pt idx="337">
                  <c:v>-4.1726993336508094E-3</c:v>
                </c:pt>
                <c:pt idx="338">
                  <c:v>6.9982804784746696E-3</c:v>
                </c:pt>
                <c:pt idx="339">
                  <c:v>2.6742325580298137E-3</c:v>
                </c:pt>
                <c:pt idx="340">
                  <c:v>1.1347961332045197E-2</c:v>
                </c:pt>
                <c:pt idx="341">
                  <c:v>-1.9268746703183284E-4</c:v>
                </c:pt>
                <c:pt idx="342">
                  <c:v>-8.1982080972238594E-3</c:v>
                </c:pt>
                <c:pt idx="343">
                  <c:v>6.7712230494155626E-3</c:v>
                </c:pt>
                <c:pt idx="344">
                  <c:v>1.1619945258311296E-2</c:v>
                </c:pt>
                <c:pt idx="345">
                  <c:v>1.554839383623994E-3</c:v>
                </c:pt>
                <c:pt idx="346">
                  <c:v>7.5130158949075158E-3</c:v>
                </c:pt>
                <c:pt idx="347">
                  <c:v>1.8109184407963704E-3</c:v>
                </c:pt>
                <c:pt idx="348">
                  <c:v>-1.4788243646626342E-2</c:v>
                </c:pt>
                <c:pt idx="349">
                  <c:v>-2.2669766815596553E-2</c:v>
                </c:pt>
                <c:pt idx="350">
                  <c:v>5.7535201544678862E-3</c:v>
                </c:pt>
                <c:pt idx="351">
                  <c:v>-5.0101237186618089E-3</c:v>
                </c:pt>
                <c:pt idx="352">
                  <c:v>-9.1238417569016496E-3</c:v>
                </c:pt>
                <c:pt idx="353">
                  <c:v>-3.0086598479121471E-3</c:v>
                </c:pt>
                <c:pt idx="354">
                  <c:v>8.9410728928607155E-3</c:v>
                </c:pt>
                <c:pt idx="355">
                  <c:v>9.3274866974609686E-3</c:v>
                </c:pt>
                <c:pt idx="356">
                  <c:v>-5.2741919048199617E-4</c:v>
                </c:pt>
                <c:pt idx="357">
                  <c:v>-9.5496795177856704E-3</c:v>
                </c:pt>
                <c:pt idx="358">
                  <c:v>6.8188229891577154E-3</c:v>
                </c:pt>
                <c:pt idx="359">
                  <c:v>7.1394708641763609E-3</c:v>
                </c:pt>
                <c:pt idx="360">
                  <c:v>7.0247909706333579E-3</c:v>
                </c:pt>
                <c:pt idx="361">
                  <c:v>1.3581171532558476E-2</c:v>
                </c:pt>
                <c:pt idx="362">
                  <c:v>2.5443250545078518E-3</c:v>
                </c:pt>
                <c:pt idx="363">
                  <c:v>2.0927332411233828E-3</c:v>
                </c:pt>
                <c:pt idx="364">
                  <c:v>4.3190881500243198E-3</c:v>
                </c:pt>
                <c:pt idx="365">
                  <c:v>4.8456414083324056E-3</c:v>
                </c:pt>
                <c:pt idx="366">
                  <c:v>9.0898939455833529E-3</c:v>
                </c:pt>
                <c:pt idx="367">
                  <c:v>1.2530645142764099E-2</c:v>
                </c:pt>
                <c:pt idx="368">
                  <c:v>1.3344522478866987E-3</c:v>
                </c:pt>
                <c:pt idx="369">
                  <c:v>1.1831038065343247E-2</c:v>
                </c:pt>
                <c:pt idx="370">
                  <c:v>3.4586276853520348E-3</c:v>
                </c:pt>
                <c:pt idx="371">
                  <c:v>-1.801322729868057E-3</c:v>
                </c:pt>
                <c:pt idx="372">
                  <c:v>8.790036159625909E-3</c:v>
                </c:pt>
                <c:pt idx="373">
                  <c:v>8.9026264923742476E-3</c:v>
                </c:pt>
                <c:pt idx="374">
                  <c:v>8.5644982635005949E-3</c:v>
                </c:pt>
                <c:pt idx="375">
                  <c:v>1.3210955371989843E-3</c:v>
                </c:pt>
                <c:pt idx="376">
                  <c:v>2.7665555004720895E-3</c:v>
                </c:pt>
                <c:pt idx="377">
                  <c:v>-5.9886876230174427E-3</c:v>
                </c:pt>
                <c:pt idx="378">
                  <c:v>7.8263440435304111E-4</c:v>
                </c:pt>
                <c:pt idx="379">
                  <c:v>1.6314246953144092E-2</c:v>
                </c:pt>
                <c:pt idx="380">
                  <c:v>1.0625266213793439E-2</c:v>
                </c:pt>
                <c:pt idx="381">
                  <c:v>5.4106852490481468E-3</c:v>
                </c:pt>
                <c:pt idx="382">
                  <c:v>1.0870508419063046E-2</c:v>
                </c:pt>
                <c:pt idx="383">
                  <c:v>1.5618807064162464E-2</c:v>
                </c:pt>
                <c:pt idx="384">
                  <c:v>-7.3734168246528788E-3</c:v>
                </c:pt>
                <c:pt idx="385">
                  <c:v>7.7104181605664058E-3</c:v>
                </c:pt>
                <c:pt idx="386">
                  <c:v>7.1043192074374904E-3</c:v>
                </c:pt>
                <c:pt idx="387">
                  <c:v>-3.3966437385537932E-3</c:v>
                </c:pt>
                <c:pt idx="388">
                  <c:v>-2.8711189119875842E-3</c:v>
                </c:pt>
                <c:pt idx="389">
                  <c:v>1.6144153190448832E-2</c:v>
                </c:pt>
                <c:pt idx="390">
                  <c:v>-2.1196203569355167E-3</c:v>
                </c:pt>
                <c:pt idx="391">
                  <c:v>-4.507676441534921E-3</c:v>
                </c:pt>
                <c:pt idx="392">
                  <c:v>-4.1756492931129575E-3</c:v>
                </c:pt>
                <c:pt idx="393">
                  <c:v>1.5330550190043501E-3</c:v>
                </c:pt>
                <c:pt idx="394">
                  <c:v>-7.4407705950703905E-4</c:v>
                </c:pt>
                <c:pt idx="395">
                  <c:v>-7.1116007800944327E-3</c:v>
                </c:pt>
                <c:pt idx="396">
                  <c:v>-6.1943562030725065E-3</c:v>
                </c:pt>
                <c:pt idx="397">
                  <c:v>4.568468857509304E-3</c:v>
                </c:pt>
                <c:pt idx="398">
                  <c:v>1.2316280845974916E-2</c:v>
                </c:pt>
                <c:pt idx="399">
                  <c:v>1.4140732765787969E-2</c:v>
                </c:pt>
                <c:pt idx="400">
                  <c:v>5.367990624187205E-3</c:v>
                </c:pt>
                <c:pt idx="401">
                  <c:v>-6.2606585764939928E-4</c:v>
                </c:pt>
                <c:pt idx="402">
                  <c:v>1.3325630075052971E-3</c:v>
                </c:pt>
                <c:pt idx="403">
                  <c:v>6.4783258369489997E-3</c:v>
                </c:pt>
                <c:pt idx="404">
                  <c:v>1.1058972972110684E-2</c:v>
                </c:pt>
                <c:pt idx="405">
                  <c:v>8.4441560086865874E-3</c:v>
                </c:pt>
                <c:pt idx="406">
                  <c:v>-3.9136619298660354E-3</c:v>
                </c:pt>
                <c:pt idx="407">
                  <c:v>6.49049330128739E-3</c:v>
                </c:pt>
                <c:pt idx="408">
                  <c:v>-7.3425817014711329E-3</c:v>
                </c:pt>
                <c:pt idx="409">
                  <c:v>8.8269220646608167E-4</c:v>
                </c:pt>
                <c:pt idx="410">
                  <c:v>1.4875452885078704E-2</c:v>
                </c:pt>
                <c:pt idx="411">
                  <c:v>-2.735926147814584E-3</c:v>
                </c:pt>
                <c:pt idx="412">
                  <c:v>1.5047964210284436E-5</c:v>
                </c:pt>
                <c:pt idx="413">
                  <c:v>-4.3471503699274586E-3</c:v>
                </c:pt>
                <c:pt idx="414">
                  <c:v>-1.5146498806746691E-3</c:v>
                </c:pt>
                <c:pt idx="415">
                  <c:v>1.2411818851775071E-3</c:v>
                </c:pt>
                <c:pt idx="416">
                  <c:v>4.0156127021860992E-3</c:v>
                </c:pt>
                <c:pt idx="417">
                  <c:v>-7.7786582020461861E-3</c:v>
                </c:pt>
                <c:pt idx="418">
                  <c:v>-8.1855867566205612E-3</c:v>
                </c:pt>
                <c:pt idx="419">
                  <c:v>1.1319922034783727E-3</c:v>
                </c:pt>
                <c:pt idx="420">
                  <c:v>-1.6689647069723851E-3</c:v>
                </c:pt>
                <c:pt idx="421">
                  <c:v>-2.5149277490487554E-3</c:v>
                </c:pt>
                <c:pt idx="422">
                  <c:v>-2.3027618130208774E-2</c:v>
                </c:pt>
                <c:pt idx="423">
                  <c:v>1.1374550667080751E-2</c:v>
                </c:pt>
                <c:pt idx="424">
                  <c:v>-1.5359539621535133E-2</c:v>
                </c:pt>
                <c:pt idx="425">
                  <c:v>2.5988699450943138E-3</c:v>
                </c:pt>
                <c:pt idx="426">
                  <c:v>-1.490009568079384E-2</c:v>
                </c:pt>
                <c:pt idx="427">
                  <c:v>-2.4914881972746772E-2</c:v>
                </c:pt>
                <c:pt idx="428">
                  <c:v>1.4078966597197986E-3</c:v>
                </c:pt>
                <c:pt idx="429">
                  <c:v>1.8464772073233337E-2</c:v>
                </c:pt>
                <c:pt idx="430">
                  <c:v>1.2638908545955969E-2</c:v>
                </c:pt>
                <c:pt idx="431">
                  <c:v>1.1022802910866426E-2</c:v>
                </c:pt>
                <c:pt idx="432">
                  <c:v>-1.4427270853314713E-2</c:v>
                </c:pt>
                <c:pt idx="433">
                  <c:v>-5.0522484308559816E-3</c:v>
                </c:pt>
                <c:pt idx="434">
                  <c:v>3.439926392274154E-3</c:v>
                </c:pt>
                <c:pt idx="435">
                  <c:v>-1.8881888308400251E-3</c:v>
                </c:pt>
                <c:pt idx="436">
                  <c:v>2.3841677088405088E-3</c:v>
                </c:pt>
                <c:pt idx="437">
                  <c:v>4.3857661658370222E-3</c:v>
                </c:pt>
                <c:pt idx="438">
                  <c:v>1.5280302487570169E-2</c:v>
                </c:pt>
                <c:pt idx="439">
                  <c:v>1.4145224039702448E-2</c:v>
                </c:pt>
                <c:pt idx="440">
                  <c:v>-8.1110518317639643E-3</c:v>
                </c:pt>
                <c:pt idx="441">
                  <c:v>1.6257668264925526E-3</c:v>
                </c:pt>
                <c:pt idx="442">
                  <c:v>1.4163475985072485E-2</c:v>
                </c:pt>
                <c:pt idx="443">
                  <c:v>-1.119796265131549E-2</c:v>
                </c:pt>
                <c:pt idx="444">
                  <c:v>-4.7114881096365522E-3</c:v>
                </c:pt>
                <c:pt idx="445">
                  <c:v>-3.153578592784205E-2</c:v>
                </c:pt>
                <c:pt idx="446">
                  <c:v>-1.9449959887685511E-2</c:v>
                </c:pt>
                <c:pt idx="447">
                  <c:v>3.4994214078581075E-2</c:v>
                </c:pt>
                <c:pt idx="448">
                  <c:v>-4.9139247961012275E-3</c:v>
                </c:pt>
                <c:pt idx="449">
                  <c:v>1.9595372221212767E-2</c:v>
                </c:pt>
                <c:pt idx="450">
                  <c:v>-8.2707389344871558E-3</c:v>
                </c:pt>
                <c:pt idx="451">
                  <c:v>1.2872066682362983E-3</c:v>
                </c:pt>
                <c:pt idx="452">
                  <c:v>9.0479020714966454E-3</c:v>
                </c:pt>
                <c:pt idx="453">
                  <c:v>1.0757404372214647E-3</c:v>
                </c:pt>
                <c:pt idx="454">
                  <c:v>-1.5359494258364302E-2</c:v>
                </c:pt>
                <c:pt idx="455">
                  <c:v>1.1832992107630022E-4</c:v>
                </c:pt>
                <c:pt idx="456">
                  <c:v>-1.5923351002665447E-3</c:v>
                </c:pt>
                <c:pt idx="457">
                  <c:v>3.6519173677160891E-3</c:v>
                </c:pt>
                <c:pt idx="458">
                  <c:v>-3.3946109812713408E-3</c:v>
                </c:pt>
                <c:pt idx="459">
                  <c:v>6.4248332764400742E-4</c:v>
                </c:pt>
                <c:pt idx="460">
                  <c:v>-8.7201257008388319E-3</c:v>
                </c:pt>
                <c:pt idx="461">
                  <c:v>-1.380191394370054E-2</c:v>
                </c:pt>
                <c:pt idx="462">
                  <c:v>5.824509771268741E-3</c:v>
                </c:pt>
                <c:pt idx="463">
                  <c:v>1.2898310629108992E-2</c:v>
                </c:pt>
                <c:pt idx="464">
                  <c:v>1.6184744336763542E-2</c:v>
                </c:pt>
                <c:pt idx="465">
                  <c:v>-5.4578205811553438E-3</c:v>
                </c:pt>
                <c:pt idx="466">
                  <c:v>6.4138364191125424E-3</c:v>
                </c:pt>
                <c:pt idx="467">
                  <c:v>1.4523183281136325E-2</c:v>
                </c:pt>
                <c:pt idx="468">
                  <c:v>8.6909313200178619E-3</c:v>
                </c:pt>
                <c:pt idx="469">
                  <c:v>4.8397021180011186E-4</c:v>
                </c:pt>
                <c:pt idx="470">
                  <c:v>3.7880769753984005E-3</c:v>
                </c:pt>
                <c:pt idx="471">
                  <c:v>-2.1723884663681931E-3</c:v>
                </c:pt>
                <c:pt idx="472">
                  <c:v>-3.2126084314703697E-4</c:v>
                </c:pt>
                <c:pt idx="473">
                  <c:v>2.428638409112394E-3</c:v>
                </c:pt>
                <c:pt idx="474">
                  <c:v>2.4123288700154386E-3</c:v>
                </c:pt>
                <c:pt idx="475">
                  <c:v>3.8895339272309194E-3</c:v>
                </c:pt>
                <c:pt idx="476">
                  <c:v>1.8738466964866623E-2</c:v>
                </c:pt>
                <c:pt idx="477">
                  <c:v>-3.5547362353366337E-4</c:v>
                </c:pt>
                <c:pt idx="478">
                  <c:v>2.5282745953605947E-3</c:v>
                </c:pt>
                <c:pt idx="479">
                  <c:v>9.3749589196910794E-3</c:v>
                </c:pt>
                <c:pt idx="480">
                  <c:v>-5.9725786894095523E-4</c:v>
                </c:pt>
                <c:pt idx="481">
                  <c:v>-9.3000659571038959E-3</c:v>
                </c:pt>
                <c:pt idx="482">
                  <c:v>-9.8495953270613876E-3</c:v>
                </c:pt>
                <c:pt idx="483">
                  <c:v>4.2128382960890422E-3</c:v>
                </c:pt>
                <c:pt idx="484">
                  <c:v>7.6372143326285625E-3</c:v>
                </c:pt>
                <c:pt idx="485">
                  <c:v>5.9311183213307224E-3</c:v>
                </c:pt>
                <c:pt idx="486">
                  <c:v>-9.5875650382787284E-3</c:v>
                </c:pt>
                <c:pt idx="487">
                  <c:v>1.0153841530162005E-2</c:v>
                </c:pt>
                <c:pt idx="488">
                  <c:v>1.3873517099074429E-3</c:v>
                </c:pt>
                <c:pt idx="489">
                  <c:v>1.552769053771229E-2</c:v>
                </c:pt>
                <c:pt idx="490">
                  <c:v>5.6635789966421862E-3</c:v>
                </c:pt>
                <c:pt idx="491">
                  <c:v>-8.0628449870495081E-4</c:v>
                </c:pt>
                <c:pt idx="492">
                  <c:v>1.1265065084479544E-2</c:v>
                </c:pt>
                <c:pt idx="493">
                  <c:v>4.2326804924190152E-3</c:v>
                </c:pt>
                <c:pt idx="494">
                  <c:v>6.8321345855530922E-3</c:v>
                </c:pt>
                <c:pt idx="495">
                  <c:v>-1.0715301108284176E-3</c:v>
                </c:pt>
                <c:pt idx="496">
                  <c:v>6.9425958581239384E-3</c:v>
                </c:pt>
                <c:pt idx="497">
                  <c:v>3.7001840510569269E-3</c:v>
                </c:pt>
                <c:pt idx="498">
                  <c:v>-2.2262017063279711E-3</c:v>
                </c:pt>
                <c:pt idx="499">
                  <c:v>-1.268772009171657E-3</c:v>
                </c:pt>
                <c:pt idx="500">
                  <c:v>-4.4484117480568615E-3</c:v>
                </c:pt>
                <c:pt idx="501">
                  <c:v>3.8609844405936076E-3</c:v>
                </c:pt>
                <c:pt idx="502">
                  <c:v>-4.9297184533637576E-3</c:v>
                </c:pt>
                <c:pt idx="503">
                  <c:v>6.7325000317446128E-3</c:v>
                </c:pt>
                <c:pt idx="504">
                  <c:v>-2.5317248479159752E-3</c:v>
                </c:pt>
                <c:pt idx="505">
                  <c:v>4.7876473466055783E-3</c:v>
                </c:pt>
                <c:pt idx="506">
                  <c:v>4.3339168592706843E-3</c:v>
                </c:pt>
                <c:pt idx="507">
                  <c:v>3.6889104546422805E-3</c:v>
                </c:pt>
                <c:pt idx="508">
                  <c:v>-6.2869512828001147E-3</c:v>
                </c:pt>
                <c:pt idx="509">
                  <c:v>4.7543595347663047E-3</c:v>
                </c:pt>
                <c:pt idx="510">
                  <c:v>-2.9554468914235726E-3</c:v>
                </c:pt>
                <c:pt idx="511">
                  <c:v>7.1762405010329959E-3</c:v>
                </c:pt>
                <c:pt idx="512">
                  <c:v>7.5845302975461517E-3</c:v>
                </c:pt>
                <c:pt idx="513">
                  <c:v>-5.9317806868969031E-4</c:v>
                </c:pt>
                <c:pt idx="514">
                  <c:v>-3.9210511111740839E-3</c:v>
                </c:pt>
                <c:pt idx="515">
                  <c:v>-1.0080932120226742E-3</c:v>
                </c:pt>
                <c:pt idx="516">
                  <c:v>-6.5302946324097429E-4</c:v>
                </c:pt>
                <c:pt idx="517">
                  <c:v>-1.2622552513930517E-2</c:v>
                </c:pt>
                <c:pt idx="518">
                  <c:v>-5.3665662661065653E-3</c:v>
                </c:pt>
                <c:pt idx="519">
                  <c:v>1.238267425421901E-2</c:v>
                </c:pt>
                <c:pt idx="520">
                  <c:v>1.0616792152940816E-2</c:v>
                </c:pt>
                <c:pt idx="521">
                  <c:v>-2.1296002918838497E-3</c:v>
                </c:pt>
                <c:pt idx="522">
                  <c:v>-1.3372351348589049E-2</c:v>
                </c:pt>
                <c:pt idx="523">
                  <c:v>1.8401594703739634E-3</c:v>
                </c:pt>
                <c:pt idx="524">
                  <c:v>-7.3032049000976811E-3</c:v>
                </c:pt>
                <c:pt idx="525">
                  <c:v>-3.5147060233549779E-3</c:v>
                </c:pt>
                <c:pt idx="526">
                  <c:v>-8.0074351474728311E-3</c:v>
                </c:pt>
                <c:pt idx="527">
                  <c:v>1.329377650036662E-2</c:v>
                </c:pt>
                <c:pt idx="528">
                  <c:v>-2.1885922565605732E-3</c:v>
                </c:pt>
                <c:pt idx="529">
                  <c:v>-5.9215061936089101E-3</c:v>
                </c:pt>
                <c:pt idx="530">
                  <c:v>8.133628024914916E-3</c:v>
                </c:pt>
                <c:pt idx="531">
                  <c:v>4.275277296909144E-3</c:v>
                </c:pt>
                <c:pt idx="532">
                  <c:v>-1.9112545325273966E-2</c:v>
                </c:pt>
                <c:pt idx="533">
                  <c:v>1.2341831768831711E-2</c:v>
                </c:pt>
                <c:pt idx="534">
                  <c:v>-1.7154133037795501E-2</c:v>
                </c:pt>
                <c:pt idx="535">
                  <c:v>-1.8382257461257826E-2</c:v>
                </c:pt>
                <c:pt idx="536">
                  <c:v>-1.2012551865085385E-2</c:v>
                </c:pt>
                <c:pt idx="537">
                  <c:v>-2.0871708297781139E-2</c:v>
                </c:pt>
                <c:pt idx="538">
                  <c:v>2.3570024703270884E-2</c:v>
                </c:pt>
                <c:pt idx="539">
                  <c:v>2.2346492470096763E-2</c:v>
                </c:pt>
                <c:pt idx="540">
                  <c:v>2.0209267670376761E-3</c:v>
                </c:pt>
                <c:pt idx="541">
                  <c:v>1.3225342900314912E-2</c:v>
                </c:pt>
                <c:pt idx="542">
                  <c:v>-1.5978328860683264E-2</c:v>
                </c:pt>
                <c:pt idx="543">
                  <c:v>3.9625177393212739E-3</c:v>
                </c:pt>
                <c:pt idx="544">
                  <c:v>1.1269604383480217E-2</c:v>
                </c:pt>
                <c:pt idx="545">
                  <c:v>3.014050815143735E-3</c:v>
                </c:pt>
                <c:pt idx="546">
                  <c:v>3.9954602332372396E-3</c:v>
                </c:pt>
                <c:pt idx="547">
                  <c:v>-4.4729319059375657E-3</c:v>
                </c:pt>
                <c:pt idx="548">
                  <c:v>-2.3940926544150431E-2</c:v>
                </c:pt>
                <c:pt idx="549">
                  <c:v>1.3330542539351528E-3</c:v>
                </c:pt>
                <c:pt idx="550">
                  <c:v>2.1761689940646397E-3</c:v>
                </c:pt>
                <c:pt idx="551">
                  <c:v>-3.5828146008385696E-3</c:v>
                </c:pt>
                <c:pt idx="552">
                  <c:v>-2.8619274738285335E-3</c:v>
                </c:pt>
                <c:pt idx="553">
                  <c:v>-1.69915092114277E-2</c:v>
                </c:pt>
                <c:pt idx="554">
                  <c:v>1.9667628129835829E-2</c:v>
                </c:pt>
                <c:pt idx="555">
                  <c:v>-1.015928494055799E-2</c:v>
                </c:pt>
                <c:pt idx="556">
                  <c:v>1.7922999673746685E-2</c:v>
                </c:pt>
                <c:pt idx="557">
                  <c:v>9.948736471131021E-3</c:v>
                </c:pt>
                <c:pt idx="558">
                  <c:v>-4.6126629027089579E-3</c:v>
                </c:pt>
                <c:pt idx="559">
                  <c:v>1.5678758861266062E-3</c:v>
                </c:pt>
                <c:pt idx="560">
                  <c:v>5.8303737499326054E-3</c:v>
                </c:pt>
                <c:pt idx="561">
                  <c:v>-1.7885194881091455E-3</c:v>
                </c:pt>
                <c:pt idx="562">
                  <c:v>1.6681339760309839E-3</c:v>
                </c:pt>
                <c:pt idx="563">
                  <c:v>-8.653670636519074E-3</c:v>
                </c:pt>
                <c:pt idx="564">
                  <c:v>1.0825458764466934E-2</c:v>
                </c:pt>
                <c:pt idx="565">
                  <c:v>-2.0537544455060787E-3</c:v>
                </c:pt>
                <c:pt idx="566">
                  <c:v>-8.3195494513595668E-3</c:v>
                </c:pt>
                <c:pt idx="567">
                  <c:v>-4.9599807343085897E-3</c:v>
                </c:pt>
                <c:pt idx="568">
                  <c:v>2.1831374047235692E-2</c:v>
                </c:pt>
                <c:pt idx="569">
                  <c:v>-8.5349465454917506E-3</c:v>
                </c:pt>
                <c:pt idx="570">
                  <c:v>-5.1608564438508754E-3</c:v>
                </c:pt>
                <c:pt idx="571">
                  <c:v>-4.3500627619891827E-3</c:v>
                </c:pt>
                <c:pt idx="572">
                  <c:v>-1.3390957514982845E-2</c:v>
                </c:pt>
                <c:pt idx="573">
                  <c:v>-4.2056058930445735E-3</c:v>
                </c:pt>
                <c:pt idx="574">
                  <c:v>1.1057895190601718E-2</c:v>
                </c:pt>
                <c:pt idx="575">
                  <c:v>8.5275894513885467E-3</c:v>
                </c:pt>
                <c:pt idx="576">
                  <c:v>5.1411090475375178E-3</c:v>
                </c:pt>
                <c:pt idx="577">
                  <c:v>1.376080887807259E-2</c:v>
                </c:pt>
                <c:pt idx="578">
                  <c:v>4.0507630418259036E-3</c:v>
                </c:pt>
                <c:pt idx="579">
                  <c:v>-6.5180108138390156E-3</c:v>
                </c:pt>
                <c:pt idx="580">
                  <c:v>-2.3650396183539E-3</c:v>
                </c:pt>
                <c:pt idx="581">
                  <c:v>7.4803501201451501E-3</c:v>
                </c:pt>
                <c:pt idx="582">
                  <c:v>3.966679284189983E-3</c:v>
                </c:pt>
                <c:pt idx="583">
                  <c:v>4.4156781195177509E-3</c:v>
                </c:pt>
                <c:pt idx="584">
                  <c:v>1.1050598414795689E-2</c:v>
                </c:pt>
                <c:pt idx="585">
                  <c:v>-4.6056261696971742E-4</c:v>
                </c:pt>
                <c:pt idx="586">
                  <c:v>7.171075479662131E-3</c:v>
                </c:pt>
                <c:pt idx="587">
                  <c:v>1.6340136259399916E-2</c:v>
                </c:pt>
                <c:pt idx="588">
                  <c:v>6.157464223780054E-3</c:v>
                </c:pt>
                <c:pt idx="589">
                  <c:v>-1.3355118749748519E-3</c:v>
                </c:pt>
                <c:pt idx="590">
                  <c:v>-6.9337522258866905E-4</c:v>
                </c:pt>
                <c:pt idx="591">
                  <c:v>2.4570872630891986E-3</c:v>
                </c:pt>
                <c:pt idx="592">
                  <c:v>1.8866789596717478E-3</c:v>
                </c:pt>
                <c:pt idx="593">
                  <c:v>-3.2023081130521649E-3</c:v>
                </c:pt>
                <c:pt idx="594">
                  <c:v>-7.6921191709392704E-3</c:v>
                </c:pt>
                <c:pt idx="595">
                  <c:v>9.9182420555899466E-3</c:v>
                </c:pt>
                <c:pt idx="596">
                  <c:v>1.1031783681706658E-3</c:v>
                </c:pt>
                <c:pt idx="597">
                  <c:v>8.7229570940479638E-3</c:v>
                </c:pt>
                <c:pt idx="598">
                  <c:v>-1.9193007112413736E-3</c:v>
                </c:pt>
                <c:pt idx="599">
                  <c:v>-3.1184868738145027E-3</c:v>
                </c:pt>
                <c:pt idx="600">
                  <c:v>-7.2121185869074515E-3</c:v>
                </c:pt>
                <c:pt idx="601">
                  <c:v>2.2318140501233243E-3</c:v>
                </c:pt>
                <c:pt idx="602">
                  <c:v>-4.6881474966038962E-3</c:v>
                </c:pt>
                <c:pt idx="603">
                  <c:v>-5.2861212033855718E-4</c:v>
                </c:pt>
                <c:pt idx="604">
                  <c:v>-1.8013159358945402E-3</c:v>
                </c:pt>
                <c:pt idx="605">
                  <c:v>1.2910040980612764E-3</c:v>
                </c:pt>
                <c:pt idx="606">
                  <c:v>-5.3917077786121946E-3</c:v>
                </c:pt>
                <c:pt idx="607">
                  <c:v>-1.4707170938081923E-2</c:v>
                </c:pt>
                <c:pt idx="608">
                  <c:v>2.8811325391176878E-3</c:v>
                </c:pt>
                <c:pt idx="609">
                  <c:v>4.6300450785007443E-3</c:v>
                </c:pt>
                <c:pt idx="610">
                  <c:v>9.3874020663054659E-3</c:v>
                </c:pt>
                <c:pt idx="611">
                  <c:v>-2.3930676977282784E-3</c:v>
                </c:pt>
                <c:pt idx="612">
                  <c:v>-5.3906603548448976E-3</c:v>
                </c:pt>
                <c:pt idx="613">
                  <c:v>-1.7491363955308285E-3</c:v>
                </c:pt>
                <c:pt idx="614">
                  <c:v>-2.0749306807564803E-3</c:v>
                </c:pt>
                <c:pt idx="615">
                  <c:v>1.7043078298473246E-2</c:v>
                </c:pt>
                <c:pt idx="616">
                  <c:v>-1.0191211110526135E-2</c:v>
                </c:pt>
                <c:pt idx="617">
                  <c:v>-2.4466265588386745E-3</c:v>
                </c:pt>
                <c:pt idx="618">
                  <c:v>7.0415292152849478E-4</c:v>
                </c:pt>
                <c:pt idx="619">
                  <c:v>2.3125287881408136E-4</c:v>
                </c:pt>
                <c:pt idx="620">
                  <c:v>2.8803067161324099E-3</c:v>
                </c:pt>
                <c:pt idx="621">
                  <c:v>4.3266329695856977E-3</c:v>
                </c:pt>
                <c:pt idx="622">
                  <c:v>8.1385063823409445E-4</c:v>
                </c:pt>
                <c:pt idx="623">
                  <c:v>-1.6750478241925101E-3</c:v>
                </c:pt>
                <c:pt idx="624">
                  <c:v>-2.5189844469082948E-3</c:v>
                </c:pt>
                <c:pt idx="625">
                  <c:v>3.0017192236722737E-4</c:v>
                </c:pt>
                <c:pt idx="626">
                  <c:v>-7.7371207534801239E-3</c:v>
                </c:pt>
                <c:pt idx="627">
                  <c:v>-1.2046148159585447E-4</c:v>
                </c:pt>
                <c:pt idx="628">
                  <c:v>-5.4328332593216368E-3</c:v>
                </c:pt>
                <c:pt idx="629">
                  <c:v>8.4572850363901515E-3</c:v>
                </c:pt>
                <c:pt idx="630">
                  <c:v>6.428853661234999E-3</c:v>
                </c:pt>
                <c:pt idx="631">
                  <c:v>6.6082726528063948E-4</c:v>
                </c:pt>
                <c:pt idx="632">
                  <c:v>-3.1178149013975347E-3</c:v>
                </c:pt>
                <c:pt idx="633">
                  <c:v>-3.1680774998278853E-3</c:v>
                </c:pt>
                <c:pt idx="634">
                  <c:v>-7.7138426130159013E-3</c:v>
                </c:pt>
                <c:pt idx="635">
                  <c:v>2.5167845763972676E-4</c:v>
                </c:pt>
                <c:pt idx="636">
                  <c:v>5.1320152038335908E-3</c:v>
                </c:pt>
                <c:pt idx="637">
                  <c:v>-2.2504410332524795E-3</c:v>
                </c:pt>
                <c:pt idx="638">
                  <c:v>-2.1349349999874243E-3</c:v>
                </c:pt>
                <c:pt idx="639">
                  <c:v>-5.4494566867302422E-3</c:v>
                </c:pt>
                <c:pt idx="640">
                  <c:v>7.3681399038512995E-3</c:v>
                </c:pt>
                <c:pt idx="641">
                  <c:v>7.2234700884181062E-3</c:v>
                </c:pt>
                <c:pt idx="642">
                  <c:v>1.0764536504549794E-2</c:v>
                </c:pt>
                <c:pt idx="643">
                  <c:v>-5.8924751118271225E-3</c:v>
                </c:pt>
                <c:pt idx="644">
                  <c:v>-4.0312607218550879E-3</c:v>
                </c:pt>
                <c:pt idx="645">
                  <c:v>-5.7232045579070547E-3</c:v>
                </c:pt>
                <c:pt idx="646">
                  <c:v>-4.7872539206013009E-3</c:v>
                </c:pt>
                <c:pt idx="647">
                  <c:v>4.8618343352809009E-3</c:v>
                </c:pt>
                <c:pt idx="648">
                  <c:v>1.1409099833846197E-3</c:v>
                </c:pt>
                <c:pt idx="649">
                  <c:v>-1.3243429845880293E-4</c:v>
                </c:pt>
                <c:pt idx="650">
                  <c:v>-1.0764875628144445E-2</c:v>
                </c:pt>
                <c:pt idx="651">
                  <c:v>1.1600522439261637E-3</c:v>
                </c:pt>
                <c:pt idx="652">
                  <c:v>-8.2947398997442509E-4</c:v>
                </c:pt>
                <c:pt idx="653">
                  <c:v>-4.018882096025145E-3</c:v>
                </c:pt>
                <c:pt idx="654">
                  <c:v>-7.1313992136950262E-3</c:v>
                </c:pt>
                <c:pt idx="655">
                  <c:v>4.9229783749753699E-3</c:v>
                </c:pt>
                <c:pt idx="656">
                  <c:v>1.2293158709296582E-2</c:v>
                </c:pt>
                <c:pt idx="657">
                  <c:v>1.5290808205127399E-3</c:v>
                </c:pt>
                <c:pt idx="658">
                  <c:v>-8.0202308164549832E-3</c:v>
                </c:pt>
                <c:pt idx="659">
                  <c:v>-3.7239285548247365E-3</c:v>
                </c:pt>
                <c:pt idx="660">
                  <c:v>4.3611794663666022E-3</c:v>
                </c:pt>
                <c:pt idx="661">
                  <c:v>-6.0608953961661374E-3</c:v>
                </c:pt>
                <c:pt idx="662">
                  <c:v>-2.3130160167836281E-3</c:v>
                </c:pt>
                <c:pt idx="663">
                  <c:v>-1.1162260486702595E-2</c:v>
                </c:pt>
                <c:pt idx="664">
                  <c:v>-8.9463222836476154E-3</c:v>
                </c:pt>
                <c:pt idx="665">
                  <c:v>-6.5872408066804172E-3</c:v>
                </c:pt>
                <c:pt idx="666">
                  <c:v>-4.9310239469031996E-3</c:v>
                </c:pt>
                <c:pt idx="667">
                  <c:v>-5.6742850347608698E-3</c:v>
                </c:pt>
                <c:pt idx="668">
                  <c:v>1.0200643673400862E-2</c:v>
                </c:pt>
                <c:pt idx="669">
                  <c:v>-2.0059445702069606E-2</c:v>
                </c:pt>
                <c:pt idx="670">
                  <c:v>1.2010348292437096E-2</c:v>
                </c:pt>
                <c:pt idx="671">
                  <c:v>-6.2138638206134255E-4</c:v>
                </c:pt>
                <c:pt idx="672">
                  <c:v>3.8509795706425857E-3</c:v>
                </c:pt>
                <c:pt idx="673">
                  <c:v>-8.3901475207850077E-3</c:v>
                </c:pt>
                <c:pt idx="674">
                  <c:v>-6.5673276457090058E-3</c:v>
                </c:pt>
                <c:pt idx="675">
                  <c:v>4.7959096058591555E-3</c:v>
                </c:pt>
                <c:pt idx="676">
                  <c:v>-2.4404499704391257E-3</c:v>
                </c:pt>
                <c:pt idx="677">
                  <c:v>-1.4566554616823138E-2</c:v>
                </c:pt>
                <c:pt idx="678">
                  <c:v>1.2258908699308386E-3</c:v>
                </c:pt>
                <c:pt idx="679">
                  <c:v>-1.5069589463638443E-2</c:v>
                </c:pt>
                <c:pt idx="680">
                  <c:v>2.5725456008521663E-2</c:v>
                </c:pt>
                <c:pt idx="681">
                  <c:v>1.1004049291644604E-2</c:v>
                </c:pt>
                <c:pt idx="682">
                  <c:v>-4.2854405014733261E-3</c:v>
                </c:pt>
                <c:pt idx="683">
                  <c:v>1.9494078461643648E-2</c:v>
                </c:pt>
                <c:pt idx="684">
                  <c:v>7.0756883708070891E-3</c:v>
                </c:pt>
                <c:pt idx="685">
                  <c:v>-5.3040718965374446E-3</c:v>
                </c:pt>
                <c:pt idx="686">
                  <c:v>-3.2721668791944121E-3</c:v>
                </c:pt>
                <c:pt idx="687">
                  <c:v>-3.8134046765495415E-3</c:v>
                </c:pt>
                <c:pt idx="688">
                  <c:v>1.3148759567243878E-2</c:v>
                </c:pt>
                <c:pt idx="689">
                  <c:v>3.0466048316461812E-3</c:v>
                </c:pt>
                <c:pt idx="690">
                  <c:v>4.9618694897862478E-3</c:v>
                </c:pt>
                <c:pt idx="691">
                  <c:v>1.5735543856164536E-2</c:v>
                </c:pt>
                <c:pt idx="692">
                  <c:v>3.5510853804811746E-3</c:v>
                </c:pt>
                <c:pt idx="693">
                  <c:v>-1.7082362969647377E-3</c:v>
                </c:pt>
                <c:pt idx="694">
                  <c:v>3.9704510333718164E-3</c:v>
                </c:pt>
                <c:pt idx="695">
                  <c:v>1.6226457130344622E-3</c:v>
                </c:pt>
                <c:pt idx="696">
                  <c:v>-3.8219038476989928E-3</c:v>
                </c:pt>
                <c:pt idx="697">
                  <c:v>-1.5178380406766022E-2</c:v>
                </c:pt>
                <c:pt idx="698">
                  <c:v>-1.1148728521241356E-3</c:v>
                </c:pt>
                <c:pt idx="699">
                  <c:v>-1.2924563596671948E-2</c:v>
                </c:pt>
                <c:pt idx="700">
                  <c:v>-2.8175386865109884E-4</c:v>
                </c:pt>
                <c:pt idx="701">
                  <c:v>1.7636990868951711E-2</c:v>
                </c:pt>
                <c:pt idx="702">
                  <c:v>-7.4874991701207594E-3</c:v>
                </c:pt>
                <c:pt idx="703">
                  <c:v>-1.8166696323927924E-3</c:v>
                </c:pt>
                <c:pt idx="704">
                  <c:v>8.2174342069594453E-3</c:v>
                </c:pt>
                <c:pt idx="705">
                  <c:v>-1.601246391382475E-2</c:v>
                </c:pt>
                <c:pt idx="706">
                  <c:v>-1.7411301781615547E-2</c:v>
                </c:pt>
                <c:pt idx="707">
                  <c:v>-1.3010884451812869E-2</c:v>
                </c:pt>
                <c:pt idx="708">
                  <c:v>-9.6464000973768439E-3</c:v>
                </c:pt>
                <c:pt idx="709">
                  <c:v>4.060702275481891E-3</c:v>
                </c:pt>
                <c:pt idx="710">
                  <c:v>2.7562351861624462E-2</c:v>
                </c:pt>
                <c:pt idx="711">
                  <c:v>-5.6843087532443826E-3</c:v>
                </c:pt>
                <c:pt idx="712">
                  <c:v>6.5840765453255862E-3</c:v>
                </c:pt>
                <c:pt idx="713">
                  <c:v>-4.7058198590495613E-2</c:v>
                </c:pt>
                <c:pt idx="714">
                  <c:v>-3.0531420185194089E-5</c:v>
                </c:pt>
                <c:pt idx="715">
                  <c:v>1.1088795251200316E-3</c:v>
                </c:pt>
                <c:pt idx="716">
                  <c:v>1.3232666609212388E-2</c:v>
                </c:pt>
                <c:pt idx="717">
                  <c:v>-1.5095719861738129E-4</c:v>
                </c:pt>
                <c:pt idx="718">
                  <c:v>-7.4812637709374945E-3</c:v>
                </c:pt>
                <c:pt idx="719">
                  <c:v>-2.8277408129444093E-3</c:v>
                </c:pt>
                <c:pt idx="720">
                  <c:v>-3.4351266413462258E-3</c:v>
                </c:pt>
                <c:pt idx="721">
                  <c:v>2.5901392267758668E-2</c:v>
                </c:pt>
                <c:pt idx="722">
                  <c:v>-1.4327360556956329E-2</c:v>
                </c:pt>
                <c:pt idx="723">
                  <c:v>3.8754939265330749E-3</c:v>
                </c:pt>
                <c:pt idx="724">
                  <c:v>1.0005995351324782E-2</c:v>
                </c:pt>
                <c:pt idx="725">
                  <c:v>-3.6734367088821118E-3</c:v>
                </c:pt>
                <c:pt idx="726">
                  <c:v>-4.7535972847419367E-5</c:v>
                </c:pt>
                <c:pt idx="727">
                  <c:v>2.081042726231626E-3</c:v>
                </c:pt>
                <c:pt idx="728">
                  <c:v>-3.3548768944742465E-3</c:v>
                </c:pt>
                <c:pt idx="729">
                  <c:v>-4.6454551038693183E-3</c:v>
                </c:pt>
                <c:pt idx="730">
                  <c:v>2.9672009298291283E-3</c:v>
                </c:pt>
                <c:pt idx="731">
                  <c:v>4.9126164126843596E-3</c:v>
                </c:pt>
                <c:pt idx="732">
                  <c:v>3.5266518768253515E-3</c:v>
                </c:pt>
                <c:pt idx="733">
                  <c:v>4.0496485516546355E-3</c:v>
                </c:pt>
                <c:pt idx="734">
                  <c:v>6.5212024288238786E-3</c:v>
                </c:pt>
                <c:pt idx="735">
                  <c:v>1.1227108850713362E-2</c:v>
                </c:pt>
                <c:pt idx="736">
                  <c:v>3.7562644797943621E-4</c:v>
                </c:pt>
                <c:pt idx="737">
                  <c:v>-7.1703397801570722E-3</c:v>
                </c:pt>
                <c:pt idx="738">
                  <c:v>5.8415386970052221E-3</c:v>
                </c:pt>
                <c:pt idx="739">
                  <c:v>1.1952193870856321E-2</c:v>
                </c:pt>
                <c:pt idx="740">
                  <c:v>-1.4165037505750461E-4</c:v>
                </c:pt>
                <c:pt idx="741">
                  <c:v>7.6545629979040666E-4</c:v>
                </c:pt>
                <c:pt idx="742">
                  <c:v>-3.3332425884083066E-3</c:v>
                </c:pt>
                <c:pt idx="743">
                  <c:v>5.4629046919795826E-6</c:v>
                </c:pt>
                <c:pt idx="744">
                  <c:v>-3.3050392835330378E-3</c:v>
                </c:pt>
                <c:pt idx="745">
                  <c:v>-2.2974116574073079E-3</c:v>
                </c:pt>
                <c:pt idx="746">
                  <c:v>-1.4810335283858236E-2</c:v>
                </c:pt>
                <c:pt idx="747">
                  <c:v>4.1230394373127045E-3</c:v>
                </c:pt>
                <c:pt idx="748">
                  <c:v>-2.0962595638926084E-3</c:v>
                </c:pt>
                <c:pt idx="749">
                  <c:v>-8.0447138283392273E-4</c:v>
                </c:pt>
                <c:pt idx="750">
                  <c:v>1.4988492411185969E-3</c:v>
                </c:pt>
                <c:pt idx="751">
                  <c:v>2.8470661249403117E-3</c:v>
                </c:pt>
                <c:pt idx="752">
                  <c:v>-1.1379001948398733E-4</c:v>
                </c:pt>
                <c:pt idx="753">
                  <c:v>6.5834906720386279E-3</c:v>
                </c:pt>
                <c:pt idx="754">
                  <c:v>6.607649905189408E-3</c:v>
                </c:pt>
                <c:pt idx="755">
                  <c:v>9.7351914087729797E-3</c:v>
                </c:pt>
                <c:pt idx="756">
                  <c:v>-5.5556097629726733E-3</c:v>
                </c:pt>
                <c:pt idx="757">
                  <c:v>1.0186876416312949E-3</c:v>
                </c:pt>
                <c:pt idx="758">
                  <c:v>-1.4898828459812142E-3</c:v>
                </c:pt>
                <c:pt idx="759">
                  <c:v>2.3275979603522394E-3</c:v>
                </c:pt>
                <c:pt idx="760">
                  <c:v>8.5272574728579836E-3</c:v>
                </c:pt>
                <c:pt idx="761">
                  <c:v>-8.6258539103353394E-3</c:v>
                </c:pt>
                <c:pt idx="762">
                  <c:v>3.032866318792969E-3</c:v>
                </c:pt>
                <c:pt idx="763">
                  <c:v>-9.446309704321176E-3</c:v>
                </c:pt>
                <c:pt idx="764">
                  <c:v>1.9194160733624131E-3</c:v>
                </c:pt>
                <c:pt idx="765">
                  <c:v>-6.3544543500459981E-3</c:v>
                </c:pt>
                <c:pt idx="766">
                  <c:v>5.1664682413058681E-3</c:v>
                </c:pt>
                <c:pt idx="767">
                  <c:v>-6.853071435749424E-3</c:v>
                </c:pt>
                <c:pt idx="768">
                  <c:v>-7.730334403592329E-3</c:v>
                </c:pt>
                <c:pt idx="769">
                  <c:v>2.6823850788830483E-3</c:v>
                </c:pt>
                <c:pt idx="770">
                  <c:v>-2.885720666865774E-2</c:v>
                </c:pt>
                <c:pt idx="771">
                  <c:v>3.5073742012127151E-3</c:v>
                </c:pt>
                <c:pt idx="772">
                  <c:v>1.0839564353050186E-2</c:v>
                </c:pt>
                <c:pt idx="773">
                  <c:v>7.7049531713292091E-3</c:v>
                </c:pt>
                <c:pt idx="774">
                  <c:v>-6.4606444395737825E-3</c:v>
                </c:pt>
                <c:pt idx="775">
                  <c:v>-2.801695282305932E-2</c:v>
                </c:pt>
                <c:pt idx="776">
                  <c:v>-8.9819092947808141E-3</c:v>
                </c:pt>
                <c:pt idx="777">
                  <c:v>3.8390003346677423E-3</c:v>
                </c:pt>
                <c:pt idx="778">
                  <c:v>1.8833741917377512E-2</c:v>
                </c:pt>
                <c:pt idx="779">
                  <c:v>-4.567239831056156E-3</c:v>
                </c:pt>
                <c:pt idx="780">
                  <c:v>-6.5616987295127847E-3</c:v>
                </c:pt>
                <c:pt idx="781">
                  <c:v>8.1382363365231011E-3</c:v>
                </c:pt>
                <c:pt idx="782">
                  <c:v>5.8524943606813257E-3</c:v>
                </c:pt>
                <c:pt idx="783">
                  <c:v>-2.1505518162421126E-2</c:v>
                </c:pt>
                <c:pt idx="784">
                  <c:v>4.6537332003717411E-3</c:v>
                </c:pt>
                <c:pt idx="785">
                  <c:v>-6.1137787408901208E-4</c:v>
                </c:pt>
                <c:pt idx="786">
                  <c:v>7.3780564158839315E-3</c:v>
                </c:pt>
                <c:pt idx="787">
                  <c:v>6.5690084795115415E-4</c:v>
                </c:pt>
                <c:pt idx="788">
                  <c:v>8.7809412107237202E-3</c:v>
                </c:pt>
                <c:pt idx="789">
                  <c:v>1.1497816247988997E-2</c:v>
                </c:pt>
                <c:pt idx="790">
                  <c:v>-2.2759441657834146E-3</c:v>
                </c:pt>
                <c:pt idx="791">
                  <c:v>1.3335645894812526E-2</c:v>
                </c:pt>
                <c:pt idx="792">
                  <c:v>4.9696375356313265E-3</c:v>
                </c:pt>
                <c:pt idx="793">
                  <c:v>-2.7685749348147843E-2</c:v>
                </c:pt>
                <c:pt idx="794">
                  <c:v>5.9313872430531408E-4</c:v>
                </c:pt>
                <c:pt idx="795">
                  <c:v>4.1663555520750463E-3</c:v>
                </c:pt>
                <c:pt idx="796">
                  <c:v>7.5600019042826681E-3</c:v>
                </c:pt>
                <c:pt idx="797">
                  <c:v>3.8258433311778341E-2</c:v>
                </c:pt>
                <c:pt idx="798">
                  <c:v>4.4511903358461844E-4</c:v>
                </c:pt>
                <c:pt idx="799">
                  <c:v>6.9084056275790428E-3</c:v>
                </c:pt>
                <c:pt idx="800">
                  <c:v>2.5193381956065846E-3</c:v>
                </c:pt>
                <c:pt idx="801">
                  <c:v>-1.3293552101498012E-3</c:v>
                </c:pt>
                <c:pt idx="802">
                  <c:v>-4.4312809803437447E-3</c:v>
                </c:pt>
                <c:pt idx="803">
                  <c:v>-8.4215778868615854E-3</c:v>
                </c:pt>
                <c:pt idx="804">
                  <c:v>-6.32390109866193E-3</c:v>
                </c:pt>
                <c:pt idx="805">
                  <c:v>-2.181692967457417E-3</c:v>
                </c:pt>
                <c:pt idx="806">
                  <c:v>1.1420318565048009E-2</c:v>
                </c:pt>
                <c:pt idx="807">
                  <c:v>-1.7881091522738174E-2</c:v>
                </c:pt>
                <c:pt idx="808">
                  <c:v>-4.1023076322984187E-2</c:v>
                </c:pt>
                <c:pt idx="809">
                  <c:v>2.563077942734754E-3</c:v>
                </c:pt>
                <c:pt idx="810">
                  <c:v>-1.4738982483594728E-2</c:v>
                </c:pt>
                <c:pt idx="811">
                  <c:v>8.2331793160327397E-4</c:v>
                </c:pt>
                <c:pt idx="812">
                  <c:v>1.3707258352518105E-2</c:v>
                </c:pt>
                <c:pt idx="813">
                  <c:v>-1.8836667781189809E-2</c:v>
                </c:pt>
                <c:pt idx="814">
                  <c:v>1.3766976693168908E-3</c:v>
                </c:pt>
                <c:pt idx="815">
                  <c:v>8.7684190866183179E-3</c:v>
                </c:pt>
                <c:pt idx="816">
                  <c:v>-2.6690517787414065E-2</c:v>
                </c:pt>
                <c:pt idx="817">
                  <c:v>1.4860434914442556E-3</c:v>
                </c:pt>
                <c:pt idx="818">
                  <c:v>1.2592632792115414E-2</c:v>
                </c:pt>
                <c:pt idx="819">
                  <c:v>7.5159179073901348E-3</c:v>
                </c:pt>
                <c:pt idx="820">
                  <c:v>4.1690143473914754E-3</c:v>
                </c:pt>
                <c:pt idx="821">
                  <c:v>8.8289675637672187E-4</c:v>
                </c:pt>
                <c:pt idx="822">
                  <c:v>-7.4771102002082392E-3</c:v>
                </c:pt>
                <c:pt idx="823">
                  <c:v>-1.21182878489214E-2</c:v>
                </c:pt>
                <c:pt idx="824">
                  <c:v>-2.1853117258879666E-2</c:v>
                </c:pt>
                <c:pt idx="825">
                  <c:v>6.3495283055403223E-3</c:v>
                </c:pt>
                <c:pt idx="826">
                  <c:v>-2.1165441355963121E-4</c:v>
                </c:pt>
                <c:pt idx="827">
                  <c:v>-3.6686512666710125E-4</c:v>
                </c:pt>
                <c:pt idx="828">
                  <c:v>4.399184081306828E-3</c:v>
                </c:pt>
                <c:pt idx="829">
                  <c:v>6.6793719372935014E-3</c:v>
                </c:pt>
                <c:pt idx="830">
                  <c:v>-2.7009574975252793E-2</c:v>
                </c:pt>
                <c:pt idx="831">
                  <c:v>1.3670767048769423E-2</c:v>
                </c:pt>
                <c:pt idx="832">
                  <c:v>7.0313346504567971E-3</c:v>
                </c:pt>
                <c:pt idx="833">
                  <c:v>9.8394063190747061E-3</c:v>
                </c:pt>
                <c:pt idx="834">
                  <c:v>7.5314256316211994E-3</c:v>
                </c:pt>
                <c:pt idx="835">
                  <c:v>6.0961219686025284E-3</c:v>
                </c:pt>
                <c:pt idx="836">
                  <c:v>-3.8981697437809854E-2</c:v>
                </c:pt>
                <c:pt idx="837">
                  <c:v>2.0139925688989417E-2</c:v>
                </c:pt>
                <c:pt idx="838">
                  <c:v>-2.6970834964039386E-3</c:v>
                </c:pt>
                <c:pt idx="839">
                  <c:v>-1.120275480167658E-2</c:v>
                </c:pt>
                <c:pt idx="840">
                  <c:v>5.8865220921343261E-3</c:v>
                </c:pt>
                <c:pt idx="841">
                  <c:v>2.1549882368743427E-3</c:v>
                </c:pt>
                <c:pt idx="842">
                  <c:v>-6.7777474847075803E-3</c:v>
                </c:pt>
                <c:pt idx="843">
                  <c:v>-5.9402842059108904E-3</c:v>
                </c:pt>
                <c:pt idx="844">
                  <c:v>1.392127061641186E-3</c:v>
                </c:pt>
                <c:pt idx="845">
                  <c:v>1.7079290249051221E-2</c:v>
                </c:pt>
                <c:pt idx="846">
                  <c:v>1.1612705036002317E-2</c:v>
                </c:pt>
                <c:pt idx="847">
                  <c:v>-6.4700602683752662E-3</c:v>
                </c:pt>
                <c:pt idx="848">
                  <c:v>-1.682237704132945E-2</c:v>
                </c:pt>
                <c:pt idx="849">
                  <c:v>-2.3642937589790556E-2</c:v>
                </c:pt>
                <c:pt idx="850">
                  <c:v>1.7487404389355185E-3</c:v>
                </c:pt>
                <c:pt idx="851">
                  <c:v>-9.4513800151754517E-3</c:v>
                </c:pt>
                <c:pt idx="852">
                  <c:v>-5.8207513979236652E-3</c:v>
                </c:pt>
                <c:pt idx="853">
                  <c:v>1.2556463931100857E-3</c:v>
                </c:pt>
                <c:pt idx="854">
                  <c:v>1.9699679526144001E-3</c:v>
                </c:pt>
                <c:pt idx="855">
                  <c:v>7.6052019581393671E-3</c:v>
                </c:pt>
                <c:pt idx="856">
                  <c:v>-3.1353161534824862E-3</c:v>
                </c:pt>
                <c:pt idx="857">
                  <c:v>-1.8530344435268189E-3</c:v>
                </c:pt>
                <c:pt idx="858">
                  <c:v>2.885769922916418E-3</c:v>
                </c:pt>
                <c:pt idx="859">
                  <c:v>2.1826943483975934E-2</c:v>
                </c:pt>
                <c:pt idx="860">
                  <c:v>8.6805407599478621E-3</c:v>
                </c:pt>
                <c:pt idx="861">
                  <c:v>1.6194665249821435E-2</c:v>
                </c:pt>
                <c:pt idx="862">
                  <c:v>9.4690167102810269E-3</c:v>
                </c:pt>
                <c:pt idx="863">
                  <c:v>-5.9188348705783598E-3</c:v>
                </c:pt>
                <c:pt idx="864">
                  <c:v>1.454052036143926E-2</c:v>
                </c:pt>
                <c:pt idx="865">
                  <c:v>1.7832322271188032E-2</c:v>
                </c:pt>
                <c:pt idx="866">
                  <c:v>-4.2487910866625123E-3</c:v>
                </c:pt>
                <c:pt idx="867">
                  <c:v>5.5271513713817154E-3</c:v>
                </c:pt>
                <c:pt idx="868">
                  <c:v>-4.4660110594789901E-3</c:v>
                </c:pt>
                <c:pt idx="869">
                  <c:v>-4.8491887354391765E-3</c:v>
                </c:pt>
                <c:pt idx="870">
                  <c:v>-1.0260765669108229E-2</c:v>
                </c:pt>
                <c:pt idx="871">
                  <c:v>1.2611770331844588E-2</c:v>
                </c:pt>
                <c:pt idx="872">
                  <c:v>-6.6433339067363713E-4</c:v>
                </c:pt>
                <c:pt idx="873">
                  <c:v>-7.0469382852958147E-3</c:v>
                </c:pt>
                <c:pt idx="874">
                  <c:v>-1.0249445942921783E-2</c:v>
                </c:pt>
                <c:pt idx="875">
                  <c:v>-2.0466520205554002E-3</c:v>
                </c:pt>
                <c:pt idx="876">
                  <c:v>-7.2719632865725367E-3</c:v>
                </c:pt>
                <c:pt idx="877">
                  <c:v>6.2762988725034632E-3</c:v>
                </c:pt>
                <c:pt idx="878">
                  <c:v>-3.5555750248233435E-3</c:v>
                </c:pt>
                <c:pt idx="879">
                  <c:v>-1.0631516474820616E-2</c:v>
                </c:pt>
                <c:pt idx="880">
                  <c:v>2.5322927043635981E-5</c:v>
                </c:pt>
                <c:pt idx="881">
                  <c:v>-2.2529667685609409E-3</c:v>
                </c:pt>
                <c:pt idx="882">
                  <c:v>1.406405441740312E-3</c:v>
                </c:pt>
                <c:pt idx="883">
                  <c:v>2.9496860593921123E-3</c:v>
                </c:pt>
                <c:pt idx="884">
                  <c:v>-2.0470504546564764E-3</c:v>
                </c:pt>
                <c:pt idx="885">
                  <c:v>3.3216051964666919E-3</c:v>
                </c:pt>
                <c:pt idx="886">
                  <c:v>-1.5170944546053506E-3</c:v>
                </c:pt>
                <c:pt idx="887">
                  <c:v>-3.9470527893572908E-3</c:v>
                </c:pt>
                <c:pt idx="888">
                  <c:v>-2.2167911636692956E-3</c:v>
                </c:pt>
                <c:pt idx="889">
                  <c:v>-3.8124266875626707E-3</c:v>
                </c:pt>
                <c:pt idx="890">
                  <c:v>-7.2176238343432267E-3</c:v>
                </c:pt>
                <c:pt idx="891">
                  <c:v>-6.1941863971465387E-3</c:v>
                </c:pt>
                <c:pt idx="892">
                  <c:v>-9.1857603383144225E-4</c:v>
                </c:pt>
                <c:pt idx="893">
                  <c:v>-7.5190670434262643E-3</c:v>
                </c:pt>
                <c:pt idx="894">
                  <c:v>1.3080434591549422E-2</c:v>
                </c:pt>
                <c:pt idx="895">
                  <c:v>8.9107236327000718E-3</c:v>
                </c:pt>
                <c:pt idx="896">
                  <c:v>-2.001530412062504E-3</c:v>
                </c:pt>
                <c:pt idx="897">
                  <c:v>-1.0166976669314102E-2</c:v>
                </c:pt>
                <c:pt idx="898">
                  <c:v>2.7992976032979503E-3</c:v>
                </c:pt>
                <c:pt idx="899">
                  <c:v>2.018786408604967E-3</c:v>
                </c:pt>
                <c:pt idx="900">
                  <c:v>3.3662770523905398E-3</c:v>
                </c:pt>
                <c:pt idx="901">
                  <c:v>6.3116635062802967E-3</c:v>
                </c:pt>
                <c:pt idx="902">
                  <c:v>1.3197098296573428E-2</c:v>
                </c:pt>
                <c:pt idx="903">
                  <c:v>-1.7865033608416515E-3</c:v>
                </c:pt>
                <c:pt idx="904">
                  <c:v>-1.8559946774701489E-3</c:v>
                </c:pt>
                <c:pt idx="905">
                  <c:v>1.8706343731089939E-3</c:v>
                </c:pt>
                <c:pt idx="906">
                  <c:v>-3.260488355670312E-3</c:v>
                </c:pt>
                <c:pt idx="907">
                  <c:v>-4.6020715877803237E-3</c:v>
                </c:pt>
                <c:pt idx="908">
                  <c:v>2.0071631367882506E-3</c:v>
                </c:pt>
                <c:pt idx="909">
                  <c:v>9.2446663731624527E-3</c:v>
                </c:pt>
                <c:pt idx="910">
                  <c:v>-2.1079404775014958E-3</c:v>
                </c:pt>
                <c:pt idx="911">
                  <c:v>1.8140809131349123E-3</c:v>
                </c:pt>
                <c:pt idx="912">
                  <c:v>3.1684191874254385E-3</c:v>
                </c:pt>
                <c:pt idx="913">
                  <c:v>-3.7124033850621727E-3</c:v>
                </c:pt>
                <c:pt idx="914">
                  <c:v>-1.5406250103697462E-2</c:v>
                </c:pt>
                <c:pt idx="915">
                  <c:v>1.512276230903052E-3</c:v>
                </c:pt>
                <c:pt idx="916">
                  <c:v>-1.1117507574601183E-2</c:v>
                </c:pt>
                <c:pt idx="917">
                  <c:v>3.0220953502317978E-3</c:v>
                </c:pt>
                <c:pt idx="918">
                  <c:v>1.3183920575136177E-2</c:v>
                </c:pt>
                <c:pt idx="919">
                  <c:v>3.2505204061642249E-3</c:v>
                </c:pt>
                <c:pt idx="920">
                  <c:v>3.4836435402039365E-3</c:v>
                </c:pt>
                <c:pt idx="921">
                  <c:v>-5.5689248292557069E-3</c:v>
                </c:pt>
                <c:pt idx="922">
                  <c:v>4.5644252921483745E-3</c:v>
                </c:pt>
                <c:pt idx="923">
                  <c:v>5.1846299030426646E-3</c:v>
                </c:pt>
                <c:pt idx="924">
                  <c:v>1.5045654408243446E-2</c:v>
                </c:pt>
                <c:pt idx="925">
                  <c:v>4.4679330005848381E-3</c:v>
                </c:pt>
                <c:pt idx="926">
                  <c:v>-5.6185524546357437E-3</c:v>
                </c:pt>
                <c:pt idx="927">
                  <c:v>-1.259718889925894E-3</c:v>
                </c:pt>
                <c:pt idx="928">
                  <c:v>4.3671438435305748E-3</c:v>
                </c:pt>
                <c:pt idx="929">
                  <c:v>-3.8160932910692724E-3</c:v>
                </c:pt>
                <c:pt idx="930">
                  <c:v>-1.3668935714665775E-3</c:v>
                </c:pt>
                <c:pt idx="931">
                  <c:v>3.9154663375832221E-3</c:v>
                </c:pt>
                <c:pt idx="932">
                  <c:v>-1.1253564638230846E-3</c:v>
                </c:pt>
                <c:pt idx="933">
                  <c:v>-1.8865768461095576E-2</c:v>
                </c:pt>
                <c:pt idx="934">
                  <c:v>6.5909476617574073E-3</c:v>
                </c:pt>
                <c:pt idx="935">
                  <c:v>1.0600106780313653E-3</c:v>
                </c:pt>
                <c:pt idx="936">
                  <c:v>-1.8419088577688255E-2</c:v>
                </c:pt>
                <c:pt idx="937">
                  <c:v>-1.7477849895235257E-3</c:v>
                </c:pt>
                <c:pt idx="938">
                  <c:v>6.7248532376310254E-3</c:v>
                </c:pt>
                <c:pt idx="939">
                  <c:v>-4.0096328751635978E-3</c:v>
                </c:pt>
                <c:pt idx="940">
                  <c:v>-2.6664035315801158E-3</c:v>
                </c:pt>
                <c:pt idx="941">
                  <c:v>4.1826600755165734E-3</c:v>
                </c:pt>
                <c:pt idx="942">
                  <c:v>-9.8963664738470902E-3</c:v>
                </c:pt>
                <c:pt idx="943">
                  <c:v>-8.0060085013903496E-3</c:v>
                </c:pt>
                <c:pt idx="944">
                  <c:v>-2.7784896665480521E-2</c:v>
                </c:pt>
                <c:pt idx="945">
                  <c:v>-1.2290481755453097E-2</c:v>
                </c:pt>
                <c:pt idx="946">
                  <c:v>1.2592872562234302E-2</c:v>
                </c:pt>
                <c:pt idx="947">
                  <c:v>-4.245408881346298E-3</c:v>
                </c:pt>
                <c:pt idx="948">
                  <c:v>1.2250310064231355E-2</c:v>
                </c:pt>
                <c:pt idx="949">
                  <c:v>-8.7722225487334628E-3</c:v>
                </c:pt>
                <c:pt idx="950">
                  <c:v>-1.3151802217476138E-2</c:v>
                </c:pt>
                <c:pt idx="951">
                  <c:v>1.1912596491344152E-2</c:v>
                </c:pt>
                <c:pt idx="952">
                  <c:v>1.6934462297486463E-2</c:v>
                </c:pt>
                <c:pt idx="953">
                  <c:v>9.783414088660675E-3</c:v>
                </c:pt>
                <c:pt idx="954">
                  <c:v>-6.7767708172550047E-3</c:v>
                </c:pt>
                <c:pt idx="955">
                  <c:v>4.3769872691436472E-3</c:v>
                </c:pt>
                <c:pt idx="956">
                  <c:v>7.1415344155744999E-3</c:v>
                </c:pt>
                <c:pt idx="957">
                  <c:v>-1.2260190326066896E-2</c:v>
                </c:pt>
                <c:pt idx="958">
                  <c:v>7.3260525429603325E-3</c:v>
                </c:pt>
                <c:pt idx="959">
                  <c:v>5.8576277832908545E-5</c:v>
                </c:pt>
                <c:pt idx="960">
                  <c:v>-1.1774367590933177E-2</c:v>
                </c:pt>
                <c:pt idx="961">
                  <c:v>-1.4946637750490028E-2</c:v>
                </c:pt>
                <c:pt idx="962">
                  <c:v>-3.4705789795006409E-2</c:v>
                </c:pt>
                <c:pt idx="963">
                  <c:v>1.1707202062687503E-2</c:v>
                </c:pt>
                <c:pt idx="964">
                  <c:v>-9.8762370430940036E-3</c:v>
                </c:pt>
                <c:pt idx="965">
                  <c:v>9.2715107641675777E-4</c:v>
                </c:pt>
                <c:pt idx="966">
                  <c:v>1.5920989689048422E-2</c:v>
                </c:pt>
                <c:pt idx="967">
                  <c:v>1.8672074334955376E-2</c:v>
                </c:pt>
                <c:pt idx="968">
                  <c:v>2.668424452493276E-2</c:v>
                </c:pt>
                <c:pt idx="969">
                  <c:v>-9.6948259742014806E-3</c:v>
                </c:pt>
                <c:pt idx="970">
                  <c:v>-1.4320207918165771E-2</c:v>
                </c:pt>
                <c:pt idx="971">
                  <c:v>2.0109467293116093E-2</c:v>
                </c:pt>
                <c:pt idx="972">
                  <c:v>-1.3060241840666855E-3</c:v>
                </c:pt>
                <c:pt idx="973">
                  <c:v>2.7959174730440199E-3</c:v>
                </c:pt>
                <c:pt idx="974">
                  <c:v>-6.4406430970470885E-3</c:v>
                </c:pt>
                <c:pt idx="975">
                  <c:v>1.7780809840884058E-2</c:v>
                </c:pt>
                <c:pt idx="976">
                  <c:v>8.0598153421265317E-3</c:v>
                </c:pt>
                <c:pt idx="977">
                  <c:v>4.8301220824434037E-3</c:v>
                </c:pt>
                <c:pt idx="978">
                  <c:v>1.7814258309261987E-2</c:v>
                </c:pt>
                <c:pt idx="979">
                  <c:v>-1.7067770216539584E-2</c:v>
                </c:pt>
                <c:pt idx="980">
                  <c:v>-5.9484765623319725E-4</c:v>
                </c:pt>
                <c:pt idx="981">
                  <c:v>-1.3586563734884588E-2</c:v>
                </c:pt>
                <c:pt idx="982">
                  <c:v>4.2937864640136278E-3</c:v>
                </c:pt>
                <c:pt idx="983">
                  <c:v>-6.005780745447502E-3</c:v>
                </c:pt>
                <c:pt idx="984">
                  <c:v>-9.8593795073597112E-3</c:v>
                </c:pt>
                <c:pt idx="985">
                  <c:v>6.7906388511084102E-3</c:v>
                </c:pt>
                <c:pt idx="986">
                  <c:v>5.3177252951416183E-3</c:v>
                </c:pt>
                <c:pt idx="987">
                  <c:v>-7.993907830429671E-3</c:v>
                </c:pt>
                <c:pt idx="988">
                  <c:v>-3.201634927425119E-3</c:v>
                </c:pt>
                <c:pt idx="989">
                  <c:v>1.8760550813897729E-3</c:v>
                </c:pt>
                <c:pt idx="990">
                  <c:v>-6.7124148535225537E-3</c:v>
                </c:pt>
                <c:pt idx="991">
                  <c:v>-2.4092596537628715E-3</c:v>
                </c:pt>
                <c:pt idx="992">
                  <c:v>6.3868425747604183E-3</c:v>
                </c:pt>
                <c:pt idx="993">
                  <c:v>1.6378303100400154E-2</c:v>
                </c:pt>
                <c:pt idx="994">
                  <c:v>2.3545491932167729E-3</c:v>
                </c:pt>
                <c:pt idx="995">
                  <c:v>-2.4047691853590829E-3</c:v>
                </c:pt>
                <c:pt idx="996">
                  <c:v>5.8643236467959383E-4</c:v>
                </c:pt>
                <c:pt idx="997">
                  <c:v>5.4791069304742793E-3</c:v>
                </c:pt>
                <c:pt idx="998">
                  <c:v>5.009674035734578E-3</c:v>
                </c:pt>
                <c:pt idx="999">
                  <c:v>1.5069195554275284E-3</c:v>
                </c:pt>
                <c:pt idx="1000">
                  <c:v>-9.6567228542038534E-4</c:v>
                </c:pt>
                <c:pt idx="1001">
                  <c:v>-2.9256442981862342E-3</c:v>
                </c:pt>
                <c:pt idx="1002">
                  <c:v>-8.7336118860010959E-3</c:v>
                </c:pt>
                <c:pt idx="1003">
                  <c:v>-2.3078905249098985E-2</c:v>
                </c:pt>
                <c:pt idx="1004">
                  <c:v>-1.0750171512354974E-2</c:v>
                </c:pt>
                <c:pt idx="1005">
                  <c:v>1.4601153421018628E-3</c:v>
                </c:pt>
                <c:pt idx="1006">
                  <c:v>2.0499810376754012E-3</c:v>
                </c:pt>
                <c:pt idx="1007">
                  <c:v>-5.0515974978526269E-3</c:v>
                </c:pt>
                <c:pt idx="1008">
                  <c:v>3.0326061581414173E-3</c:v>
                </c:pt>
                <c:pt idx="1009">
                  <c:v>-2.7731924562565398E-3</c:v>
                </c:pt>
                <c:pt idx="1010">
                  <c:v>-5.0799826522503044E-3</c:v>
                </c:pt>
                <c:pt idx="1011">
                  <c:v>7.5313841267952021E-4</c:v>
                </c:pt>
                <c:pt idx="1012">
                  <c:v>1.5956331207047786E-2</c:v>
                </c:pt>
                <c:pt idx="1013">
                  <c:v>-7.4655106739900398E-3</c:v>
                </c:pt>
                <c:pt idx="1014">
                  <c:v>-5.337125293229778E-3</c:v>
                </c:pt>
                <c:pt idx="1015">
                  <c:v>-7.8296210202361005E-4</c:v>
                </c:pt>
                <c:pt idx="1016">
                  <c:v>8.0729139842999429E-3</c:v>
                </c:pt>
                <c:pt idx="1017">
                  <c:v>1.9810073505864135E-3</c:v>
                </c:pt>
                <c:pt idx="1018">
                  <c:v>6.0317558227050809E-3</c:v>
                </c:pt>
                <c:pt idx="1019">
                  <c:v>1.3839233288131239E-2</c:v>
                </c:pt>
                <c:pt idx="1020">
                  <c:v>2.2376219950244135E-3</c:v>
                </c:pt>
                <c:pt idx="1021">
                  <c:v>8.8645674724656971E-3</c:v>
                </c:pt>
                <c:pt idx="1022">
                  <c:v>2.8202839529604187E-3</c:v>
                </c:pt>
                <c:pt idx="1023">
                  <c:v>8.3401373468796544E-3</c:v>
                </c:pt>
                <c:pt idx="1024">
                  <c:v>3.8230150802668807E-3</c:v>
                </c:pt>
                <c:pt idx="1025">
                  <c:v>1.3946991453375396E-4</c:v>
                </c:pt>
                <c:pt idx="1026">
                  <c:v>3.520233383538675E-3</c:v>
                </c:pt>
                <c:pt idx="1027">
                  <c:v>-9.7649305264574538E-3</c:v>
                </c:pt>
                <c:pt idx="1028">
                  <c:v>-1.0893749840124761E-2</c:v>
                </c:pt>
                <c:pt idx="1029">
                  <c:v>-7.2234101717971004E-3</c:v>
                </c:pt>
                <c:pt idx="1030">
                  <c:v>1.0045782161633907E-2</c:v>
                </c:pt>
                <c:pt idx="1031">
                  <c:v>5.5120110645161821E-3</c:v>
                </c:pt>
                <c:pt idx="1032">
                  <c:v>6.3253513138520883E-3</c:v>
                </c:pt>
                <c:pt idx="1033">
                  <c:v>-3.44353388138621E-3</c:v>
                </c:pt>
                <c:pt idx="1034">
                  <c:v>-8.685671068901479E-3</c:v>
                </c:pt>
                <c:pt idx="1035">
                  <c:v>3.440135801814361E-3</c:v>
                </c:pt>
                <c:pt idx="1036">
                  <c:v>-9.8851684506043782E-3</c:v>
                </c:pt>
                <c:pt idx="1037">
                  <c:v>-2.1083160411130759E-3</c:v>
                </c:pt>
                <c:pt idx="1038">
                  <c:v>-4.4142722786362065E-4</c:v>
                </c:pt>
                <c:pt idx="1039">
                  <c:v>-6.8567012697307267E-4</c:v>
                </c:pt>
                <c:pt idx="1040">
                  <c:v>-1.648393121063259E-3</c:v>
                </c:pt>
                <c:pt idx="1041">
                  <c:v>8.4787306170828556E-3</c:v>
                </c:pt>
                <c:pt idx="1042">
                  <c:v>7.6323601429253403E-3</c:v>
                </c:pt>
                <c:pt idx="1043">
                  <c:v>-7.8728743083364156E-3</c:v>
                </c:pt>
                <c:pt idx="1044">
                  <c:v>-1.5506381323446314E-3</c:v>
                </c:pt>
                <c:pt idx="1045">
                  <c:v>1.9993351701760053E-3</c:v>
                </c:pt>
                <c:pt idx="1046">
                  <c:v>6.8258139521388036E-3</c:v>
                </c:pt>
                <c:pt idx="1047">
                  <c:v>6.5888493181675374E-3</c:v>
                </c:pt>
                <c:pt idx="1048">
                  <c:v>4.9230689945430565E-3</c:v>
                </c:pt>
                <c:pt idx="1049">
                  <c:v>-1.0711261984433744E-2</c:v>
                </c:pt>
                <c:pt idx="1050">
                  <c:v>5.6827686043534262E-3</c:v>
                </c:pt>
                <c:pt idx="1051">
                  <c:v>-3.162640323819214E-3</c:v>
                </c:pt>
                <c:pt idx="1052">
                  <c:v>-5.6537425611642503E-3</c:v>
                </c:pt>
                <c:pt idx="1053">
                  <c:v>1.7093539701289834E-5</c:v>
                </c:pt>
                <c:pt idx="1054">
                  <c:v>-3.1868072871163045E-3</c:v>
                </c:pt>
                <c:pt idx="1055">
                  <c:v>-1.6657609680107515E-3</c:v>
                </c:pt>
                <c:pt idx="1056">
                  <c:v>-1.6573635320510025E-2</c:v>
                </c:pt>
                <c:pt idx="1057">
                  <c:v>-7.3061921823593299E-5</c:v>
                </c:pt>
                <c:pt idx="1058">
                  <c:v>-1.0276651836719056E-2</c:v>
                </c:pt>
                <c:pt idx="1059">
                  <c:v>-1.1911579885141132E-3</c:v>
                </c:pt>
                <c:pt idx="1060">
                  <c:v>-2.276650347520072E-3</c:v>
                </c:pt>
                <c:pt idx="1061">
                  <c:v>3.2332211534144346E-2</c:v>
                </c:pt>
                <c:pt idx="1062">
                  <c:v>1.597378086659527E-3</c:v>
                </c:pt>
                <c:pt idx="1063">
                  <c:v>5.9118252426622372E-2</c:v>
                </c:pt>
                <c:pt idx="1064">
                  <c:v>-9.1200454453413734E-3</c:v>
                </c:pt>
                <c:pt idx="1065">
                  <c:v>1.17049694859349E-3</c:v>
                </c:pt>
                <c:pt idx="1066">
                  <c:v>1.5105681913935968E-2</c:v>
                </c:pt>
                <c:pt idx="1067">
                  <c:v>1.6556695826354887E-3</c:v>
                </c:pt>
                <c:pt idx="1068">
                  <c:v>6.2526927902320124E-3</c:v>
                </c:pt>
                <c:pt idx="1069">
                  <c:v>1.3855134283115085E-2</c:v>
                </c:pt>
                <c:pt idx="1070">
                  <c:v>8.895680603675498E-3</c:v>
                </c:pt>
                <c:pt idx="1071">
                  <c:v>-6.2440312471410998E-3</c:v>
                </c:pt>
                <c:pt idx="1072">
                  <c:v>-4.9579967732619303E-3</c:v>
                </c:pt>
                <c:pt idx="1073">
                  <c:v>-5.455722562641808E-4</c:v>
                </c:pt>
                <c:pt idx="1074">
                  <c:v>-6.1624046697535009E-4</c:v>
                </c:pt>
                <c:pt idx="1075">
                  <c:v>1.482465744357184E-3</c:v>
                </c:pt>
                <c:pt idx="1076">
                  <c:v>7.5466333143549271E-3</c:v>
                </c:pt>
                <c:pt idx="1077">
                  <c:v>1.0163212815052339E-2</c:v>
                </c:pt>
                <c:pt idx="1078">
                  <c:v>3.863515417668939E-3</c:v>
                </c:pt>
                <c:pt idx="1079">
                  <c:v>7.2433738444455395E-3</c:v>
                </c:pt>
                <c:pt idx="1080">
                  <c:v>7.012186842796077E-3</c:v>
                </c:pt>
                <c:pt idx="1081">
                  <c:v>8.8707057398909935E-3</c:v>
                </c:pt>
                <c:pt idx="1082">
                  <c:v>1.8997621081116148E-2</c:v>
                </c:pt>
                <c:pt idx="1083">
                  <c:v>4.0785192503985882E-3</c:v>
                </c:pt>
                <c:pt idx="1084">
                  <c:v>1.1072868827816483E-2</c:v>
                </c:pt>
                <c:pt idx="1085">
                  <c:v>-3.1451125869100117E-3</c:v>
                </c:pt>
                <c:pt idx="1086">
                  <c:v>-5.2395354319728844E-4</c:v>
                </c:pt>
                <c:pt idx="1087">
                  <c:v>-4.1053223262559942E-3</c:v>
                </c:pt>
                <c:pt idx="1088">
                  <c:v>-1.9766565914903517E-2</c:v>
                </c:pt>
                <c:pt idx="1089">
                  <c:v>1.6820219853248417E-2</c:v>
                </c:pt>
                <c:pt idx="1090">
                  <c:v>-8.6933623070607289E-3</c:v>
                </c:pt>
                <c:pt idx="1091">
                  <c:v>1.288603620205188E-2</c:v>
                </c:pt>
                <c:pt idx="1092">
                  <c:v>2.9189829920453023E-3</c:v>
                </c:pt>
                <c:pt idx="1093">
                  <c:v>-8.6340682476848344E-3</c:v>
                </c:pt>
                <c:pt idx="1094">
                  <c:v>3.7263406653410486E-3</c:v>
                </c:pt>
                <c:pt idx="1095">
                  <c:v>-2.2213788730831899E-3</c:v>
                </c:pt>
                <c:pt idx="1096">
                  <c:v>-1.5980176898944803E-2</c:v>
                </c:pt>
                <c:pt idx="1097">
                  <c:v>-6.3332557044078056E-4</c:v>
                </c:pt>
                <c:pt idx="1098">
                  <c:v>1.5395030146757352E-5</c:v>
                </c:pt>
                <c:pt idx="1099">
                  <c:v>7.0042091051556038E-3</c:v>
                </c:pt>
                <c:pt idx="1100">
                  <c:v>-1.6659420708697182E-3</c:v>
                </c:pt>
                <c:pt idx="1101">
                  <c:v>-4.0401743526123747E-3</c:v>
                </c:pt>
                <c:pt idx="1102">
                  <c:v>-1.4916190680392646E-2</c:v>
                </c:pt>
                <c:pt idx="1103">
                  <c:v>-1.1243433615399149E-2</c:v>
                </c:pt>
                <c:pt idx="1104">
                  <c:v>-2.6860246234421122E-2</c:v>
                </c:pt>
                <c:pt idx="1105">
                  <c:v>6.8938530180938738E-3</c:v>
                </c:pt>
                <c:pt idx="1106">
                  <c:v>8.7121366770647225E-3</c:v>
                </c:pt>
                <c:pt idx="1107">
                  <c:v>-4.724397045381145E-3</c:v>
                </c:pt>
                <c:pt idx="1108">
                  <c:v>6.9483340616747682E-3</c:v>
                </c:pt>
                <c:pt idx="1109">
                  <c:v>-1.0989449997019381E-3</c:v>
                </c:pt>
                <c:pt idx="1110">
                  <c:v>5.6002078797164944E-3</c:v>
                </c:pt>
                <c:pt idx="1111">
                  <c:v>-3.2110155545722685E-3</c:v>
                </c:pt>
                <c:pt idx="1112">
                  <c:v>-7.7910021272964312E-3</c:v>
                </c:pt>
                <c:pt idx="1113">
                  <c:v>1.8135117502508622E-3</c:v>
                </c:pt>
                <c:pt idx="1114">
                  <c:v>1.2969687823804533E-3</c:v>
                </c:pt>
                <c:pt idx="1115">
                  <c:v>2.2663721069308604E-3</c:v>
                </c:pt>
                <c:pt idx="1116">
                  <c:v>3.5116431504380375E-3</c:v>
                </c:pt>
                <c:pt idx="1117">
                  <c:v>3.9944086990111787E-4</c:v>
                </c:pt>
                <c:pt idx="1118">
                  <c:v>8.103409087940449E-3</c:v>
                </c:pt>
                <c:pt idx="1119">
                  <c:v>2.8437699561146405E-3</c:v>
                </c:pt>
                <c:pt idx="1120">
                  <c:v>-9.0640081780662594E-4</c:v>
                </c:pt>
                <c:pt idx="1121">
                  <c:v>-1.8489332314817598E-3</c:v>
                </c:pt>
                <c:pt idx="1122">
                  <c:v>-1.6400862562284272E-3</c:v>
                </c:pt>
                <c:pt idx="1123">
                  <c:v>8.532725508131932E-3</c:v>
                </c:pt>
                <c:pt idx="1124">
                  <c:v>2.7820742795817617E-3</c:v>
                </c:pt>
                <c:pt idx="1125">
                  <c:v>6.9087277144714524E-3</c:v>
                </c:pt>
                <c:pt idx="1126">
                  <c:v>8.5966750517152656E-3</c:v>
                </c:pt>
                <c:pt idx="1127">
                  <c:v>5.0774399088884012E-4</c:v>
                </c:pt>
                <c:pt idx="1128">
                  <c:v>4.7978611061939291E-3</c:v>
                </c:pt>
                <c:pt idx="1129">
                  <c:v>8.5236467357024184E-3</c:v>
                </c:pt>
                <c:pt idx="1130">
                  <c:v>7.4423338560761663E-3</c:v>
                </c:pt>
                <c:pt idx="1131">
                  <c:v>5.5649481050187048E-3</c:v>
                </c:pt>
                <c:pt idx="1132">
                  <c:v>1.4798742959801943E-2</c:v>
                </c:pt>
                <c:pt idx="1133">
                  <c:v>4.5743408170815557E-3</c:v>
                </c:pt>
                <c:pt idx="1134">
                  <c:v>-3.8614340705236203E-3</c:v>
                </c:pt>
                <c:pt idx="1135">
                  <c:v>-2.4569999765787485E-3</c:v>
                </c:pt>
                <c:pt idx="1136">
                  <c:v>1.8576214842715027E-2</c:v>
                </c:pt>
                <c:pt idx="1137">
                  <c:v>1.4878794339953745E-2</c:v>
                </c:pt>
                <c:pt idx="1138">
                  <c:v>-8.9676036507187803E-5</c:v>
                </c:pt>
                <c:pt idx="1139">
                  <c:v>1.1194844536173379E-3</c:v>
                </c:pt>
                <c:pt idx="1140">
                  <c:v>6.4703751487524665E-4</c:v>
                </c:pt>
                <c:pt idx="1141">
                  <c:v>-3.9084490523551233E-3</c:v>
                </c:pt>
                <c:pt idx="1142">
                  <c:v>1.0292306771497233E-2</c:v>
                </c:pt>
                <c:pt idx="1143">
                  <c:v>9.583370643434579E-3</c:v>
                </c:pt>
                <c:pt idx="1144">
                  <c:v>7.3252602964697811E-3</c:v>
                </c:pt>
                <c:pt idx="1145">
                  <c:v>6.577528718672984E-3</c:v>
                </c:pt>
                <c:pt idx="1146">
                  <c:v>8.9995660459308378E-3</c:v>
                </c:pt>
                <c:pt idx="1147">
                  <c:v>1.4392282793726154E-2</c:v>
                </c:pt>
                <c:pt idx="1148">
                  <c:v>-2.4141173399697367E-3</c:v>
                </c:pt>
                <c:pt idx="1149">
                  <c:v>9.2276980726181627E-3</c:v>
                </c:pt>
                <c:pt idx="1150">
                  <c:v>2.0113108036717682E-2</c:v>
                </c:pt>
                <c:pt idx="1151">
                  <c:v>2.0343987670682375E-2</c:v>
                </c:pt>
                <c:pt idx="1152">
                  <c:v>2.0852089215877348E-3</c:v>
                </c:pt>
                <c:pt idx="1153">
                  <c:v>2.1308305225318483E-3</c:v>
                </c:pt>
                <c:pt idx="1154">
                  <c:v>1.0197782870092506E-2</c:v>
                </c:pt>
                <c:pt idx="1155">
                  <c:v>-5.705899258093664E-3</c:v>
                </c:pt>
                <c:pt idx="1156">
                  <c:v>8.599195748071949E-4</c:v>
                </c:pt>
                <c:pt idx="1157">
                  <c:v>5.9963911955264832E-3</c:v>
                </c:pt>
                <c:pt idx="1158">
                  <c:v>1.341429043735573E-2</c:v>
                </c:pt>
                <c:pt idx="1159">
                  <c:v>1.25911272370252E-2</c:v>
                </c:pt>
                <c:pt idx="1160">
                  <c:v>4.4565682353659023E-3</c:v>
                </c:pt>
                <c:pt idx="1161">
                  <c:v>1.0151869068063443E-2</c:v>
                </c:pt>
                <c:pt idx="1162">
                  <c:v>1.7925334166693733E-2</c:v>
                </c:pt>
                <c:pt idx="1163">
                  <c:v>-5.6958991071324339E-3</c:v>
                </c:pt>
                <c:pt idx="1164">
                  <c:v>4.5967732337874357E-4</c:v>
                </c:pt>
                <c:pt idx="1165">
                  <c:v>1.9239090405782488E-2</c:v>
                </c:pt>
                <c:pt idx="1166">
                  <c:v>1.433104370554979E-2</c:v>
                </c:pt>
                <c:pt idx="1167">
                  <c:v>7.2357565718769263E-3</c:v>
                </c:pt>
                <c:pt idx="1168">
                  <c:v>1.190928558407179E-2</c:v>
                </c:pt>
                <c:pt idx="1169">
                  <c:v>1.4727946220332034E-2</c:v>
                </c:pt>
                <c:pt idx="1170">
                  <c:v>2.3263205583354804E-2</c:v>
                </c:pt>
                <c:pt idx="1171">
                  <c:v>-3.190703982853294E-3</c:v>
                </c:pt>
                <c:pt idx="1172">
                  <c:v>6.2783725404026349E-3</c:v>
                </c:pt>
                <c:pt idx="1173">
                  <c:v>-1.726141173785626E-2</c:v>
                </c:pt>
                <c:pt idx="1174">
                  <c:v>2.6046198416180173E-3</c:v>
                </c:pt>
                <c:pt idx="1175">
                  <c:v>1.0386982833816094E-2</c:v>
                </c:pt>
                <c:pt idx="1176">
                  <c:v>-1.3992737337747724E-2</c:v>
                </c:pt>
                <c:pt idx="1177">
                  <c:v>-3.6372389221141818E-2</c:v>
                </c:pt>
                <c:pt idx="1178">
                  <c:v>-6.1276688391439472E-3</c:v>
                </c:pt>
                <c:pt idx="1179">
                  <c:v>3.932230987024209E-3</c:v>
                </c:pt>
                <c:pt idx="1180">
                  <c:v>-1.5766848179167389E-2</c:v>
                </c:pt>
                <c:pt idx="1181">
                  <c:v>-4.1068086927674739E-2</c:v>
                </c:pt>
                <c:pt idx="1182">
                  <c:v>2.8605914588536462E-2</c:v>
                </c:pt>
                <c:pt idx="1183">
                  <c:v>1.9529236019809458E-2</c:v>
                </c:pt>
                <c:pt idx="1184">
                  <c:v>6.426842931052979E-3</c:v>
                </c:pt>
                <c:pt idx="1185">
                  <c:v>3.5399570607631159E-2</c:v>
                </c:pt>
                <c:pt idx="1186">
                  <c:v>-4.8278906024548087E-3</c:v>
                </c:pt>
                <c:pt idx="1187">
                  <c:v>4.6192983328567699E-3</c:v>
                </c:pt>
                <c:pt idx="1188">
                  <c:v>-1.1895397842269272E-4</c:v>
                </c:pt>
                <c:pt idx="1189">
                  <c:v>-1.9223640901274402E-3</c:v>
                </c:pt>
                <c:pt idx="1190">
                  <c:v>-4.3070670496273356E-3</c:v>
                </c:pt>
                <c:pt idx="1191">
                  <c:v>-1.034450067196399E-3</c:v>
                </c:pt>
                <c:pt idx="1192">
                  <c:v>-3.9072422284480391E-3</c:v>
                </c:pt>
                <c:pt idx="1193">
                  <c:v>1.0915545014576868E-2</c:v>
                </c:pt>
                <c:pt idx="1194">
                  <c:v>3.1059663803513054E-4</c:v>
                </c:pt>
                <c:pt idx="1195">
                  <c:v>-5.6972995920024621E-3</c:v>
                </c:pt>
                <c:pt idx="1196">
                  <c:v>-8.2764140559625481E-3</c:v>
                </c:pt>
                <c:pt idx="1197">
                  <c:v>-2.6690740421724153E-3</c:v>
                </c:pt>
                <c:pt idx="1198">
                  <c:v>-5.7409984435402685E-3</c:v>
                </c:pt>
                <c:pt idx="1199">
                  <c:v>1.2630849461413133E-3</c:v>
                </c:pt>
                <c:pt idx="1200">
                  <c:v>1.038490584165571E-2</c:v>
                </c:pt>
                <c:pt idx="1201">
                  <c:v>8.0515287832652448E-3</c:v>
                </c:pt>
                <c:pt idx="1202">
                  <c:v>5.7127368851876432E-3</c:v>
                </c:pt>
                <c:pt idx="1203">
                  <c:v>-8.0901009110580738E-3</c:v>
                </c:pt>
                <c:pt idx="1204">
                  <c:v>-7.5422240906056716E-3</c:v>
                </c:pt>
                <c:pt idx="1205">
                  <c:v>-3.0892108919396748E-2</c:v>
                </c:pt>
                <c:pt idx="1206">
                  <c:v>2.2224471691773603E-3</c:v>
                </c:pt>
                <c:pt idx="1207">
                  <c:v>6.6886977207507052E-3</c:v>
                </c:pt>
                <c:pt idx="1208">
                  <c:v>9.7634794772680777E-3</c:v>
                </c:pt>
                <c:pt idx="1209">
                  <c:v>1.2635922271539137E-2</c:v>
                </c:pt>
                <c:pt idx="1210">
                  <c:v>5.4052554412278722E-3</c:v>
                </c:pt>
                <c:pt idx="1211">
                  <c:v>-4.7994453717868951E-2</c:v>
                </c:pt>
                <c:pt idx="1212">
                  <c:v>2.6465103269744691E-3</c:v>
                </c:pt>
                <c:pt idx="1213">
                  <c:v>1.5138926612848238E-2</c:v>
                </c:pt>
                <c:pt idx="1214">
                  <c:v>-1.8241511707080351E-2</c:v>
                </c:pt>
                <c:pt idx="1215">
                  <c:v>-1.8798736022219556E-2</c:v>
                </c:pt>
                <c:pt idx="1216">
                  <c:v>9.8005844374489063E-3</c:v>
                </c:pt>
                <c:pt idx="1217">
                  <c:v>7.4264283262798192E-5</c:v>
                </c:pt>
                <c:pt idx="1218">
                  <c:v>1.8108554742439591E-2</c:v>
                </c:pt>
                <c:pt idx="1219">
                  <c:v>5.769734349851314E-3</c:v>
                </c:pt>
                <c:pt idx="1220">
                  <c:v>1.4560116444752592E-2</c:v>
                </c:pt>
                <c:pt idx="1221">
                  <c:v>7.8023338706714419E-3</c:v>
                </c:pt>
                <c:pt idx="1222">
                  <c:v>-1.3715934668363887E-3</c:v>
                </c:pt>
                <c:pt idx="1223">
                  <c:v>7.6614504160925825E-3</c:v>
                </c:pt>
                <c:pt idx="1224">
                  <c:v>2.5465496766658716E-2</c:v>
                </c:pt>
                <c:pt idx="1225">
                  <c:v>9.5833660539979531E-3</c:v>
                </c:pt>
                <c:pt idx="1226">
                  <c:v>-3.4220482161726818E-3</c:v>
                </c:pt>
                <c:pt idx="1227">
                  <c:v>-1.05620238188697E-3</c:v>
                </c:pt>
                <c:pt idx="1228">
                  <c:v>-8.1530240210353261E-4</c:v>
                </c:pt>
                <c:pt idx="1229">
                  <c:v>2.9064179751288888E-3</c:v>
                </c:pt>
                <c:pt idx="1230">
                  <c:v>-5.8440192504573523E-4</c:v>
                </c:pt>
                <c:pt idx="1231">
                  <c:v>-2.5957903627859033E-2</c:v>
                </c:pt>
                <c:pt idx="1232">
                  <c:v>1.1991392764601273E-2</c:v>
                </c:pt>
                <c:pt idx="1233">
                  <c:v>1.1423022574355078E-3</c:v>
                </c:pt>
                <c:pt idx="1234">
                  <c:v>9.4326581806799866E-3</c:v>
                </c:pt>
                <c:pt idx="1235">
                  <c:v>3.4989450800425488E-3</c:v>
                </c:pt>
                <c:pt idx="1236">
                  <c:v>-4.7829216274194297E-3</c:v>
                </c:pt>
                <c:pt idx="1237">
                  <c:v>-4.0596232806562127E-3</c:v>
                </c:pt>
                <c:pt idx="1238">
                  <c:v>5.7376745979353105E-3</c:v>
                </c:pt>
                <c:pt idx="1239">
                  <c:v>5.8088702668343982E-3</c:v>
                </c:pt>
                <c:pt idx="1240">
                  <c:v>9.7336702966696765E-3</c:v>
                </c:pt>
                <c:pt idx="1241">
                  <c:v>8.9308750899166119E-3</c:v>
                </c:pt>
                <c:pt idx="1242">
                  <c:v>-2.0405968712336573E-3</c:v>
                </c:pt>
                <c:pt idx="1243">
                  <c:v>-3.1160310012175729E-3</c:v>
                </c:pt>
                <c:pt idx="1244">
                  <c:v>1.3464813630449666E-3</c:v>
                </c:pt>
                <c:pt idx="1245">
                  <c:v>1.3003866563925071E-2</c:v>
                </c:pt>
                <c:pt idx="1246">
                  <c:v>9.7517505450437376E-3</c:v>
                </c:pt>
                <c:pt idx="1247">
                  <c:v>1.7586475130808646E-2</c:v>
                </c:pt>
                <c:pt idx="1248">
                  <c:v>9.9788868111011769E-3</c:v>
                </c:pt>
                <c:pt idx="1249">
                  <c:v>3.2690167862433439E-3</c:v>
                </c:pt>
                <c:pt idx="1250">
                  <c:v>-8.6356740659591783E-4</c:v>
                </c:pt>
                <c:pt idx="1251">
                  <c:v>-2.1329766360032453E-3</c:v>
                </c:pt>
                <c:pt idx="1252">
                  <c:v>-6.1421812591829362E-4</c:v>
                </c:pt>
                <c:pt idx="1253">
                  <c:v>8.8174554261679864E-3</c:v>
                </c:pt>
                <c:pt idx="1254">
                  <c:v>7.3834542144328545E-3</c:v>
                </c:pt>
                <c:pt idx="1255">
                  <c:v>-1.036629053107646E-3</c:v>
                </c:pt>
                <c:pt idx="1256">
                  <c:v>9.7041161074621542E-3</c:v>
                </c:pt>
                <c:pt idx="1257">
                  <c:v>-1.1171115705640093E-3</c:v>
                </c:pt>
                <c:pt idx="1258">
                  <c:v>1.0717451654407248E-2</c:v>
                </c:pt>
                <c:pt idx="1259">
                  <c:v>-1.4403084843506758E-2</c:v>
                </c:pt>
                <c:pt idx="1260">
                  <c:v>-8.2638922112173736E-3</c:v>
                </c:pt>
                <c:pt idx="1261">
                  <c:v>-6.2573001952813713E-3</c:v>
                </c:pt>
                <c:pt idx="1262">
                  <c:v>1.7612391243183288E-2</c:v>
                </c:pt>
                <c:pt idx="1263">
                  <c:v>1.1990611121318015E-2</c:v>
                </c:pt>
                <c:pt idx="1264">
                  <c:v>-4.177876385444483E-5</c:v>
                </c:pt>
                <c:pt idx="1265">
                  <c:v>-2.1904531536037081E-3</c:v>
                </c:pt>
                <c:pt idx="1266">
                  <c:v>7.744984905336522E-4</c:v>
                </c:pt>
                <c:pt idx="1267">
                  <c:v>5.8830370482004001E-3</c:v>
                </c:pt>
                <c:pt idx="1268">
                  <c:v>9.764043483317492E-3</c:v>
                </c:pt>
                <c:pt idx="1269">
                  <c:v>9.9199028280964607E-3</c:v>
                </c:pt>
                <c:pt idx="1270">
                  <c:v>1.7816701974031756E-3</c:v>
                </c:pt>
                <c:pt idx="1271">
                  <c:v>3.5722713951225368E-3</c:v>
                </c:pt>
                <c:pt idx="1272">
                  <c:v>5.4937428850926088E-3</c:v>
                </c:pt>
                <c:pt idx="1273">
                  <c:v>-3.429014359122138E-3</c:v>
                </c:pt>
                <c:pt idx="1274">
                  <c:v>1.635102019072027E-3</c:v>
                </c:pt>
                <c:pt idx="1275">
                  <c:v>-3.3254984890323811E-3</c:v>
                </c:pt>
                <c:pt idx="1276">
                  <c:v>2.1052162536036208E-3</c:v>
                </c:pt>
                <c:pt idx="1277">
                  <c:v>1.1563284677372981E-2</c:v>
                </c:pt>
                <c:pt idx="1278">
                  <c:v>-6.1270251887788167E-3</c:v>
                </c:pt>
                <c:pt idx="1279">
                  <c:v>-9.0202945039619606E-3</c:v>
                </c:pt>
                <c:pt idx="1280">
                  <c:v>5.5881971716924045E-4</c:v>
                </c:pt>
                <c:pt idx="1281">
                  <c:v>1.3359843970441574E-2</c:v>
                </c:pt>
                <c:pt idx="1282">
                  <c:v>-3.996126437957128E-3</c:v>
                </c:pt>
                <c:pt idx="1283">
                  <c:v>-1.2022452850310953E-2</c:v>
                </c:pt>
                <c:pt idx="1284">
                  <c:v>-5.9895541062102032E-3</c:v>
                </c:pt>
                <c:pt idx="1285">
                  <c:v>-4.8034585008996204E-3</c:v>
                </c:pt>
                <c:pt idx="1286">
                  <c:v>-1.4744879467953539E-3</c:v>
                </c:pt>
                <c:pt idx="1287">
                  <c:v>-6.7990870192567998E-3</c:v>
                </c:pt>
                <c:pt idx="1288">
                  <c:v>-9.0518338198691279E-3</c:v>
                </c:pt>
                <c:pt idx="1289">
                  <c:v>2.8646020243424737E-3</c:v>
                </c:pt>
                <c:pt idx="1290">
                  <c:v>4.6852340803789513E-2</c:v>
                </c:pt>
                <c:pt idx="1291">
                  <c:v>6.5427376805843439E-3</c:v>
                </c:pt>
                <c:pt idx="1292">
                  <c:v>2.7308671711766701E-2</c:v>
                </c:pt>
                <c:pt idx="1293">
                  <c:v>1.1370337606397239E-4</c:v>
                </c:pt>
                <c:pt idx="1294">
                  <c:v>-7.3389976385123271E-3</c:v>
                </c:pt>
                <c:pt idx="1295">
                  <c:v>-3.7263476245684834E-3</c:v>
                </c:pt>
                <c:pt idx="1296">
                  <c:v>4.2990442206100139E-3</c:v>
                </c:pt>
                <c:pt idx="1297">
                  <c:v>3.2270572010581304E-3</c:v>
                </c:pt>
                <c:pt idx="1298">
                  <c:v>-1.0606374139242069E-3</c:v>
                </c:pt>
                <c:pt idx="1299">
                  <c:v>4.8361296888926363E-3</c:v>
                </c:pt>
                <c:pt idx="1300">
                  <c:v>9.2428314963158929E-3</c:v>
                </c:pt>
                <c:pt idx="1301">
                  <c:v>8.5575772294381614E-3</c:v>
                </c:pt>
                <c:pt idx="1302">
                  <c:v>6.123364417956284E-4</c:v>
                </c:pt>
                <c:pt idx="1303">
                  <c:v>-8.7204233036228566E-4</c:v>
                </c:pt>
                <c:pt idx="1304">
                  <c:v>4.4060305095984425E-3</c:v>
                </c:pt>
                <c:pt idx="1305">
                  <c:v>1.3138262306243681E-3</c:v>
                </c:pt>
                <c:pt idx="1306">
                  <c:v>-1.0294766242488415E-2</c:v>
                </c:pt>
                <c:pt idx="1307">
                  <c:v>1.888615402805358E-3</c:v>
                </c:pt>
                <c:pt idx="1308">
                  <c:v>-6.0318267934371221E-4</c:v>
                </c:pt>
                <c:pt idx="1309">
                  <c:v>1.5154464181846999E-2</c:v>
                </c:pt>
                <c:pt idx="1310">
                  <c:v>8.4313333360441743E-3</c:v>
                </c:pt>
                <c:pt idx="1311">
                  <c:v>-2.1040725142980464E-2</c:v>
                </c:pt>
                <c:pt idx="1312">
                  <c:v>-1.9704712642831673E-2</c:v>
                </c:pt>
                <c:pt idx="1313">
                  <c:v>5.7028854002695237E-3</c:v>
                </c:pt>
                <c:pt idx="1314">
                  <c:v>5.1897088498892453E-3</c:v>
                </c:pt>
                <c:pt idx="1315">
                  <c:v>-1.1684067195981222E-2</c:v>
                </c:pt>
                <c:pt idx="1316">
                  <c:v>-5.6049924218800765E-3</c:v>
                </c:pt>
                <c:pt idx="1317">
                  <c:v>1.0229847656354762E-2</c:v>
                </c:pt>
                <c:pt idx="1318">
                  <c:v>-2.5236040003177506E-3</c:v>
                </c:pt>
                <c:pt idx="1319">
                  <c:v>-9.4344553860091791E-3</c:v>
                </c:pt>
                <c:pt idx="1320">
                  <c:v>-1.8832413474960011E-3</c:v>
                </c:pt>
                <c:pt idx="1321">
                  <c:v>6.2473380926831691E-3</c:v>
                </c:pt>
                <c:pt idx="1322">
                  <c:v>-1.4592210925321623E-2</c:v>
                </c:pt>
                <c:pt idx="1323">
                  <c:v>1.3861413625489546E-3</c:v>
                </c:pt>
                <c:pt idx="1324">
                  <c:v>-9.9557800136636145E-4</c:v>
                </c:pt>
                <c:pt idx="1325">
                  <c:v>9.8519746418603803E-3</c:v>
                </c:pt>
                <c:pt idx="1326">
                  <c:v>8.9293992286535312E-3</c:v>
                </c:pt>
                <c:pt idx="1327">
                  <c:v>-7.5003573265432968E-3</c:v>
                </c:pt>
                <c:pt idx="1328">
                  <c:v>-1.3191795003583001E-3</c:v>
                </c:pt>
                <c:pt idx="1329">
                  <c:v>2.9348686692496706E-3</c:v>
                </c:pt>
                <c:pt idx="1330">
                  <c:v>-7.7676510812614162E-4</c:v>
                </c:pt>
                <c:pt idx="1331">
                  <c:v>-2.7544256022559352E-3</c:v>
                </c:pt>
                <c:pt idx="1332">
                  <c:v>-1.0898063660006168E-3</c:v>
                </c:pt>
                <c:pt idx="1333">
                  <c:v>6.6285491434104043E-3</c:v>
                </c:pt>
                <c:pt idx="1334">
                  <c:v>6.8048063872541515E-3</c:v>
                </c:pt>
                <c:pt idx="1335">
                  <c:v>1.0178516198232216E-4</c:v>
                </c:pt>
                <c:pt idx="1336">
                  <c:v>-2.9234241053746786E-3</c:v>
                </c:pt>
                <c:pt idx="1337">
                  <c:v>-6.1959199735881435E-3</c:v>
                </c:pt>
                <c:pt idx="1338">
                  <c:v>-1.1711710327207082E-3</c:v>
                </c:pt>
                <c:pt idx="1339">
                  <c:v>4.5756793672852318E-3</c:v>
                </c:pt>
                <c:pt idx="1340">
                  <c:v>1.7684824669309052E-3</c:v>
                </c:pt>
                <c:pt idx="1341">
                  <c:v>-2.6108376518157532E-3</c:v>
                </c:pt>
                <c:pt idx="1342">
                  <c:v>9.3276599223594391E-4</c:v>
                </c:pt>
                <c:pt idx="1343">
                  <c:v>6.2750522229730512E-3</c:v>
                </c:pt>
                <c:pt idx="1344">
                  <c:v>1.9442469125094909E-4</c:v>
                </c:pt>
                <c:pt idx="1345">
                  <c:v>4.3607080298652606E-4</c:v>
                </c:pt>
                <c:pt idx="1346">
                  <c:v>-3.5834998041134507E-3</c:v>
                </c:pt>
                <c:pt idx="1347">
                  <c:v>8.5446797684920854E-3</c:v>
                </c:pt>
                <c:pt idx="1348">
                  <c:v>-8.0081486513381966E-3</c:v>
                </c:pt>
                <c:pt idx="1349">
                  <c:v>4.6511332226343511E-3</c:v>
                </c:pt>
                <c:pt idx="1350">
                  <c:v>3.9920210201218713E-3</c:v>
                </c:pt>
                <c:pt idx="1351">
                  <c:v>1.9926119073183581E-3</c:v>
                </c:pt>
                <c:pt idx="1352">
                  <c:v>1.2205133804849158E-2</c:v>
                </c:pt>
                <c:pt idx="1353">
                  <c:v>1.2402850859804188E-2</c:v>
                </c:pt>
                <c:pt idx="1354">
                  <c:v>7.5517476275573179E-3</c:v>
                </c:pt>
                <c:pt idx="1355">
                  <c:v>-2.7286201735131589E-3</c:v>
                </c:pt>
                <c:pt idx="1356">
                  <c:v>-4.4820740252044956E-3</c:v>
                </c:pt>
                <c:pt idx="1357">
                  <c:v>9.3795515271531665E-3</c:v>
                </c:pt>
                <c:pt idx="1358">
                  <c:v>-7.1728257687245717E-3</c:v>
                </c:pt>
                <c:pt idx="1359">
                  <c:v>-4.4801505597064986E-3</c:v>
                </c:pt>
                <c:pt idx="1360">
                  <c:v>-2.1887727631199668E-3</c:v>
                </c:pt>
                <c:pt idx="1361">
                  <c:v>8.5113334040155669E-3</c:v>
                </c:pt>
                <c:pt idx="1362">
                  <c:v>1.9854631628860712E-3</c:v>
                </c:pt>
                <c:pt idx="1363">
                  <c:v>9.2080948176590724E-3</c:v>
                </c:pt>
                <c:pt idx="1364">
                  <c:v>9.7941569673860012E-3</c:v>
                </c:pt>
                <c:pt idx="1365">
                  <c:v>1.6500750132045224E-2</c:v>
                </c:pt>
                <c:pt idx="1366">
                  <c:v>8.8761905210556664E-3</c:v>
                </c:pt>
                <c:pt idx="1367">
                  <c:v>6.1869644627799341E-5</c:v>
                </c:pt>
                <c:pt idx="1368">
                  <c:v>-2.522024230856121E-3</c:v>
                </c:pt>
                <c:pt idx="1369">
                  <c:v>3.5317569074627046E-4</c:v>
                </c:pt>
                <c:pt idx="1370">
                  <c:v>-2.5971124218268668E-3</c:v>
                </c:pt>
                <c:pt idx="1371">
                  <c:v>6.7902951148227477E-3</c:v>
                </c:pt>
                <c:pt idx="1372">
                  <c:v>4.2558079336592449E-3</c:v>
                </c:pt>
                <c:pt idx="1373">
                  <c:v>-7.1947712017982396E-3</c:v>
                </c:pt>
                <c:pt idx="1374">
                  <c:v>-3.9181902807521856E-3</c:v>
                </c:pt>
                <c:pt idx="1375">
                  <c:v>9.4713096490573519E-3</c:v>
                </c:pt>
                <c:pt idx="1376">
                  <c:v>4.7533324223147221E-3</c:v>
                </c:pt>
                <c:pt idx="1377">
                  <c:v>8.4189752850175395E-3</c:v>
                </c:pt>
                <c:pt idx="1378">
                  <c:v>2.0086693501680401E-2</c:v>
                </c:pt>
                <c:pt idx="1379">
                  <c:v>1.1782206257977407E-2</c:v>
                </c:pt>
                <c:pt idx="1380">
                  <c:v>2.239594497275794E-3</c:v>
                </c:pt>
                <c:pt idx="1381">
                  <c:v>7.4124524144879083E-3</c:v>
                </c:pt>
                <c:pt idx="1382">
                  <c:v>-6.3558662173361282E-3</c:v>
                </c:pt>
                <c:pt idx="1383">
                  <c:v>-1.4617899428453233E-2</c:v>
                </c:pt>
                <c:pt idx="1384">
                  <c:v>2.1278506570486955E-2</c:v>
                </c:pt>
                <c:pt idx="1385">
                  <c:v>1.1866187320361951E-2</c:v>
                </c:pt>
                <c:pt idx="1386">
                  <c:v>3.9843150836091868E-3</c:v>
                </c:pt>
                <c:pt idx="1387">
                  <c:v>-3.0646452950414955E-3</c:v>
                </c:pt>
                <c:pt idx="1388">
                  <c:v>5.423192682053257E-3</c:v>
                </c:pt>
                <c:pt idx="1389">
                  <c:v>8.3353427981195053E-3</c:v>
                </c:pt>
                <c:pt idx="1390">
                  <c:v>3.8229561307075695E-3</c:v>
                </c:pt>
                <c:pt idx="1391">
                  <c:v>-4.5251207362694461E-3</c:v>
                </c:pt>
                <c:pt idx="1392">
                  <c:v>1.4038146170922701E-3</c:v>
                </c:pt>
                <c:pt idx="1393">
                  <c:v>8.9599501603710302E-3</c:v>
                </c:pt>
                <c:pt idx="1394">
                  <c:v>6.0700555005319462E-3</c:v>
                </c:pt>
                <c:pt idx="1395">
                  <c:v>2.4485129528582783E-3</c:v>
                </c:pt>
                <c:pt idx="1396">
                  <c:v>9.0635710027625466E-3</c:v>
                </c:pt>
                <c:pt idx="1397">
                  <c:v>-3.2361858595754667E-3</c:v>
                </c:pt>
                <c:pt idx="1398">
                  <c:v>1.8649984520619473E-2</c:v>
                </c:pt>
                <c:pt idx="1399">
                  <c:v>4.8272652175521411E-3</c:v>
                </c:pt>
                <c:pt idx="1400">
                  <c:v>2.8788864583745833E-3</c:v>
                </c:pt>
                <c:pt idx="1401">
                  <c:v>-3.5742535311559583E-2</c:v>
                </c:pt>
                <c:pt idx="1402">
                  <c:v>4.9644532925272572E-2</c:v>
                </c:pt>
                <c:pt idx="1403">
                  <c:v>8.1950855879338678E-3</c:v>
                </c:pt>
                <c:pt idx="1404">
                  <c:v>1.2734959274208766E-2</c:v>
                </c:pt>
                <c:pt idx="1405">
                  <c:v>1.8919501817924841E-2</c:v>
                </c:pt>
                <c:pt idx="1406">
                  <c:v>1.2433992947951172E-2</c:v>
                </c:pt>
                <c:pt idx="1407">
                  <c:v>5.2149469194780473E-3</c:v>
                </c:pt>
                <c:pt idx="1408">
                  <c:v>2.9823982530122018E-2</c:v>
                </c:pt>
                <c:pt idx="1409">
                  <c:v>7.5294508068581576E-3</c:v>
                </c:pt>
                <c:pt idx="1410">
                  <c:v>8.403547051711582E-3</c:v>
                </c:pt>
                <c:pt idx="1411">
                  <c:v>-9.7639009918943209E-3</c:v>
                </c:pt>
                <c:pt idx="1412">
                  <c:v>1.7572349562635831E-2</c:v>
                </c:pt>
                <c:pt idx="1413">
                  <c:v>3.0414974358863232E-2</c:v>
                </c:pt>
                <c:pt idx="1414">
                  <c:v>1.0622653550943866E-3</c:v>
                </c:pt>
                <c:pt idx="1415">
                  <c:v>1.6339287745249859E-2</c:v>
                </c:pt>
                <c:pt idx="1416">
                  <c:v>-1.1265616309835792E-2</c:v>
                </c:pt>
                <c:pt idx="1417">
                  <c:v>-3.2999975883829434E-2</c:v>
                </c:pt>
                <c:pt idx="1418">
                  <c:v>-4.3173651567849497E-2</c:v>
                </c:pt>
                <c:pt idx="1419">
                  <c:v>3.0469730504771662E-2</c:v>
                </c:pt>
                <c:pt idx="1420">
                  <c:v>4.02807334096408E-2</c:v>
                </c:pt>
                <c:pt idx="1421">
                  <c:v>-1.3250978148495298E-2</c:v>
                </c:pt>
                <c:pt idx="1422">
                  <c:v>-1.7715548333889376E-2</c:v>
                </c:pt>
                <c:pt idx="1423">
                  <c:v>8.4027540559366079E-3</c:v>
                </c:pt>
                <c:pt idx="1424">
                  <c:v>3.5094554004726372E-2</c:v>
                </c:pt>
                <c:pt idx="1425">
                  <c:v>-1.1461144032136824E-3</c:v>
                </c:pt>
                <c:pt idx="1426">
                  <c:v>1.6340056059878341E-2</c:v>
                </c:pt>
                <c:pt idx="1427">
                  <c:v>9.5360935757600452E-4</c:v>
                </c:pt>
                <c:pt idx="1428">
                  <c:v>3.9901072117182754E-3</c:v>
                </c:pt>
                <c:pt idx="1429">
                  <c:v>-1.1326509108406315E-2</c:v>
                </c:pt>
                <c:pt idx="1430">
                  <c:v>-1.7414285287884641E-3</c:v>
                </c:pt>
                <c:pt idx="1431">
                  <c:v>-1.6408238051891493E-2</c:v>
                </c:pt>
                <c:pt idx="1432">
                  <c:v>-1.3230139066265209E-2</c:v>
                </c:pt>
                <c:pt idx="1433">
                  <c:v>5.4069549724933509E-3</c:v>
                </c:pt>
                <c:pt idx="1434">
                  <c:v>8.6780884558032619E-3</c:v>
                </c:pt>
                <c:pt idx="1435">
                  <c:v>5.0259099925186118E-3</c:v>
                </c:pt>
                <c:pt idx="1436">
                  <c:v>-2.6868362011588241E-3</c:v>
                </c:pt>
                <c:pt idx="1437">
                  <c:v>-5.7554121460096728E-3</c:v>
                </c:pt>
                <c:pt idx="1438">
                  <c:v>1.2608758824260045E-2</c:v>
                </c:pt>
                <c:pt idx="1439">
                  <c:v>4.9685925681223521E-3</c:v>
                </c:pt>
                <c:pt idx="1440">
                  <c:v>-6.9279748546374961E-3</c:v>
                </c:pt>
                <c:pt idx="1441">
                  <c:v>-1.3897676723117003E-2</c:v>
                </c:pt>
                <c:pt idx="1442">
                  <c:v>5.2392633050675624E-3</c:v>
                </c:pt>
                <c:pt idx="1443">
                  <c:v>7.3896556571292002E-3</c:v>
                </c:pt>
                <c:pt idx="1444">
                  <c:v>-1.1839869415598751E-2</c:v>
                </c:pt>
                <c:pt idx="1445">
                  <c:v>-1.3125051092174567E-2</c:v>
                </c:pt>
                <c:pt idx="1446">
                  <c:v>-4.8469004294907202E-3</c:v>
                </c:pt>
                <c:pt idx="1447">
                  <c:v>1.5419147067434313E-2</c:v>
                </c:pt>
                <c:pt idx="1448">
                  <c:v>9.2691755943127042E-3</c:v>
                </c:pt>
                <c:pt idx="1449">
                  <c:v>-1.3222269027557753E-2</c:v>
                </c:pt>
                <c:pt idx="1450">
                  <c:v>-7.1810716944367657E-3</c:v>
                </c:pt>
                <c:pt idx="1451">
                  <c:v>-1.4599673490186937E-2</c:v>
                </c:pt>
                <c:pt idx="1452">
                  <c:v>1.9745939208616514E-4</c:v>
                </c:pt>
                <c:pt idx="1453">
                  <c:v>9.563106276899427E-3</c:v>
                </c:pt>
                <c:pt idx="1454">
                  <c:v>1.4656489070504729E-2</c:v>
                </c:pt>
                <c:pt idx="1455">
                  <c:v>-7.5603674635907185E-4</c:v>
                </c:pt>
                <c:pt idx="1456">
                  <c:v>-3.1955739803802472E-3</c:v>
                </c:pt>
                <c:pt idx="1457">
                  <c:v>-4.2533994858750578E-3</c:v>
                </c:pt>
                <c:pt idx="1458">
                  <c:v>-3.0491955680183223E-3</c:v>
                </c:pt>
                <c:pt idx="1459">
                  <c:v>1.2036043608072854E-2</c:v>
                </c:pt>
                <c:pt idx="1460">
                  <c:v>2.2456752447287858E-3</c:v>
                </c:pt>
                <c:pt idx="1461">
                  <c:v>3.5001893377273434E-3</c:v>
                </c:pt>
                <c:pt idx="1462">
                  <c:v>-8.2489619230528034E-3</c:v>
                </c:pt>
                <c:pt idx="1463">
                  <c:v>1.3556359863345213E-2</c:v>
                </c:pt>
                <c:pt idx="1464">
                  <c:v>1.7317399355024677E-3</c:v>
                </c:pt>
                <c:pt idx="1465">
                  <c:v>-5.8130717101804001E-3</c:v>
                </c:pt>
                <c:pt idx="1466">
                  <c:v>-6.8521345031323413E-4</c:v>
                </c:pt>
                <c:pt idx="1467">
                  <c:v>-4.6811374960220743E-3</c:v>
                </c:pt>
                <c:pt idx="1468">
                  <c:v>-1.1167870637139381E-2</c:v>
                </c:pt>
                <c:pt idx="1469">
                  <c:v>6.7589161552749927E-3</c:v>
                </c:pt>
                <c:pt idx="1470">
                  <c:v>-4.3464917804793531E-3</c:v>
                </c:pt>
                <c:pt idx="1471">
                  <c:v>1.3001078983902173E-2</c:v>
                </c:pt>
                <c:pt idx="1472">
                  <c:v>6.0285008298950407E-3</c:v>
                </c:pt>
                <c:pt idx="1473">
                  <c:v>-3.7028392805163506E-4</c:v>
                </c:pt>
                <c:pt idx="1474">
                  <c:v>-1.5624844236882102E-3</c:v>
                </c:pt>
                <c:pt idx="1475">
                  <c:v>-8.1557110208783305E-4</c:v>
                </c:pt>
                <c:pt idx="1476">
                  <c:v>8.8504542333256702E-3</c:v>
                </c:pt>
                <c:pt idx="1477">
                  <c:v>3.8397229956945978E-3</c:v>
                </c:pt>
                <c:pt idx="1478">
                  <c:v>5.7420979075210668E-3</c:v>
                </c:pt>
                <c:pt idx="1479">
                  <c:v>6.8976146989847388E-3</c:v>
                </c:pt>
                <c:pt idx="1480">
                  <c:v>8.3156490251501281E-3</c:v>
                </c:pt>
                <c:pt idx="1481">
                  <c:v>6.7450438032845474E-3</c:v>
                </c:pt>
                <c:pt idx="1482">
                  <c:v>-2.7581934359223819E-3</c:v>
                </c:pt>
                <c:pt idx="1483">
                  <c:v>-1.6907490220122577E-2</c:v>
                </c:pt>
                <c:pt idx="1484">
                  <c:v>1.6622348990833439E-3</c:v>
                </c:pt>
                <c:pt idx="1485">
                  <c:v>9.7668613482768188E-3</c:v>
                </c:pt>
                <c:pt idx="1486">
                  <c:v>2.9242867020271853E-4</c:v>
                </c:pt>
                <c:pt idx="1487">
                  <c:v>9.6035244160457747E-3</c:v>
                </c:pt>
                <c:pt idx="1488">
                  <c:v>-1.2313126549597694E-3</c:v>
                </c:pt>
                <c:pt idx="1489">
                  <c:v>-3.2680492889820702E-2</c:v>
                </c:pt>
                <c:pt idx="1490">
                  <c:v>5.4211362351359125E-3</c:v>
                </c:pt>
                <c:pt idx="1491">
                  <c:v>-1.1938379552823303E-2</c:v>
                </c:pt>
                <c:pt idx="1492">
                  <c:v>1.7836124729267266E-2</c:v>
                </c:pt>
                <c:pt idx="1493">
                  <c:v>-1.1497453162819547E-2</c:v>
                </c:pt>
                <c:pt idx="1494">
                  <c:v>1.3379760081836476E-2</c:v>
                </c:pt>
                <c:pt idx="1495">
                  <c:v>3.3117954079232761E-3</c:v>
                </c:pt>
                <c:pt idx="1496">
                  <c:v>-6.4687370210360856E-3</c:v>
                </c:pt>
                <c:pt idx="1497">
                  <c:v>7.5936835433098974E-3</c:v>
                </c:pt>
                <c:pt idx="1498">
                  <c:v>3.5453891677522009E-3</c:v>
                </c:pt>
                <c:pt idx="1499">
                  <c:v>9.1018593521969941E-3</c:v>
                </c:pt>
                <c:pt idx="1500">
                  <c:v>3.9676177517486969E-4</c:v>
                </c:pt>
                <c:pt idx="1501">
                  <c:v>-1.0168001698888939E-2</c:v>
                </c:pt>
                <c:pt idx="1502">
                  <c:v>-1.8821141869796009E-2</c:v>
                </c:pt>
                <c:pt idx="1503">
                  <c:v>3.9082829376710796E-3</c:v>
                </c:pt>
                <c:pt idx="1504">
                  <c:v>-1.2171628228616612E-2</c:v>
                </c:pt>
                <c:pt idx="1505">
                  <c:v>7.0862034350920745E-3</c:v>
                </c:pt>
                <c:pt idx="1506">
                  <c:v>-3.0865610803242276E-2</c:v>
                </c:pt>
                <c:pt idx="1507">
                  <c:v>2.5037686417744984E-2</c:v>
                </c:pt>
                <c:pt idx="1508">
                  <c:v>-1.0252910380622287E-4</c:v>
                </c:pt>
                <c:pt idx="1509">
                  <c:v>-4.6776469944850374E-3</c:v>
                </c:pt>
                <c:pt idx="1510">
                  <c:v>-3.1342138767163505E-2</c:v>
                </c:pt>
                <c:pt idx="1511">
                  <c:v>-5.8924344665160597E-2</c:v>
                </c:pt>
                <c:pt idx="1512">
                  <c:v>3.5235507088887619E-2</c:v>
                </c:pt>
                <c:pt idx="1513">
                  <c:v>9.4454154452956379E-2</c:v>
                </c:pt>
                <c:pt idx="1514">
                  <c:v>1.0896715563037781E-2</c:v>
                </c:pt>
                <c:pt idx="1515">
                  <c:v>-3.3193931751219059E-4</c:v>
                </c:pt>
                <c:pt idx="1516">
                  <c:v>1.2024816316117948E-2</c:v>
                </c:pt>
                <c:pt idx="1517">
                  <c:v>-2.6072442494455453E-3</c:v>
                </c:pt>
                <c:pt idx="1518">
                  <c:v>3.3840610973054412E-4</c:v>
                </c:pt>
                <c:pt idx="1519">
                  <c:v>-6.0030263273434794E-3</c:v>
                </c:pt>
                <c:pt idx="1520">
                  <c:v>8.0719582977820063E-3</c:v>
                </c:pt>
                <c:pt idx="1521">
                  <c:v>-6.4905405137235285E-3</c:v>
                </c:pt>
                <c:pt idx="1522">
                  <c:v>-4.2273365413081652E-4</c:v>
                </c:pt>
                <c:pt idx="1523">
                  <c:v>-7.4015972941664778E-3</c:v>
                </c:pt>
                <c:pt idx="1524">
                  <c:v>9.4560092139211798E-4</c:v>
                </c:pt>
                <c:pt idx="1525">
                  <c:v>5.395793951150191E-3</c:v>
                </c:pt>
                <c:pt idx="1526">
                  <c:v>6.0491844217026008E-3</c:v>
                </c:pt>
                <c:pt idx="1527">
                  <c:v>-6.7948249113613957E-3</c:v>
                </c:pt>
                <c:pt idx="1528">
                  <c:v>1.3232578897609214E-2</c:v>
                </c:pt>
                <c:pt idx="1529">
                  <c:v>1.1191284878224624E-2</c:v>
                </c:pt>
                <c:pt idx="1530">
                  <c:v>-1.2961532401737008E-3</c:v>
                </c:pt>
                <c:pt idx="1531">
                  <c:v>3.152226634111873E-3</c:v>
                </c:pt>
                <c:pt idx="1532">
                  <c:v>1.9080112148025352E-2</c:v>
                </c:pt>
                <c:pt idx="1533">
                  <c:v>-2.0872891521115404E-3</c:v>
                </c:pt>
                <c:pt idx="1534">
                  <c:v>-1.5710379431188356E-2</c:v>
                </c:pt>
                <c:pt idx="1535">
                  <c:v>6.696218229088407E-4</c:v>
                </c:pt>
                <c:pt idx="1536">
                  <c:v>-2.080746581560545E-3</c:v>
                </c:pt>
                <c:pt idx="1537">
                  <c:v>-1.2339896421314441E-2</c:v>
                </c:pt>
                <c:pt idx="1538">
                  <c:v>-3.8462327066249896E-3</c:v>
                </c:pt>
                <c:pt idx="1539">
                  <c:v>1.7207961928162327E-4</c:v>
                </c:pt>
                <c:pt idx="1540">
                  <c:v>-3.2125195087218145E-2</c:v>
                </c:pt>
                <c:pt idx="1541">
                  <c:v>5.2331087179569274E-2</c:v>
                </c:pt>
                <c:pt idx="1542">
                  <c:v>4.2127947238468069E-3</c:v>
                </c:pt>
                <c:pt idx="1543">
                  <c:v>-5.825761206839474E-3</c:v>
                </c:pt>
                <c:pt idx="1544">
                  <c:v>1.9112475691634156E-2</c:v>
                </c:pt>
                <c:pt idx="1545">
                  <c:v>1.0035772095739184E-2</c:v>
                </c:pt>
                <c:pt idx="1546">
                  <c:v>2.0474210583670025E-2</c:v>
                </c:pt>
                <c:pt idx="1547">
                  <c:v>1.6728623520401033E-2</c:v>
                </c:pt>
                <c:pt idx="1548">
                  <c:v>2.6286589420321336E-3</c:v>
                </c:pt>
                <c:pt idx="1549">
                  <c:v>9.6597464500201794E-3</c:v>
                </c:pt>
                <c:pt idx="1550">
                  <c:v>1.0770065357040103E-2</c:v>
                </c:pt>
                <c:pt idx="1551">
                  <c:v>2.4765659724783139E-4</c:v>
                </c:pt>
                <c:pt idx="1552">
                  <c:v>-6.193330159496125E-3</c:v>
                </c:pt>
                <c:pt idx="1553">
                  <c:v>9.0917744543584107E-3</c:v>
                </c:pt>
                <c:pt idx="1554">
                  <c:v>3.8677003257679078E-3</c:v>
                </c:pt>
                <c:pt idx="1555">
                  <c:v>1.640196405399651E-2</c:v>
                </c:pt>
                <c:pt idx="1556">
                  <c:v>-4.1220475368407682E-3</c:v>
                </c:pt>
                <c:pt idx="1557">
                  <c:v>3.23738699784049E-3</c:v>
                </c:pt>
                <c:pt idx="1558">
                  <c:v>1.675854599469408E-2</c:v>
                </c:pt>
                <c:pt idx="1559">
                  <c:v>-4.9139836513057659E-4</c:v>
                </c:pt>
                <c:pt idx="1560">
                  <c:v>-2.7401676337846471E-3</c:v>
                </c:pt>
                <c:pt idx="1561">
                  <c:v>8.6967952991219896E-3</c:v>
                </c:pt>
                <c:pt idx="1562">
                  <c:v>-1.185414134293848E-3</c:v>
                </c:pt>
                <c:pt idx="1563">
                  <c:v>-4.0335541379097452E-3</c:v>
                </c:pt>
                <c:pt idx="1564">
                  <c:v>3.7105782158492985E-3</c:v>
                </c:pt>
                <c:pt idx="1565">
                  <c:v>1.2410268714356885E-3</c:v>
                </c:pt>
                <c:pt idx="1566">
                  <c:v>-1.0153891453339883E-2</c:v>
                </c:pt>
                <c:pt idx="1567">
                  <c:v>3.2431458427696334E-3</c:v>
                </c:pt>
                <c:pt idx="1568">
                  <c:v>7.0670767941422297E-3</c:v>
                </c:pt>
                <c:pt idx="1569">
                  <c:v>1.1798228314399207E-2</c:v>
                </c:pt>
                <c:pt idx="1570">
                  <c:v>7.2157985203386635E-3</c:v>
                </c:pt>
                <c:pt idx="1571">
                  <c:v>6.9305988356712879E-3</c:v>
                </c:pt>
                <c:pt idx="1572">
                  <c:v>1.4341237316146475E-2</c:v>
                </c:pt>
                <c:pt idx="1573">
                  <c:v>3.8503396203008093E-3</c:v>
                </c:pt>
                <c:pt idx="1574">
                  <c:v>-1.8149343680900674E-3</c:v>
                </c:pt>
                <c:pt idx="1575">
                  <c:v>1.0641148746619327E-2</c:v>
                </c:pt>
                <c:pt idx="1576">
                  <c:v>5.1364651319297128E-4</c:v>
                </c:pt>
                <c:pt idx="1577">
                  <c:v>-3.2379782743902244E-3</c:v>
                </c:pt>
                <c:pt idx="1578">
                  <c:v>-2.5714991765123996E-4</c:v>
                </c:pt>
                <c:pt idx="1579">
                  <c:v>1.1637456692918279E-2</c:v>
                </c:pt>
                <c:pt idx="1580">
                  <c:v>1.0623266068100613E-2</c:v>
                </c:pt>
                <c:pt idx="1581">
                  <c:v>5.4767035619438372E-3</c:v>
                </c:pt>
                <c:pt idx="1582">
                  <c:v>-9.0027292467678051E-3</c:v>
                </c:pt>
                <c:pt idx="1583">
                  <c:v>1.7274066646578129E-3</c:v>
                </c:pt>
                <c:pt idx="1584">
                  <c:v>-4.5336552746997084E-3</c:v>
                </c:pt>
                <c:pt idx="1585">
                  <c:v>-2.55518064639989E-3</c:v>
                </c:pt>
                <c:pt idx="1586">
                  <c:v>-6.3396747372217784E-3</c:v>
                </c:pt>
                <c:pt idx="1587">
                  <c:v>-1.0204480818648003E-3</c:v>
                </c:pt>
                <c:pt idx="1588">
                  <c:v>8.6482255887466875E-3</c:v>
                </c:pt>
                <c:pt idx="1589">
                  <c:v>9.1062455649654154E-3</c:v>
                </c:pt>
                <c:pt idx="1590">
                  <c:v>6.6969556073892744E-3</c:v>
                </c:pt>
                <c:pt idx="1591">
                  <c:v>8.1231733788824124E-3</c:v>
                </c:pt>
                <c:pt idx="1592">
                  <c:v>3.0475313445536712E-3</c:v>
                </c:pt>
                <c:pt idx="1593">
                  <c:v>1.0555545802947781E-2</c:v>
                </c:pt>
                <c:pt idx="1594">
                  <c:v>1.1732907502398736E-2</c:v>
                </c:pt>
                <c:pt idx="1595">
                  <c:v>3.0509847341209299E-3</c:v>
                </c:pt>
                <c:pt idx="1596">
                  <c:v>2.9206674121360801E-3</c:v>
                </c:pt>
                <c:pt idx="1597">
                  <c:v>-5.6014871915057649E-3</c:v>
                </c:pt>
                <c:pt idx="1598">
                  <c:v>-1.0897568707820628E-2</c:v>
                </c:pt>
                <c:pt idx="1599">
                  <c:v>6.1177926477318572E-3</c:v>
                </c:pt>
                <c:pt idx="1600">
                  <c:v>5.1254783938581069E-3</c:v>
                </c:pt>
                <c:pt idx="1601">
                  <c:v>-2.0040857738496492E-5</c:v>
                </c:pt>
                <c:pt idx="1602">
                  <c:v>1.1369476880230319E-2</c:v>
                </c:pt>
                <c:pt idx="1603">
                  <c:v>5.3123239394489718E-4</c:v>
                </c:pt>
                <c:pt idx="1604">
                  <c:v>-3.0544672405984023E-3</c:v>
                </c:pt>
                <c:pt idx="1605">
                  <c:v>2.4776798096609477E-3</c:v>
                </c:pt>
                <c:pt idx="1606">
                  <c:v>1.8465918174190318E-3</c:v>
                </c:pt>
                <c:pt idx="1607">
                  <c:v>6.5939195265016862E-3</c:v>
                </c:pt>
                <c:pt idx="1608">
                  <c:v>1.8689906566476656E-2</c:v>
                </c:pt>
                <c:pt idx="1609">
                  <c:v>9.8033971041746795E-3</c:v>
                </c:pt>
                <c:pt idx="1610">
                  <c:v>1.0045304880404442E-2</c:v>
                </c:pt>
                <c:pt idx="1611">
                  <c:v>8.8674129312198743E-4</c:v>
                </c:pt>
                <c:pt idx="1612">
                  <c:v>1.7201667178418062E-2</c:v>
                </c:pt>
                <c:pt idx="1613">
                  <c:v>2.970093767788516E-3</c:v>
                </c:pt>
                <c:pt idx="1614">
                  <c:v>-7.3238035420544511E-3</c:v>
                </c:pt>
                <c:pt idx="1615">
                  <c:v>-9.4106546666006367E-3</c:v>
                </c:pt>
                <c:pt idx="1616">
                  <c:v>-5.4581424563145504E-3</c:v>
                </c:pt>
                <c:pt idx="1617">
                  <c:v>-4.4530433375134584E-3</c:v>
                </c:pt>
                <c:pt idx="1618">
                  <c:v>-8.7073053369152893E-3</c:v>
                </c:pt>
                <c:pt idx="1619">
                  <c:v>-2.8539679073078552E-2</c:v>
                </c:pt>
                <c:pt idx="1620">
                  <c:v>4.4385560473259013E-2</c:v>
                </c:pt>
                <c:pt idx="1621">
                  <c:v>1.2712415974230897E-3</c:v>
                </c:pt>
                <c:pt idx="1622">
                  <c:v>-7.494037832198419E-3</c:v>
                </c:pt>
                <c:pt idx="1623">
                  <c:v>-3.8827637640174765E-3</c:v>
                </c:pt>
                <c:pt idx="1624">
                  <c:v>1.4875442458778441E-2</c:v>
                </c:pt>
                <c:pt idx="1625">
                  <c:v>6.6404034914931635E-3</c:v>
                </c:pt>
                <c:pt idx="1626">
                  <c:v>-4.7419482042174834E-3</c:v>
                </c:pt>
                <c:pt idx="1627">
                  <c:v>-1.1785237732934443E-2</c:v>
                </c:pt>
                <c:pt idx="1628">
                  <c:v>-7.8150361251302473E-3</c:v>
                </c:pt>
                <c:pt idx="1629">
                  <c:v>-6.9827995164605267E-3</c:v>
                </c:pt>
                <c:pt idx="1630">
                  <c:v>-1.2720347406736427E-2</c:v>
                </c:pt>
                <c:pt idx="1631">
                  <c:v>-1.0218360244153339E-2</c:v>
                </c:pt>
                <c:pt idx="1632">
                  <c:v>-1.0930990087026081E-2</c:v>
                </c:pt>
                <c:pt idx="1633">
                  <c:v>3.1256045317357824E-2</c:v>
                </c:pt>
                <c:pt idx="1634">
                  <c:v>7.2475249754487747E-3</c:v>
                </c:pt>
                <c:pt idx="1635">
                  <c:v>-9.3449660313719585E-3</c:v>
                </c:pt>
                <c:pt idx="1636">
                  <c:v>-1.0562756100704918E-2</c:v>
                </c:pt>
                <c:pt idx="1637">
                  <c:v>-3.0166403065482444E-3</c:v>
                </c:pt>
                <c:pt idx="1638">
                  <c:v>3.1182902484526097E-3</c:v>
                </c:pt>
                <c:pt idx="1639">
                  <c:v>1.2190391164620031E-2</c:v>
                </c:pt>
                <c:pt idx="1640">
                  <c:v>-2.2706116768142038E-2</c:v>
                </c:pt>
                <c:pt idx="1641">
                  <c:v>1.985488105757641E-3</c:v>
                </c:pt>
                <c:pt idx="1642">
                  <c:v>1.5637174315093209E-2</c:v>
                </c:pt>
                <c:pt idx="1643">
                  <c:v>7.952881129110077E-3</c:v>
                </c:pt>
                <c:pt idx="1644">
                  <c:v>-1.5314768828196021E-3</c:v>
                </c:pt>
                <c:pt idx="1645">
                  <c:v>-4.6513270469973386E-3</c:v>
                </c:pt>
                <c:pt idx="1646">
                  <c:v>8.0227977570838278E-3</c:v>
                </c:pt>
                <c:pt idx="1647">
                  <c:v>4.3806712451275069E-3</c:v>
                </c:pt>
                <c:pt idx="1648">
                  <c:v>-5.118667381380732E-3</c:v>
                </c:pt>
                <c:pt idx="1649">
                  <c:v>-7.3305280373738046E-4</c:v>
                </c:pt>
                <c:pt idx="1650">
                  <c:v>-1.8002385295987158E-3</c:v>
                </c:pt>
                <c:pt idx="1651">
                  <c:v>9.2524401876944943E-3</c:v>
                </c:pt>
                <c:pt idx="1652">
                  <c:v>1.3388073291670676E-2</c:v>
                </c:pt>
                <c:pt idx="1653">
                  <c:v>7.8875484804652816E-3</c:v>
                </c:pt>
                <c:pt idx="1654">
                  <c:v>8.3063901169741997E-3</c:v>
                </c:pt>
                <c:pt idx="1655">
                  <c:v>-2.4985393799759688E-3</c:v>
                </c:pt>
                <c:pt idx="1656">
                  <c:v>-8.9293703235246054E-3</c:v>
                </c:pt>
                <c:pt idx="1657">
                  <c:v>8.3186203115893508E-4</c:v>
                </c:pt>
                <c:pt idx="1658">
                  <c:v>4.8232672444147298E-3</c:v>
                </c:pt>
                <c:pt idx="1659">
                  <c:v>7.2877025055065369E-3</c:v>
                </c:pt>
                <c:pt idx="1660">
                  <c:v>6.8515610958196829E-3</c:v>
                </c:pt>
                <c:pt idx="1661">
                  <c:v>-2.6732541629312057E-5</c:v>
                </c:pt>
                <c:pt idx="1662">
                  <c:v>-5.1765144389679984E-3</c:v>
                </c:pt>
                <c:pt idx="1663">
                  <c:v>7.6514451843274723E-3</c:v>
                </c:pt>
                <c:pt idx="1664">
                  <c:v>5.1618192450183552E-3</c:v>
                </c:pt>
                <c:pt idx="1665">
                  <c:v>-1.7221371227378686E-3</c:v>
                </c:pt>
                <c:pt idx="1666">
                  <c:v>-7.8288127767352331E-4</c:v>
                </c:pt>
                <c:pt idx="1667">
                  <c:v>9.6692071919456096E-3</c:v>
                </c:pt>
                <c:pt idx="1668">
                  <c:v>-3.2343444134256814E-3</c:v>
                </c:pt>
                <c:pt idx="1669">
                  <c:v>-1.1685225497023656E-3</c:v>
                </c:pt>
                <c:pt idx="1670">
                  <c:v>-7.6201406052031704E-4</c:v>
                </c:pt>
                <c:pt idx="1671">
                  <c:v>-1.4234213517178196E-3</c:v>
                </c:pt>
                <c:pt idx="1672">
                  <c:v>9.1933968123439121E-3</c:v>
                </c:pt>
                <c:pt idx="1673">
                  <c:v>8.6751952848458692E-3</c:v>
                </c:pt>
                <c:pt idx="1674">
                  <c:v>3.3149633856583288E-3</c:v>
                </c:pt>
                <c:pt idx="1675">
                  <c:v>-2.3985973744904119E-3</c:v>
                </c:pt>
              </c:numCache>
            </c:numRef>
          </c:xVal>
          <c:yVal>
            <c:numRef>
              <c:f>'[1]Lucky Core Industries'!$D$4:$D$1679</c:f>
              <c:numCache>
                <c:formatCode>General</c:formatCode>
                <c:ptCount val="1676"/>
                <c:pt idx="0">
                  <c:v>1.546192500966429E-3</c:v>
                </c:pt>
                <c:pt idx="1">
                  <c:v>1.8911617136240819E-2</c:v>
                </c:pt>
                <c:pt idx="2">
                  <c:v>-1.0101010101010065E-2</c:v>
                </c:pt>
                <c:pt idx="3">
                  <c:v>4.2091836734693654E-3</c:v>
                </c:pt>
                <c:pt idx="4">
                  <c:v>-2.3498031246031027E-3</c:v>
                </c:pt>
                <c:pt idx="5">
                  <c:v>1.3368132917436371E-3</c:v>
                </c:pt>
                <c:pt idx="6">
                  <c:v>-1.6973935155753437E-2</c:v>
                </c:pt>
                <c:pt idx="7">
                  <c:v>1.532690939662423E-2</c:v>
                </c:pt>
                <c:pt idx="8">
                  <c:v>-1.5222929936305645E-2</c:v>
                </c:pt>
                <c:pt idx="9">
                  <c:v>-4.3981631201087043E-3</c:v>
                </c:pt>
                <c:pt idx="10">
                  <c:v>-4.5475216007277138E-3</c:v>
                </c:pt>
                <c:pt idx="11">
                  <c:v>-9.1365920511640253E-4</c:v>
                </c:pt>
                <c:pt idx="12">
                  <c:v>-2.0249526422366076E-3</c:v>
                </c:pt>
                <c:pt idx="13">
                  <c:v>-1.2436182746432629E-3</c:v>
                </c:pt>
                <c:pt idx="14">
                  <c:v>4.7185267710859093E-3</c:v>
                </c:pt>
                <c:pt idx="15">
                  <c:v>7.1097775748483688E-3</c:v>
                </c:pt>
                <c:pt idx="16">
                  <c:v>-2.5906735751295702E-3</c:v>
                </c:pt>
                <c:pt idx="17">
                  <c:v>-6.4935064935064939E-3</c:v>
                </c:pt>
                <c:pt idx="18">
                  <c:v>-3.5294117647058304E-3</c:v>
                </c:pt>
                <c:pt idx="19">
                  <c:v>-1.5741833923652701E-3</c:v>
                </c:pt>
                <c:pt idx="20">
                  <c:v>-8.4088818814873293E-3</c:v>
                </c:pt>
                <c:pt idx="21">
                  <c:v>-6.0288856499271012E-3</c:v>
                </c:pt>
                <c:pt idx="22">
                  <c:v>-1.3463973871892356E-2</c:v>
                </c:pt>
                <c:pt idx="23">
                  <c:v>-4.8645361799878311E-3</c:v>
                </c:pt>
                <c:pt idx="24">
                  <c:v>-6.7893271776766923E-3</c:v>
                </c:pt>
                <c:pt idx="25">
                  <c:v>1.0253605851391462E-3</c:v>
                </c:pt>
                <c:pt idx="26">
                  <c:v>6.8287353182128554E-5</c:v>
                </c:pt>
                <c:pt idx="27">
                  <c:v>-2.4581768521678747E-3</c:v>
                </c:pt>
                <c:pt idx="28">
                  <c:v>4.7915668423573728E-3</c:v>
                </c:pt>
                <c:pt idx="29">
                  <c:v>-6.7443286327405188E-3</c:v>
                </c:pt>
                <c:pt idx="30">
                  <c:v>-2.0576131687243576E-4</c:v>
                </c:pt>
                <c:pt idx="31">
                  <c:v>-5.0764903615284976E-3</c:v>
                </c:pt>
                <c:pt idx="32">
                  <c:v>-1.0066882713921312E-2</c:v>
                </c:pt>
                <c:pt idx="33">
                  <c:v>-3.1273943024308568E-2</c:v>
                </c:pt>
                <c:pt idx="34">
                  <c:v>-8.7719298245613943E-3</c:v>
                </c:pt>
                <c:pt idx="35">
                  <c:v>8.3417960249526843E-3</c:v>
                </c:pt>
                <c:pt idx="36">
                  <c:v>-7.193727069988422E-5</c:v>
                </c:pt>
                <c:pt idx="37">
                  <c:v>-1.9784172661870502E-2</c:v>
                </c:pt>
                <c:pt idx="38">
                  <c:v>-2.7889908256880399E-3</c:v>
                </c:pt>
                <c:pt idx="39">
                  <c:v>1.6191948185765722E-3</c:v>
                </c:pt>
                <c:pt idx="40">
                  <c:v>-2.3807774267029239E-2</c:v>
                </c:pt>
                <c:pt idx="41">
                  <c:v>6.0971019947309172E-3</c:v>
                </c:pt>
                <c:pt idx="42">
                  <c:v>-5.0127188388447369E-3</c:v>
                </c:pt>
                <c:pt idx="43">
                  <c:v>-5.2635536506505523E-3</c:v>
                </c:pt>
                <c:pt idx="44">
                  <c:v>2.2677451054502334E-3</c:v>
                </c:pt>
                <c:pt idx="45">
                  <c:v>3.0394449053473119E-2</c:v>
                </c:pt>
                <c:pt idx="46">
                  <c:v>-5.489679402722881E-3</c:v>
                </c:pt>
                <c:pt idx="47">
                  <c:v>-8.8319717376907742E-4</c:v>
                </c:pt>
                <c:pt idx="48">
                  <c:v>1.841620626151013E-3</c:v>
                </c:pt>
                <c:pt idx="49">
                  <c:v>-1.4705882352940341E-3</c:v>
                </c:pt>
                <c:pt idx="50">
                  <c:v>-6.1119293078056884E-3</c:v>
                </c:pt>
                <c:pt idx="51">
                  <c:v>-5.9272430910573565E-3</c:v>
                </c:pt>
                <c:pt idx="52">
                  <c:v>-1.5428188119549775E-2</c:v>
                </c:pt>
                <c:pt idx="53">
                  <c:v>-4.9205147615443276E-3</c:v>
                </c:pt>
                <c:pt idx="54">
                  <c:v>-1.9018638265500192E-2</c:v>
                </c:pt>
                <c:pt idx="55">
                  <c:v>-2.1326095385808343E-2</c:v>
                </c:pt>
                <c:pt idx="56">
                  <c:v>8.4786053882725289E-3</c:v>
                </c:pt>
                <c:pt idx="57">
                  <c:v>2.3729079908855158E-2</c:v>
                </c:pt>
                <c:pt idx="58">
                  <c:v>8.7497121805204924E-3</c:v>
                </c:pt>
                <c:pt idx="59">
                  <c:v>1.0804230388800027E-2</c:v>
                </c:pt>
                <c:pt idx="60">
                  <c:v>-6.172374858863329E-3</c:v>
                </c:pt>
                <c:pt idx="61">
                  <c:v>-1.6814360372642573E-2</c:v>
                </c:pt>
                <c:pt idx="62">
                  <c:v>-7.7035667513988945E-5</c:v>
                </c:pt>
                <c:pt idx="63">
                  <c:v>-1.2326656394454931E-3</c:v>
                </c:pt>
                <c:pt idx="64">
                  <c:v>-1.2496143165689418E-2</c:v>
                </c:pt>
                <c:pt idx="65">
                  <c:v>-4.9992188720513571E-3</c:v>
                </c:pt>
                <c:pt idx="66">
                  <c:v>-4.2392840320300837E-3</c:v>
                </c:pt>
                <c:pt idx="67">
                  <c:v>-5.5187637969095144E-3</c:v>
                </c:pt>
                <c:pt idx="68">
                  <c:v>5.0737276042492514E-3</c:v>
                </c:pt>
                <c:pt idx="69">
                  <c:v>-6.3101435557657594E-4</c:v>
                </c:pt>
                <c:pt idx="70">
                  <c:v>-3.078137332280983E-3</c:v>
                </c:pt>
                <c:pt idx="71">
                  <c:v>-7.4420077586889221E-3</c:v>
                </c:pt>
                <c:pt idx="72">
                  <c:v>-4.1477227406876462E-3</c:v>
                </c:pt>
                <c:pt idx="73">
                  <c:v>9.6115338406090956E-4</c:v>
                </c:pt>
                <c:pt idx="74">
                  <c:v>1.3603264783548189E-3</c:v>
                </c:pt>
                <c:pt idx="75">
                  <c:v>1.0148633530445868E-2</c:v>
                </c:pt>
                <c:pt idx="76">
                  <c:v>-1.42393797959022E-2</c:v>
                </c:pt>
                <c:pt idx="77">
                  <c:v>7.2225343070382326E-4</c:v>
                </c:pt>
                <c:pt idx="78">
                  <c:v>-2.9671210906175183E-3</c:v>
                </c:pt>
                <c:pt idx="79">
                  <c:v>1.2868977720582046E-3</c:v>
                </c:pt>
                <c:pt idx="80">
                  <c:v>1.2290143786649541E-2</c:v>
                </c:pt>
                <c:pt idx="81">
                  <c:v>4.0707824154896127E-2</c:v>
                </c:pt>
                <c:pt idx="82">
                  <c:v>-1.7460922607701043E-2</c:v>
                </c:pt>
                <c:pt idx="83">
                  <c:v>-7.8379636815149711E-3</c:v>
                </c:pt>
                <c:pt idx="84">
                  <c:v>3.1286664059449555E-4</c:v>
                </c:pt>
                <c:pt idx="85">
                  <c:v>-2.5959809211040796E-2</c:v>
                </c:pt>
                <c:pt idx="86">
                  <c:v>8.0276149955854962E-4</c:v>
                </c:pt>
                <c:pt idx="87">
                  <c:v>-2.4223951231250471E-2</c:v>
                </c:pt>
                <c:pt idx="88">
                  <c:v>-3.4525277435265241E-3</c:v>
                </c:pt>
                <c:pt idx="89">
                  <c:v>-1.8807225934174717E-2</c:v>
                </c:pt>
                <c:pt idx="90">
                  <c:v>3.0937368642286613E-2</c:v>
                </c:pt>
                <c:pt idx="91">
                  <c:v>-4.9498491396884885E-2</c:v>
                </c:pt>
                <c:pt idx="92">
                  <c:v>-8.7508579272477342E-3</c:v>
                </c:pt>
                <c:pt idx="93">
                  <c:v>-1.5319369915180977E-2</c:v>
                </c:pt>
                <c:pt idx="94">
                  <c:v>-4.1838797574052837E-2</c:v>
                </c:pt>
                <c:pt idx="95">
                  <c:v>-1.1650307311255942E-2</c:v>
                </c:pt>
                <c:pt idx="96">
                  <c:v>-4.2695377761276573E-3</c:v>
                </c:pt>
                <c:pt idx="97">
                  <c:v>-9.973900074571284E-3</c:v>
                </c:pt>
                <c:pt idx="98">
                  <c:v>-5.8374917616042781E-3</c:v>
                </c:pt>
                <c:pt idx="99">
                  <c:v>9.6600056823562454E-3</c:v>
                </c:pt>
                <c:pt idx="100">
                  <c:v>2.5325954413282083E-2</c:v>
                </c:pt>
                <c:pt idx="101">
                  <c:v>-1.3265026072637479E-2</c:v>
                </c:pt>
                <c:pt idx="102">
                  <c:v>-1.372149082143523E-2</c:v>
                </c:pt>
                <c:pt idx="103">
                  <c:v>-9.6822711035909111E-3</c:v>
                </c:pt>
                <c:pt idx="104">
                  <c:v>-7.498813478879849E-3</c:v>
                </c:pt>
                <c:pt idx="105">
                  <c:v>-5.5470543228768009E-3</c:v>
                </c:pt>
                <c:pt idx="106">
                  <c:v>1.1059819195999148E-2</c:v>
                </c:pt>
                <c:pt idx="107">
                  <c:v>2.473128507562115E-3</c:v>
                </c:pt>
                <c:pt idx="108">
                  <c:v>-5.6931397665812159E-3</c:v>
                </c:pt>
                <c:pt idx="109">
                  <c:v>-8.4931768298501815E-3</c:v>
                </c:pt>
                <c:pt idx="110">
                  <c:v>-2.9836381135707629E-3</c:v>
                </c:pt>
                <c:pt idx="111">
                  <c:v>1.2742542716478358E-2</c:v>
                </c:pt>
                <c:pt idx="112">
                  <c:v>6.8630254503860349E-3</c:v>
                </c:pt>
                <c:pt idx="113">
                  <c:v>-1.126573889993371E-2</c:v>
                </c:pt>
                <c:pt idx="114">
                  <c:v>1.2543086939869804E-2</c:v>
                </c:pt>
                <c:pt idx="115">
                  <c:v>-1.323877068557925E-2</c:v>
                </c:pt>
                <c:pt idx="116">
                  <c:v>-9.4873023478677047E-3</c:v>
                </c:pt>
                <c:pt idx="117">
                  <c:v>3.0282507739938038E-2</c:v>
                </c:pt>
                <c:pt idx="118">
                  <c:v>-4.789182082824593E-3</c:v>
                </c:pt>
                <c:pt idx="119">
                  <c:v>-4.5291564446122284E-3</c:v>
                </c:pt>
                <c:pt idx="120">
                  <c:v>-1.8009478672985836E-2</c:v>
                </c:pt>
                <c:pt idx="121">
                  <c:v>6.0810810810811751E-3</c:v>
                </c:pt>
                <c:pt idx="122">
                  <c:v>-3.1660750263839419E-3</c:v>
                </c:pt>
                <c:pt idx="123">
                  <c:v>-7.8922040423484822E-3</c:v>
                </c:pt>
                <c:pt idx="124">
                  <c:v>-8.7310826542494574E-4</c:v>
                </c:pt>
                <c:pt idx="125">
                  <c:v>9.7096805515148229E-5</c:v>
                </c:pt>
                <c:pt idx="126">
                  <c:v>0</c:v>
                </c:pt>
                <c:pt idx="127">
                  <c:v>0</c:v>
                </c:pt>
                <c:pt idx="128">
                  <c:v>-9.7087378640826362E-5</c:v>
                </c:pt>
                <c:pt idx="129">
                  <c:v>9.7096805515148229E-5</c:v>
                </c:pt>
                <c:pt idx="130">
                  <c:v>0</c:v>
                </c:pt>
                <c:pt idx="131">
                  <c:v>-8.0582524271844494E-3</c:v>
                </c:pt>
                <c:pt idx="132">
                  <c:v>0</c:v>
                </c:pt>
                <c:pt idx="133">
                  <c:v>-1.6638935108153246E-3</c:v>
                </c:pt>
                <c:pt idx="134">
                  <c:v>0</c:v>
                </c:pt>
                <c:pt idx="135">
                  <c:v>0</c:v>
                </c:pt>
                <c:pt idx="136">
                  <c:v>-9.8039215686324664E-5</c:v>
                </c:pt>
                <c:pt idx="137">
                  <c:v>-6.5692714972056254E-3</c:v>
                </c:pt>
                <c:pt idx="138">
                  <c:v>-5.0335570469797761E-3</c:v>
                </c:pt>
                <c:pt idx="139">
                  <c:v>-1.0911615911119873E-3</c:v>
                </c:pt>
                <c:pt idx="140">
                  <c:v>-7.2492552135055011E-3</c:v>
                </c:pt>
                <c:pt idx="141">
                  <c:v>-3.7011103330999756E-3</c:v>
                </c:pt>
                <c:pt idx="142">
                  <c:v>-6.0240963855421117E-3</c:v>
                </c:pt>
                <c:pt idx="143">
                  <c:v>-1.1616161616161674E-2</c:v>
                </c:pt>
                <c:pt idx="144">
                  <c:v>-3.3725089422585564E-2</c:v>
                </c:pt>
                <c:pt idx="145">
                  <c:v>-7.2977260708619544E-3</c:v>
                </c:pt>
                <c:pt idx="146">
                  <c:v>-9.1625825697847791E-3</c:v>
                </c:pt>
                <c:pt idx="147">
                  <c:v>5.1612903225806877E-3</c:v>
                </c:pt>
                <c:pt idx="148">
                  <c:v>1.6474112109542062E-2</c:v>
                </c:pt>
                <c:pt idx="149">
                  <c:v>-8.3140391496526207E-3</c:v>
                </c:pt>
                <c:pt idx="150">
                  <c:v>-4.8816725034490924E-3</c:v>
                </c:pt>
                <c:pt idx="151">
                  <c:v>-9.4913085208488922E-3</c:v>
                </c:pt>
                <c:pt idx="152">
                  <c:v>-9.2592592592592535E-3</c:v>
                </c:pt>
                <c:pt idx="153">
                  <c:v>-1.2171267115844276E-2</c:v>
                </c:pt>
                <c:pt idx="154">
                  <c:v>1.2871287128712734E-2</c:v>
                </c:pt>
                <c:pt idx="155">
                  <c:v>-7.2770717932006904E-3</c:v>
                </c:pt>
                <c:pt idx="156">
                  <c:v>4.3763676148795561E-3</c:v>
                </c:pt>
                <c:pt idx="157">
                  <c:v>-1.0893246187363835E-2</c:v>
                </c:pt>
                <c:pt idx="158">
                  <c:v>-8.8105726872246392E-3</c:v>
                </c:pt>
                <c:pt idx="159">
                  <c:v>-1.4111111111111067E-2</c:v>
                </c:pt>
                <c:pt idx="160">
                  <c:v>0</c:v>
                </c:pt>
                <c:pt idx="161">
                  <c:v>7.4382959540177677E-3</c:v>
                </c:pt>
                <c:pt idx="162">
                  <c:v>-2.0807696610359094E-2</c:v>
                </c:pt>
                <c:pt idx="163">
                  <c:v>-3.4273963212614114E-4</c:v>
                </c:pt>
                <c:pt idx="164">
                  <c:v>1.1428571428570779E-3</c:v>
                </c:pt>
                <c:pt idx="165">
                  <c:v>-2.2831050228309204E-3</c:v>
                </c:pt>
                <c:pt idx="166">
                  <c:v>0</c:v>
                </c:pt>
                <c:pt idx="167">
                  <c:v>1.1441647597254004E-2</c:v>
                </c:pt>
                <c:pt idx="168">
                  <c:v>-7.1266968325792946E-3</c:v>
                </c:pt>
                <c:pt idx="169">
                  <c:v>-5.2409707189243907E-3</c:v>
                </c:pt>
                <c:pt idx="170">
                  <c:v>1.637842171572549E-2</c:v>
                </c:pt>
                <c:pt idx="171">
                  <c:v>4.7329276538201686E-3</c:v>
                </c:pt>
                <c:pt idx="172">
                  <c:v>4.5087483176312365E-2</c:v>
                </c:pt>
                <c:pt idx="173">
                  <c:v>3.4986048508263479E-2</c:v>
                </c:pt>
                <c:pt idx="174">
                  <c:v>1.1302364164247236E-2</c:v>
                </c:pt>
                <c:pt idx="175">
                  <c:v>4.8190300420383357E-3</c:v>
                </c:pt>
                <c:pt idx="176">
                  <c:v>1.020408163265306E-2</c:v>
                </c:pt>
                <c:pt idx="177">
                  <c:v>2.0202020202020488E-3</c:v>
                </c:pt>
                <c:pt idx="178">
                  <c:v>-8.7701612903226256E-3</c:v>
                </c:pt>
                <c:pt idx="179">
                  <c:v>-2.8475541543781261E-3</c:v>
                </c:pt>
                <c:pt idx="180">
                  <c:v>1.9887812340642561E-2</c:v>
                </c:pt>
                <c:pt idx="181">
                  <c:v>-2.9999999999999714E-3</c:v>
                </c:pt>
                <c:pt idx="182">
                  <c:v>-1.3039117352056139E-2</c:v>
                </c:pt>
                <c:pt idx="183">
                  <c:v>0</c:v>
                </c:pt>
                <c:pt idx="184">
                  <c:v>1.3516260162601608E-2</c:v>
                </c:pt>
                <c:pt idx="185">
                  <c:v>-1.5341421838965218E-2</c:v>
                </c:pt>
                <c:pt idx="186">
                  <c:v>7.1283095723007311E-4</c:v>
                </c:pt>
                <c:pt idx="187">
                  <c:v>0</c:v>
                </c:pt>
                <c:pt idx="188">
                  <c:v>2.6254197618805316E-2</c:v>
                </c:pt>
                <c:pt idx="189">
                  <c:v>-2.3797719385225499E-2</c:v>
                </c:pt>
                <c:pt idx="190">
                  <c:v>0</c:v>
                </c:pt>
                <c:pt idx="191">
                  <c:v>-4.1645505332655822E-3</c:v>
                </c:pt>
                <c:pt idx="192">
                  <c:v>3.1619747042023603E-2</c:v>
                </c:pt>
                <c:pt idx="193">
                  <c:v>-1.1271504844769633E-2</c:v>
                </c:pt>
                <c:pt idx="194">
                  <c:v>1.2999999999999972E-2</c:v>
                </c:pt>
                <c:pt idx="195">
                  <c:v>-2.9615004935833874E-3</c:v>
                </c:pt>
                <c:pt idx="196">
                  <c:v>1.9504950495049495E-2</c:v>
                </c:pt>
                <c:pt idx="197">
                  <c:v>-1.8549091968534492E-2</c:v>
                </c:pt>
                <c:pt idx="198">
                  <c:v>2.9091628735404686E-2</c:v>
                </c:pt>
                <c:pt idx="199">
                  <c:v>0</c:v>
                </c:pt>
                <c:pt idx="200">
                  <c:v>3.8076923076923015E-2</c:v>
                </c:pt>
                <c:pt idx="201">
                  <c:v>-2.7788069655415825E-4</c:v>
                </c:pt>
                <c:pt idx="202">
                  <c:v>-8.6166960066710527E-3</c:v>
                </c:pt>
                <c:pt idx="203">
                  <c:v>0</c:v>
                </c:pt>
                <c:pt idx="204">
                  <c:v>7.476635514018665E-3</c:v>
                </c:pt>
                <c:pt idx="205">
                  <c:v>3.4786641929499075E-2</c:v>
                </c:pt>
                <c:pt idx="206">
                  <c:v>4.4822949350064689E-4</c:v>
                </c:pt>
                <c:pt idx="207">
                  <c:v>4.8745519713261756E-2</c:v>
                </c:pt>
                <c:pt idx="208">
                  <c:v>-2.0078605604921466E-2</c:v>
                </c:pt>
                <c:pt idx="209">
                  <c:v>1.0550178742697777E-2</c:v>
                </c:pt>
                <c:pt idx="210">
                  <c:v>-5.3494391716997804E-3</c:v>
                </c:pt>
                <c:pt idx="211">
                  <c:v>-1.769604441360172E-2</c:v>
                </c:pt>
                <c:pt idx="212">
                  <c:v>-1.5895443306252182E-2</c:v>
                </c:pt>
                <c:pt idx="213">
                  <c:v>-4.9982053122756581E-2</c:v>
                </c:pt>
                <c:pt idx="214">
                  <c:v>1.3790497780296531E-2</c:v>
                </c:pt>
                <c:pt idx="215">
                  <c:v>1.4348271685456129E-2</c:v>
                </c:pt>
                <c:pt idx="216">
                  <c:v>8.1748874804813132E-3</c:v>
                </c:pt>
                <c:pt idx="217">
                  <c:v>4.327623906705539E-2</c:v>
                </c:pt>
                <c:pt idx="218">
                  <c:v>4.9951969260326599E-2</c:v>
                </c:pt>
                <c:pt idx="219">
                  <c:v>4.9987523912500963E-2</c:v>
                </c:pt>
                <c:pt idx="220">
                  <c:v>-4.1983523447401867E-3</c:v>
                </c:pt>
                <c:pt idx="221">
                  <c:v>-3.4444356057592863E-2</c:v>
                </c:pt>
                <c:pt idx="222">
                  <c:v>1.2769813807876186E-2</c:v>
                </c:pt>
                <c:pt idx="223">
                  <c:v>3.741966973074056E-3</c:v>
                </c:pt>
                <c:pt idx="224">
                  <c:v>1.0697787503039088E-2</c:v>
                </c:pt>
                <c:pt idx="225">
                  <c:v>-1.7640926950525129E-2</c:v>
                </c:pt>
                <c:pt idx="226">
                  <c:v>-1.4692678148723109E-3</c:v>
                </c:pt>
                <c:pt idx="227">
                  <c:v>1.0626992561105185E-2</c:v>
                </c:pt>
                <c:pt idx="228">
                  <c:v>1.0353474075871562E-2</c:v>
                </c:pt>
                <c:pt idx="229">
                  <c:v>4.9955968297174039E-2</c:v>
                </c:pt>
                <c:pt idx="230">
                  <c:v>4.7274113610370153E-3</c:v>
                </c:pt>
                <c:pt idx="231">
                  <c:v>-6.1470744479016634E-3</c:v>
                </c:pt>
                <c:pt idx="232">
                  <c:v>8.0177153329259541E-3</c:v>
                </c:pt>
                <c:pt idx="233">
                  <c:v>-3.0224982955836536E-2</c:v>
                </c:pt>
                <c:pt idx="234">
                  <c:v>1.2419934385252331E-2</c:v>
                </c:pt>
                <c:pt idx="235">
                  <c:v>-3.2944988812591697E-2</c:v>
                </c:pt>
                <c:pt idx="236">
                  <c:v>1.531833413116325E-2</c:v>
                </c:pt>
                <c:pt idx="237">
                  <c:v>4.4397296872544331E-2</c:v>
                </c:pt>
                <c:pt idx="238">
                  <c:v>2.0389737416296804E-2</c:v>
                </c:pt>
                <c:pt idx="239">
                  <c:v>-5.8988349800915153E-3</c:v>
                </c:pt>
                <c:pt idx="240">
                  <c:v>1.112594570538538E-3</c:v>
                </c:pt>
                <c:pt idx="241">
                  <c:v>6.8163295547157702E-3</c:v>
                </c:pt>
                <c:pt idx="242">
                  <c:v>2.5020236956362018E-3</c:v>
                </c:pt>
                <c:pt idx="243">
                  <c:v>1.313954341921765E-2</c:v>
                </c:pt>
                <c:pt idx="244">
                  <c:v>-4.6080278220547839E-2</c:v>
                </c:pt>
                <c:pt idx="245">
                  <c:v>4.8610056205378614E-3</c:v>
                </c:pt>
                <c:pt idx="246">
                  <c:v>-1.7460317460317475E-2</c:v>
                </c:pt>
                <c:pt idx="247">
                  <c:v>3.3617970613124118E-2</c:v>
                </c:pt>
                <c:pt idx="248">
                  <c:v>4.5325989877939669E-2</c:v>
                </c:pt>
                <c:pt idx="249">
                  <c:v>2.5916696333214775E-2</c:v>
                </c:pt>
                <c:pt idx="250">
                  <c:v>1.0687764591574654E-2</c:v>
                </c:pt>
                <c:pt idx="251">
                  <c:v>-1.6274119343541886E-2</c:v>
                </c:pt>
                <c:pt idx="252">
                  <c:v>-7.6085439061845837E-3</c:v>
                </c:pt>
                <c:pt idx="253">
                  <c:v>6.9634944081030398E-3</c:v>
                </c:pt>
                <c:pt idx="254">
                  <c:v>-4.26096675048886E-3</c:v>
                </c:pt>
                <c:pt idx="255">
                  <c:v>-2.2378112942827062E-2</c:v>
                </c:pt>
                <c:pt idx="256">
                  <c:v>-2.611940298507473E-2</c:v>
                </c:pt>
                <c:pt idx="257">
                  <c:v>6.6312997347482618E-4</c:v>
                </c:pt>
                <c:pt idx="258">
                  <c:v>7.0686989176055367E-3</c:v>
                </c:pt>
                <c:pt idx="259">
                  <c:v>1.3891935365942657E-3</c:v>
                </c:pt>
                <c:pt idx="260">
                  <c:v>5.5052570093457882E-2</c:v>
                </c:pt>
                <c:pt idx="261">
                  <c:v>-8.858131487889281E-3</c:v>
                </c:pt>
                <c:pt idx="262">
                  <c:v>-8.0994274542661397E-3</c:v>
                </c:pt>
                <c:pt idx="263">
                  <c:v>-1.3022666478952515E-2</c:v>
                </c:pt>
                <c:pt idx="264">
                  <c:v>-3.473361386491694E-2</c:v>
                </c:pt>
                <c:pt idx="265">
                  <c:v>2.7929658637505548E-2</c:v>
                </c:pt>
                <c:pt idx="266">
                  <c:v>-1.3657274295572003E-3</c:v>
                </c:pt>
                <c:pt idx="267">
                  <c:v>-1.7634780105089017E-2</c:v>
                </c:pt>
                <c:pt idx="268">
                  <c:v>-8.6459554513480252E-3</c:v>
                </c:pt>
                <c:pt idx="269">
                  <c:v>1.2934220251293422E-2</c:v>
                </c:pt>
                <c:pt idx="270">
                  <c:v>4.1590660342940448E-2</c:v>
                </c:pt>
                <c:pt idx="271">
                  <c:v>-1.0437828371278523E-2</c:v>
                </c:pt>
                <c:pt idx="272">
                  <c:v>4.3890698003681483E-3</c:v>
                </c:pt>
                <c:pt idx="273">
                  <c:v>9.3036368762333885E-3</c:v>
                </c:pt>
                <c:pt idx="274">
                  <c:v>-3.9106145251396806E-3</c:v>
                </c:pt>
                <c:pt idx="275">
                  <c:v>-6.3796971396522482E-3</c:v>
                </c:pt>
                <c:pt idx="276">
                  <c:v>-6.0678755379946752E-3</c:v>
                </c:pt>
                <c:pt idx="277">
                  <c:v>-1.6469084971959914E-2</c:v>
                </c:pt>
                <c:pt idx="278">
                  <c:v>-1.3785636954168349E-2</c:v>
                </c:pt>
                <c:pt idx="279">
                  <c:v>-3.4396955503512802E-3</c:v>
                </c:pt>
                <c:pt idx="280">
                  <c:v>4.648601013439093E-2</c:v>
                </c:pt>
                <c:pt idx="281">
                  <c:v>-2.8701754385964937E-2</c:v>
                </c:pt>
                <c:pt idx="282">
                  <c:v>3.1283866772632125E-2</c:v>
                </c:pt>
                <c:pt idx="283">
                  <c:v>-1.5482695810564717E-2</c:v>
                </c:pt>
                <c:pt idx="284">
                  <c:v>-1.6864726392941041E-2</c:v>
                </c:pt>
                <c:pt idx="285">
                  <c:v>2.7793862188766671E-2</c:v>
                </c:pt>
                <c:pt idx="286">
                  <c:v>-2.5845070422535123E-2</c:v>
                </c:pt>
                <c:pt idx="287">
                  <c:v>-1.6193161280994788E-2</c:v>
                </c:pt>
                <c:pt idx="288">
                  <c:v>1.4108310676757935E-2</c:v>
                </c:pt>
                <c:pt idx="289">
                  <c:v>-1.4419244982247524E-2</c:v>
                </c:pt>
                <c:pt idx="290">
                  <c:v>-5.3595059550066312E-2</c:v>
                </c:pt>
                <c:pt idx="291">
                  <c:v>3.0839742095859546E-2</c:v>
                </c:pt>
                <c:pt idx="292">
                  <c:v>-6.5335342878673611E-2</c:v>
                </c:pt>
                <c:pt idx="293">
                  <c:v>-1.6367007981939862E-2</c:v>
                </c:pt>
                <c:pt idx="294">
                  <c:v>-7.5000000000000053E-2</c:v>
                </c:pt>
                <c:pt idx="295">
                  <c:v>-6.3801506424457144E-2</c:v>
                </c:pt>
                <c:pt idx="296">
                  <c:v>4.9597728348319874E-2</c:v>
                </c:pt>
                <c:pt idx="297">
                  <c:v>-7.4488231580845929E-2</c:v>
                </c:pt>
                <c:pt idx="298">
                  <c:v>-2.3677287342882127E-2</c:v>
                </c:pt>
                <c:pt idx="299">
                  <c:v>-6.2874251497006947E-3</c:v>
                </c:pt>
                <c:pt idx="300">
                  <c:v>4.0172742794014832E-3</c:v>
                </c:pt>
                <c:pt idx="301">
                  <c:v>1.2903871161348467E-2</c:v>
                </c:pt>
                <c:pt idx="302">
                  <c:v>1.9454868654947648E-2</c:v>
                </c:pt>
                <c:pt idx="303">
                  <c:v>6.9456553327521084E-2</c:v>
                </c:pt>
                <c:pt idx="304">
                  <c:v>7.1829710144927464E-2</c:v>
                </c:pt>
                <c:pt idx="305">
                  <c:v>-1.7493450519732893E-2</c:v>
                </c:pt>
                <c:pt idx="306">
                  <c:v>-9.6335799071048042E-3</c:v>
                </c:pt>
                <c:pt idx="307">
                  <c:v>3.8214347750564334E-3</c:v>
                </c:pt>
                <c:pt idx="308">
                  <c:v>4.550960373767092E-2</c:v>
                </c:pt>
                <c:pt idx="309">
                  <c:v>9.5994703740482999E-3</c:v>
                </c:pt>
                <c:pt idx="310">
                  <c:v>-6.4016393442622971E-2</c:v>
                </c:pt>
                <c:pt idx="311">
                  <c:v>1.1384534547683661E-2</c:v>
                </c:pt>
                <c:pt idx="312">
                  <c:v>3.6972898086414498E-2</c:v>
                </c:pt>
                <c:pt idx="313">
                  <c:v>7.5066800267201028E-2</c:v>
                </c:pt>
                <c:pt idx="314">
                  <c:v>2.594174757281556E-2</c:v>
                </c:pt>
                <c:pt idx="315">
                  <c:v>-3.0812324929971935E-2</c:v>
                </c:pt>
                <c:pt idx="316">
                  <c:v>2.468364318075298E-2</c:v>
                </c:pt>
                <c:pt idx="317">
                  <c:v>-1.5246226558927965E-3</c:v>
                </c:pt>
                <c:pt idx="318">
                  <c:v>3.0462666055886468E-2</c:v>
                </c:pt>
                <c:pt idx="319">
                  <c:v>-3.1858931614432921E-2</c:v>
                </c:pt>
                <c:pt idx="320">
                  <c:v>-8.4181525981468766E-4</c:v>
                </c:pt>
                <c:pt idx="321">
                  <c:v>3.6764705882352156E-3</c:v>
                </c:pt>
                <c:pt idx="322">
                  <c:v>2.7548840048840156E-2</c:v>
                </c:pt>
                <c:pt idx="323">
                  <c:v>-1.4853323431117713E-2</c:v>
                </c:pt>
                <c:pt idx="324">
                  <c:v>-1.432340746324898E-3</c:v>
                </c:pt>
                <c:pt idx="325">
                  <c:v>1.0342744979616523E-2</c:v>
                </c:pt>
                <c:pt idx="326">
                  <c:v>-1.3674064111185925E-2</c:v>
                </c:pt>
                <c:pt idx="327">
                  <c:v>-5.9242424242424194E-2</c:v>
                </c:pt>
                <c:pt idx="328">
                  <c:v>-3.7365115155419557E-2</c:v>
                </c:pt>
                <c:pt idx="329">
                  <c:v>-1.3133679103229106E-2</c:v>
                </c:pt>
                <c:pt idx="330">
                  <c:v>-7.6290582351445767E-3</c:v>
                </c:pt>
                <c:pt idx="331">
                  <c:v>-2.4600666268044722E-2</c:v>
                </c:pt>
                <c:pt idx="332">
                  <c:v>3.7306243979332736E-2</c:v>
                </c:pt>
                <c:pt idx="333">
                  <c:v>7.3955255382017651E-2</c:v>
                </c:pt>
                <c:pt idx="334">
                  <c:v>7.4994104237088327E-2</c:v>
                </c:pt>
                <c:pt idx="335">
                  <c:v>3.7294332723948768E-2</c:v>
                </c:pt>
                <c:pt idx="336">
                  <c:v>2.079661614381401E-2</c:v>
                </c:pt>
                <c:pt idx="337">
                  <c:v>-3.3287292817679705E-2</c:v>
                </c:pt>
                <c:pt idx="338">
                  <c:v>-1.3573367623946116E-3</c:v>
                </c:pt>
                <c:pt idx="339">
                  <c:v>-3.5481794119750908E-2</c:v>
                </c:pt>
                <c:pt idx="340">
                  <c:v>5.9333976118073339E-3</c:v>
                </c:pt>
                <c:pt idx="341">
                  <c:v>1.5630760156307634E-2</c:v>
                </c:pt>
                <c:pt idx="342">
                  <c:v>-1.430127041742286E-2</c:v>
                </c:pt>
                <c:pt idx="343">
                  <c:v>7.3648549123515278E-5</c:v>
                </c:pt>
                <c:pt idx="344">
                  <c:v>3.1445614551881662E-2</c:v>
                </c:pt>
                <c:pt idx="345">
                  <c:v>-8.2107668142225171E-3</c:v>
                </c:pt>
                <c:pt idx="346">
                  <c:v>-1.0582391476495565E-2</c:v>
                </c:pt>
                <c:pt idx="347">
                  <c:v>1.1204889406286321E-2</c:v>
                </c:pt>
                <c:pt idx="348">
                  <c:v>-2.1873650885019372E-2</c:v>
                </c:pt>
                <c:pt idx="349">
                  <c:v>-6.9148153597175062E-3</c:v>
                </c:pt>
                <c:pt idx="350">
                  <c:v>-4.8888888888888636E-3</c:v>
                </c:pt>
                <c:pt idx="351">
                  <c:v>2.8881941342861362E-2</c:v>
                </c:pt>
                <c:pt idx="352">
                  <c:v>-2.8939372015621503E-4</c:v>
                </c:pt>
                <c:pt idx="353">
                  <c:v>-1.3460703430308392E-2</c:v>
                </c:pt>
                <c:pt idx="354">
                  <c:v>-2.347417840375537E-3</c:v>
                </c:pt>
                <c:pt idx="355">
                  <c:v>1.9852941176471341E-3</c:v>
                </c:pt>
                <c:pt idx="356">
                  <c:v>-2.6418140456447759E-3</c:v>
                </c:pt>
                <c:pt idx="357">
                  <c:v>-9.6387315135015982E-3</c:v>
                </c:pt>
                <c:pt idx="358">
                  <c:v>-2.3031203566122012E-3</c:v>
                </c:pt>
                <c:pt idx="359">
                  <c:v>2.122272693424674E-2</c:v>
                </c:pt>
                <c:pt idx="360">
                  <c:v>1.3125273443196818E-2</c:v>
                </c:pt>
                <c:pt idx="361">
                  <c:v>1.8857060601698609E-2</c:v>
                </c:pt>
                <c:pt idx="362">
                  <c:v>7.9118395026844066E-3</c:v>
                </c:pt>
                <c:pt idx="363">
                  <c:v>4.4154751892346187E-3</c:v>
                </c:pt>
                <c:pt idx="364">
                  <c:v>5.3031888912147855E-3</c:v>
                </c:pt>
                <c:pt idx="365">
                  <c:v>2.0823210939127605E-4</c:v>
                </c:pt>
                <c:pt idx="366">
                  <c:v>-9.8542678695349595E-3</c:v>
                </c:pt>
                <c:pt idx="367">
                  <c:v>2.0114942528735663E-2</c:v>
                </c:pt>
                <c:pt idx="368">
                  <c:v>-3.36654070766066E-3</c:v>
                </c:pt>
                <c:pt idx="369">
                  <c:v>2.7919481593823323E-2</c:v>
                </c:pt>
                <c:pt idx="370">
                  <c:v>-8.3160083160083755E-3</c:v>
                </c:pt>
                <c:pt idx="371">
                  <c:v>-8.7238790829782375E-3</c:v>
                </c:pt>
                <c:pt idx="372">
                  <c:v>4.9461045163050887E-2</c:v>
                </c:pt>
                <c:pt idx="373">
                  <c:v>6.7607098745367739E-3</c:v>
                </c:pt>
                <c:pt idx="374">
                  <c:v>-2.7119519597082449E-3</c:v>
                </c:pt>
                <c:pt idx="375">
                  <c:v>-2.6545807704758603E-3</c:v>
                </c:pt>
                <c:pt idx="376">
                  <c:v>-1.7008569202804497E-2</c:v>
                </c:pt>
                <c:pt idx="377">
                  <c:v>-9.3778893144894175E-3</c:v>
                </c:pt>
                <c:pt idx="378">
                  <c:v>1.5333333333332651E-3</c:v>
                </c:pt>
                <c:pt idx="379">
                  <c:v>-7.9877521134260054E-3</c:v>
                </c:pt>
                <c:pt idx="380">
                  <c:v>3.0128162115010463E-2</c:v>
                </c:pt>
                <c:pt idx="381">
                  <c:v>2.6055237102656152E-3</c:v>
                </c:pt>
                <c:pt idx="382">
                  <c:v>-1.2474012474012393E-2</c:v>
                </c:pt>
                <c:pt idx="383">
                  <c:v>3.9539473684210465E-2</c:v>
                </c:pt>
                <c:pt idx="384">
                  <c:v>-3.1706853996582442E-2</c:v>
                </c:pt>
                <c:pt idx="385">
                  <c:v>2.745098039215679E-2</c:v>
                </c:pt>
                <c:pt idx="386">
                  <c:v>-1.6603053435114409E-2</c:v>
                </c:pt>
                <c:pt idx="387">
                  <c:v>-2.7168639627402542E-3</c:v>
                </c:pt>
                <c:pt idx="388">
                  <c:v>-1.3297009794382714E-2</c:v>
                </c:pt>
                <c:pt idx="389">
                  <c:v>7.8885090717857316E-4</c:v>
                </c:pt>
                <c:pt idx="390">
                  <c:v>4.506043089858109E-2</c:v>
                </c:pt>
                <c:pt idx="391">
                  <c:v>-1.5650534255185297E-2</c:v>
                </c:pt>
                <c:pt idx="392">
                  <c:v>-5.8744652321053303E-3</c:v>
                </c:pt>
                <c:pt idx="393">
                  <c:v>-4.2391932686749092E-3</c:v>
                </c:pt>
                <c:pt idx="394">
                  <c:v>-3.9347223118107056E-3</c:v>
                </c:pt>
                <c:pt idx="395">
                  <c:v>6.3463281958296737E-3</c:v>
                </c:pt>
                <c:pt idx="396">
                  <c:v>-1.7696267696267694E-2</c:v>
                </c:pt>
                <c:pt idx="397">
                  <c:v>1.198820831968545E-2</c:v>
                </c:pt>
                <c:pt idx="398">
                  <c:v>1.1587260486794541E-2</c:v>
                </c:pt>
                <c:pt idx="399">
                  <c:v>8.9588532667817054E-3</c:v>
                </c:pt>
                <c:pt idx="400">
                  <c:v>-8.8793048772751789E-3</c:v>
                </c:pt>
                <c:pt idx="401">
                  <c:v>-6.527164522941129E-3</c:v>
                </c:pt>
                <c:pt idx="402">
                  <c:v>-8.8244766505636372E-3</c:v>
                </c:pt>
                <c:pt idx="403">
                  <c:v>-8.8380556277617966E-3</c:v>
                </c:pt>
                <c:pt idx="404">
                  <c:v>1.2195121951219414E-2</c:v>
                </c:pt>
                <c:pt idx="405">
                  <c:v>-1.5092628578831353E-2</c:v>
                </c:pt>
                <c:pt idx="406">
                  <c:v>-8.8128904965472099E-3</c:v>
                </c:pt>
                <c:pt idx="407">
                  <c:v>1.0085594851038297E-2</c:v>
                </c:pt>
                <c:pt idx="408">
                  <c:v>-2.9560533403402002E-3</c:v>
                </c:pt>
                <c:pt idx="409">
                  <c:v>-2.1478455659507123E-2</c:v>
                </c:pt>
                <c:pt idx="410">
                  <c:v>-8.0123889038513172E-3</c:v>
                </c:pt>
                <c:pt idx="411">
                  <c:v>-2.4434941967013753E-3</c:v>
                </c:pt>
                <c:pt idx="412">
                  <c:v>1.5309246785058175E-2</c:v>
                </c:pt>
                <c:pt idx="413">
                  <c:v>4.8921056158691177E-3</c:v>
                </c:pt>
                <c:pt idx="414">
                  <c:v>-2.0940313437812514E-2</c:v>
                </c:pt>
                <c:pt idx="415">
                  <c:v>3.4057625502349974E-3</c:v>
                </c:pt>
                <c:pt idx="416">
                  <c:v>6.9241735116421848E-3</c:v>
                </c:pt>
                <c:pt idx="417">
                  <c:v>6.3372210611474253E-3</c:v>
                </c:pt>
                <c:pt idx="418">
                  <c:v>-1.1455751323105834E-2</c:v>
                </c:pt>
                <c:pt idx="419">
                  <c:v>1.0843046896177595E-3</c:v>
                </c:pt>
                <c:pt idx="420">
                  <c:v>-4.603303547251603E-3</c:v>
                </c:pt>
                <c:pt idx="421">
                  <c:v>-1.353373231773654E-2</c:v>
                </c:pt>
                <c:pt idx="422">
                  <c:v>-6.3426404688038715E-2</c:v>
                </c:pt>
                <c:pt idx="423">
                  <c:v>4.7626058152373939E-2</c:v>
                </c:pt>
                <c:pt idx="424">
                  <c:v>1.6863406408094476E-2</c:v>
                </c:pt>
                <c:pt idx="425">
                  <c:v>1.2299613045881711E-2</c:v>
                </c:pt>
                <c:pt idx="426">
                  <c:v>-1.2286689419795688E-3</c:v>
                </c:pt>
                <c:pt idx="427">
                  <c:v>-3.300984144341159E-2</c:v>
                </c:pt>
                <c:pt idx="428">
                  <c:v>-1.5336772916814021E-2</c:v>
                </c:pt>
                <c:pt idx="429">
                  <c:v>2.5265575653172626E-2</c:v>
                </c:pt>
                <c:pt idx="430">
                  <c:v>-1.0431251750210089E-2</c:v>
                </c:pt>
                <c:pt idx="431">
                  <c:v>4.1032897064026356E-3</c:v>
                </c:pt>
                <c:pt idx="432">
                  <c:v>-2.1137180300148759E-4</c:v>
                </c:pt>
                <c:pt idx="433">
                  <c:v>-1.6631430584919053E-2</c:v>
                </c:pt>
                <c:pt idx="434">
                  <c:v>6.8797477425828297E-3</c:v>
                </c:pt>
                <c:pt idx="435">
                  <c:v>-1.1957295373665529E-2</c:v>
                </c:pt>
                <c:pt idx="436">
                  <c:v>-5.0425010805354542E-4</c:v>
                </c:pt>
                <c:pt idx="437">
                  <c:v>-6.9189189189189761E-3</c:v>
                </c:pt>
                <c:pt idx="438">
                  <c:v>5.8785107772697754E-3</c:v>
                </c:pt>
                <c:pt idx="439">
                  <c:v>2.8499278499278625E-2</c:v>
                </c:pt>
                <c:pt idx="440">
                  <c:v>4.279200280603193E-3</c:v>
                </c:pt>
                <c:pt idx="441">
                  <c:v>-8.8013411567476312E-3</c:v>
                </c:pt>
                <c:pt idx="442">
                  <c:v>-4.6511627906976501E-3</c:v>
                </c:pt>
                <c:pt idx="443">
                  <c:v>-1.5505522514868293E-2</c:v>
                </c:pt>
                <c:pt idx="444">
                  <c:v>1.5102481121897124E-3</c:v>
                </c:pt>
                <c:pt idx="445">
                  <c:v>1.9388194743645718E-3</c:v>
                </c:pt>
                <c:pt idx="446">
                  <c:v>-3.9418046298287917E-3</c:v>
                </c:pt>
                <c:pt idx="447">
                  <c:v>2.8565261188660231E-2</c:v>
                </c:pt>
                <c:pt idx="448">
                  <c:v>2.5883175935642153E-3</c:v>
                </c:pt>
                <c:pt idx="449">
                  <c:v>-1.3536142897013661E-2</c:v>
                </c:pt>
                <c:pt idx="450">
                  <c:v>-3.8477861083604459E-2</c:v>
                </c:pt>
                <c:pt idx="451">
                  <c:v>1.3167573929674799E-2</c:v>
                </c:pt>
                <c:pt idx="452">
                  <c:v>2.9768387424671215E-3</c:v>
                </c:pt>
                <c:pt idx="453">
                  <c:v>4.4158100477777159E-3</c:v>
                </c:pt>
                <c:pt idx="454">
                  <c:v>-8.2882882882883285E-3</c:v>
                </c:pt>
                <c:pt idx="455">
                  <c:v>5.4505813953488374E-3</c:v>
                </c:pt>
                <c:pt idx="456">
                  <c:v>-4.1199855439103235E-3</c:v>
                </c:pt>
                <c:pt idx="457">
                  <c:v>7.1853679779359057E-3</c:v>
                </c:pt>
                <c:pt idx="458">
                  <c:v>-2.378035598472382E-3</c:v>
                </c:pt>
                <c:pt idx="459">
                  <c:v>3.2866223634787715E-2</c:v>
                </c:pt>
                <c:pt idx="460">
                  <c:v>-8.3222602979229152E-3</c:v>
                </c:pt>
                <c:pt idx="461">
                  <c:v>-1.5514809590973322E-2</c:v>
                </c:pt>
                <c:pt idx="462">
                  <c:v>1.977077363896862E-2</c:v>
                </c:pt>
                <c:pt idx="463">
                  <c:v>-4.2146670413038964E-4</c:v>
                </c:pt>
                <c:pt idx="464">
                  <c:v>-7.0976809557274714E-3</c:v>
                </c:pt>
                <c:pt idx="465">
                  <c:v>-4.883572793545175E-3</c:v>
                </c:pt>
                <c:pt idx="466">
                  <c:v>8.1081081081082144E-3</c:v>
                </c:pt>
                <c:pt idx="467">
                  <c:v>3.0055030337237127E-2</c:v>
                </c:pt>
                <c:pt idx="468">
                  <c:v>1.1575342465753409E-2</c:v>
                </c:pt>
                <c:pt idx="469">
                  <c:v>-3.6563071297988493E-3</c:v>
                </c:pt>
                <c:pt idx="470">
                  <c:v>1.2911994563370554E-3</c:v>
                </c:pt>
                <c:pt idx="471">
                  <c:v>-6.44767205103853E-3</c:v>
                </c:pt>
                <c:pt idx="472">
                  <c:v>-4.0303299405695407E-3</c:v>
                </c:pt>
                <c:pt idx="473">
                  <c:v>-2.2839506172839589E-2</c:v>
                </c:pt>
                <c:pt idx="474">
                  <c:v>-1.2142907278725273E-2</c:v>
                </c:pt>
                <c:pt idx="475">
                  <c:v>4.973710387949329E-3</c:v>
                </c:pt>
                <c:pt idx="476">
                  <c:v>2.8634049773755738E-2</c:v>
                </c:pt>
                <c:pt idx="477">
                  <c:v>1.766444429170385E-2</c:v>
                </c:pt>
                <c:pt idx="478">
                  <c:v>6.5513980818586986E-3</c:v>
                </c:pt>
                <c:pt idx="479">
                  <c:v>3.8247332751794481E-3</c:v>
                </c:pt>
                <c:pt idx="480">
                  <c:v>5.3475935828877766E-3</c:v>
                </c:pt>
                <c:pt idx="481">
                  <c:v>-1.5425531914893572E-2</c:v>
                </c:pt>
                <c:pt idx="482">
                  <c:v>6.0777957860614342E-3</c:v>
                </c:pt>
                <c:pt idx="483">
                  <c:v>-7.1821721036380267E-3</c:v>
                </c:pt>
                <c:pt idx="484">
                  <c:v>1.4197823000473798E-3</c:v>
                </c:pt>
                <c:pt idx="485">
                  <c:v>7.9665136375911879E-3</c:v>
                </c:pt>
                <c:pt idx="486">
                  <c:v>-6.0281312793036444E-4</c:v>
                </c:pt>
                <c:pt idx="487">
                  <c:v>1.9234635748274272E-2</c:v>
                </c:pt>
                <c:pt idx="488">
                  <c:v>-3.9452919516045677E-4</c:v>
                </c:pt>
                <c:pt idx="489">
                  <c:v>-1.8221286672806276E-2</c:v>
                </c:pt>
                <c:pt idx="490">
                  <c:v>-1.0519262981574493E-2</c:v>
                </c:pt>
                <c:pt idx="491">
                  <c:v>-1.8959913326110586E-3</c:v>
                </c:pt>
                <c:pt idx="492">
                  <c:v>2.7137042062415581E-3</c:v>
                </c:pt>
                <c:pt idx="493">
                  <c:v>1.6373477672530362E-2</c:v>
                </c:pt>
                <c:pt idx="494">
                  <c:v>3.7278657968313291E-3</c:v>
                </c:pt>
                <c:pt idx="495">
                  <c:v>-1.0611486934606485E-3</c:v>
                </c:pt>
                <c:pt idx="496">
                  <c:v>-6.2408710662594452E-3</c:v>
                </c:pt>
                <c:pt idx="497">
                  <c:v>-6.6141101015500334E-3</c:v>
                </c:pt>
                <c:pt idx="498">
                  <c:v>4.922994148900392E-2</c:v>
                </c:pt>
                <c:pt idx="499">
                  <c:v>-4.3586949554514356E-3</c:v>
                </c:pt>
                <c:pt idx="500">
                  <c:v>-3.7339857078478879E-3</c:v>
                </c:pt>
                <c:pt idx="501">
                  <c:v>3.5735056542810992E-2</c:v>
                </c:pt>
                <c:pt idx="502">
                  <c:v>9.3586224107814874E-4</c:v>
                </c:pt>
                <c:pt idx="503">
                  <c:v>4.9741320201957172E-2</c:v>
                </c:pt>
                <c:pt idx="504">
                  <c:v>2.0248203788373591E-2</c:v>
                </c:pt>
                <c:pt idx="505">
                  <c:v>-1.379350483063674E-2</c:v>
                </c:pt>
                <c:pt idx="506">
                  <c:v>3.7592210091472442E-2</c:v>
                </c:pt>
                <c:pt idx="507">
                  <c:v>-2.5025594357866034E-2</c:v>
                </c:pt>
                <c:pt idx="508">
                  <c:v>1.0967215027418178E-2</c:v>
                </c:pt>
                <c:pt idx="509">
                  <c:v>-7.4437391806117734E-3</c:v>
                </c:pt>
                <c:pt idx="510">
                  <c:v>-8.0809255275855266E-3</c:v>
                </c:pt>
                <c:pt idx="511">
                  <c:v>-3.3993670144180782E-3</c:v>
                </c:pt>
                <c:pt idx="512">
                  <c:v>1.099741237355919E-2</c:v>
                </c:pt>
                <c:pt idx="513">
                  <c:v>7.7366063637950818E-3</c:v>
                </c:pt>
                <c:pt idx="514">
                  <c:v>9.351189101824085E-3</c:v>
                </c:pt>
                <c:pt idx="515">
                  <c:v>-9.7220633649777941E-3</c:v>
                </c:pt>
                <c:pt idx="516">
                  <c:v>-3.4650034650034324E-3</c:v>
                </c:pt>
                <c:pt idx="517">
                  <c:v>5.7371349095967144E-3</c:v>
                </c:pt>
                <c:pt idx="518">
                  <c:v>2.9962546816478352E-3</c:v>
                </c:pt>
                <c:pt idx="519">
                  <c:v>-9.7087378640776569E-3</c:v>
                </c:pt>
                <c:pt idx="520">
                  <c:v>-9.2818192365701701E-4</c:v>
                </c:pt>
                <c:pt idx="521">
                  <c:v>-2.3226106143305406E-3</c:v>
                </c:pt>
                <c:pt idx="522">
                  <c:v>-1.5772319869630892E-2</c:v>
                </c:pt>
                <c:pt idx="523">
                  <c:v>-2.187925019218287E-3</c:v>
                </c:pt>
                <c:pt idx="524">
                  <c:v>-6.7559559084983687E-3</c:v>
                </c:pt>
                <c:pt idx="525">
                  <c:v>-1.1754176610978514E-2</c:v>
                </c:pt>
                <c:pt idx="526">
                  <c:v>5.4337982249592813E-3</c:v>
                </c:pt>
                <c:pt idx="527">
                  <c:v>1.4351768450129023E-2</c:v>
                </c:pt>
                <c:pt idx="528">
                  <c:v>7.1631541558134504E-3</c:v>
                </c:pt>
                <c:pt idx="529">
                  <c:v>-1.9867160406747755E-2</c:v>
                </c:pt>
                <c:pt idx="530">
                  <c:v>-4.1979010494751943E-3</c:v>
                </c:pt>
                <c:pt idx="531">
                  <c:v>1.8006624510689434E-2</c:v>
                </c:pt>
                <c:pt idx="532">
                  <c:v>-1.7274017983909061E-2</c:v>
                </c:pt>
                <c:pt idx="533">
                  <c:v>3.088129063327712E-2</c:v>
                </c:pt>
                <c:pt idx="534">
                  <c:v>-2.7445255474452489E-2</c:v>
                </c:pt>
                <c:pt idx="535">
                  <c:v>-2.0954668267787503E-2</c:v>
                </c:pt>
                <c:pt idx="536">
                  <c:v>-1.9869986508033909E-2</c:v>
                </c:pt>
                <c:pt idx="537">
                  <c:v>-9.6984107120509505E-3</c:v>
                </c:pt>
                <c:pt idx="538">
                  <c:v>1.0804321728691347E-2</c:v>
                </c:pt>
                <c:pt idx="539">
                  <c:v>3.7504688086012175E-3</c:v>
                </c:pt>
                <c:pt idx="540">
                  <c:v>1.8682276746791813E-3</c:v>
                </c:pt>
                <c:pt idx="541">
                  <c:v>2.840626553953253E-2</c:v>
                </c:pt>
                <c:pt idx="542">
                  <c:v>-1.6258688425506183E-2</c:v>
                </c:pt>
                <c:pt idx="543">
                  <c:v>3.0720078643408315E-4</c:v>
                </c:pt>
                <c:pt idx="544">
                  <c:v>-4.9137030894915855E-4</c:v>
                </c:pt>
                <c:pt idx="545">
                  <c:v>-3.1340256867202787E-3</c:v>
                </c:pt>
                <c:pt idx="546">
                  <c:v>-3.2055233633338075E-3</c:v>
                </c:pt>
                <c:pt idx="547">
                  <c:v>1.4285714285714301E-2</c:v>
                </c:pt>
                <c:pt idx="548">
                  <c:v>-8.6580086580085817E-3</c:v>
                </c:pt>
                <c:pt idx="549">
                  <c:v>2.7061934928347235E-3</c:v>
                </c:pt>
                <c:pt idx="550">
                  <c:v>2.0303011715635172E-2</c:v>
                </c:pt>
                <c:pt idx="551">
                  <c:v>-6.6129614043533515E-4</c:v>
                </c:pt>
                <c:pt idx="552">
                  <c:v>-1.9551224207423449E-2</c:v>
                </c:pt>
                <c:pt idx="553">
                  <c:v>-3.43600441771998E-3</c:v>
                </c:pt>
                <c:pt idx="554">
                  <c:v>4.8639330131758441E-3</c:v>
                </c:pt>
                <c:pt idx="555">
                  <c:v>4.962931192941623E-3</c:v>
                </c:pt>
                <c:pt idx="556">
                  <c:v>4.9993903182538298E-3</c:v>
                </c:pt>
                <c:pt idx="557">
                  <c:v>1.7228827954380025E-2</c:v>
                </c:pt>
                <c:pt idx="558">
                  <c:v>-1.9620706106870351E-2</c:v>
                </c:pt>
                <c:pt idx="559">
                  <c:v>4.0148427519923662E-3</c:v>
                </c:pt>
                <c:pt idx="560">
                  <c:v>-7.815813389881977E-3</c:v>
                </c:pt>
                <c:pt idx="561">
                  <c:v>-1.0747435271128427E-2</c:v>
                </c:pt>
                <c:pt idx="562">
                  <c:v>0</c:v>
                </c:pt>
                <c:pt idx="563">
                  <c:v>-1.0493827160493055E-3</c:v>
                </c:pt>
                <c:pt idx="564">
                  <c:v>-1.8537971945869824E-4</c:v>
                </c:pt>
                <c:pt idx="565">
                  <c:v>-1.2360939431397839E-3</c:v>
                </c:pt>
                <c:pt idx="566">
                  <c:v>6.1881188118808369E-4</c:v>
                </c:pt>
                <c:pt idx="567">
                  <c:v>1.7934446505876345E-3</c:v>
                </c:pt>
                <c:pt idx="568">
                  <c:v>-3.4570035187357381E-3</c:v>
                </c:pt>
                <c:pt idx="569">
                  <c:v>4.2804930929814758E-2</c:v>
                </c:pt>
                <c:pt idx="570">
                  <c:v>7.3066413211357361E-3</c:v>
                </c:pt>
                <c:pt idx="571">
                  <c:v>-5.6024060859821232E-3</c:v>
                </c:pt>
                <c:pt idx="572">
                  <c:v>1.8028703593879682E-2</c:v>
                </c:pt>
                <c:pt idx="573">
                  <c:v>1.1184900384481044E-2</c:v>
                </c:pt>
                <c:pt idx="574">
                  <c:v>-1.8896186196566429E-2</c:v>
                </c:pt>
                <c:pt idx="575">
                  <c:v>-1.0158543746330111E-2</c:v>
                </c:pt>
                <c:pt idx="576">
                  <c:v>1.0440766447173396E-2</c:v>
                </c:pt>
                <c:pt idx="577">
                  <c:v>1.9139317794868729E-2</c:v>
                </c:pt>
                <c:pt idx="578">
                  <c:v>1.077250993720839E-2</c:v>
                </c:pt>
                <c:pt idx="579">
                  <c:v>1.5958053117519726E-3</c:v>
                </c:pt>
                <c:pt idx="580">
                  <c:v>-6.82826903380019E-4</c:v>
                </c:pt>
                <c:pt idx="581">
                  <c:v>1.1388224575787987E-3</c:v>
                </c:pt>
                <c:pt idx="582">
                  <c:v>1.7062905244000193E-4</c:v>
                </c:pt>
                <c:pt idx="583">
                  <c:v>1.0235996588001525E-3</c:v>
                </c:pt>
                <c:pt idx="584">
                  <c:v>8.5780832812588238E-3</c:v>
                </c:pt>
                <c:pt idx="585">
                  <c:v>4.4497014757238964E-3</c:v>
                </c:pt>
                <c:pt idx="586">
                  <c:v>5.6075814501205627E-3</c:v>
                </c:pt>
                <c:pt idx="587">
                  <c:v>9.3124407516867631E-3</c:v>
                </c:pt>
                <c:pt idx="588">
                  <c:v>-1.6022099447513373E-3</c:v>
                </c:pt>
                <c:pt idx="589">
                  <c:v>1.4387692988766028E-3</c:v>
                </c:pt>
                <c:pt idx="590">
                  <c:v>6.7967066364590248E-3</c:v>
                </c:pt>
                <c:pt idx="591">
                  <c:v>1.0976948408348097E-4</c:v>
                </c:pt>
                <c:pt idx="592">
                  <c:v>-2.3597848754253474E-3</c:v>
                </c:pt>
                <c:pt idx="593">
                  <c:v>-3.9606138951537428E-3</c:v>
                </c:pt>
                <c:pt idx="594">
                  <c:v>-1.6568178052686806E-2</c:v>
                </c:pt>
                <c:pt idx="595">
                  <c:v>1.1063065086763626E-2</c:v>
                </c:pt>
                <c:pt idx="596">
                  <c:v>6.3319262386137241E-3</c:v>
                </c:pt>
                <c:pt idx="597">
                  <c:v>-1.3246495198145991E-3</c:v>
                </c:pt>
                <c:pt idx="598">
                  <c:v>3.8686857521826669E-4</c:v>
                </c:pt>
                <c:pt idx="599">
                  <c:v>-1.3921882768907696E-2</c:v>
                </c:pt>
                <c:pt idx="600">
                  <c:v>4.0338394307804296E-3</c:v>
                </c:pt>
                <c:pt idx="601">
                  <c:v>-1.4508118966576604E-3</c:v>
                </c:pt>
                <c:pt idx="602">
                  <c:v>-1.084101704386699E-2</c:v>
                </c:pt>
                <c:pt idx="603">
                  <c:v>0</c:v>
                </c:pt>
                <c:pt idx="604">
                  <c:v>-8.4740975086140488E-4</c:v>
                </c:pt>
                <c:pt idx="605">
                  <c:v>1.0742960533755383E-3</c:v>
                </c:pt>
                <c:pt idx="606">
                  <c:v>-5.8175656594182494E-3</c:v>
                </c:pt>
                <c:pt idx="607">
                  <c:v>-3.1757754800590857E-2</c:v>
                </c:pt>
                <c:pt idx="608">
                  <c:v>-6.4542627471697264E-4</c:v>
                </c:pt>
                <c:pt idx="609">
                  <c:v>2.0197275716298719E-2</c:v>
                </c:pt>
                <c:pt idx="610">
                  <c:v>1.4790515653775448E-2</c:v>
                </c:pt>
                <c:pt idx="611">
                  <c:v>-1.1342369420977842E-4</c:v>
                </c:pt>
                <c:pt idx="612">
                  <c:v>-8.0539958028473472E-3</c:v>
                </c:pt>
                <c:pt idx="613">
                  <c:v>-3.4879066842014137E-3</c:v>
                </c:pt>
                <c:pt idx="614">
                  <c:v>-4.1886619233416902E-3</c:v>
                </c:pt>
                <c:pt idx="615">
                  <c:v>1.227312013828865E-2</c:v>
                </c:pt>
                <c:pt idx="616">
                  <c:v>-1.4799635701276145E-3</c:v>
                </c:pt>
                <c:pt idx="617">
                  <c:v>6.4416828183788844E-3</c:v>
                </c:pt>
                <c:pt idx="618">
                  <c:v>1.5859529878221531E-3</c:v>
                </c:pt>
                <c:pt idx="619">
                  <c:v>-2.1489566250072036E-3</c:v>
                </c:pt>
                <c:pt idx="620">
                  <c:v>-4.6472088410314154E-3</c:v>
                </c:pt>
                <c:pt idx="621">
                  <c:v>-5.8076638387518182E-3</c:v>
                </c:pt>
                <c:pt idx="622">
                  <c:v>-7.9033274153829901E-3</c:v>
                </c:pt>
                <c:pt idx="623">
                  <c:v>-1.079489695780163E-2</c:v>
                </c:pt>
                <c:pt idx="624">
                  <c:v>-9.9206349206358482E-4</c:v>
                </c:pt>
                <c:pt idx="625">
                  <c:v>-2.8039020970850505E-3</c:v>
                </c:pt>
                <c:pt idx="626">
                  <c:v>8.5525159627437147E-3</c:v>
                </c:pt>
                <c:pt idx="627">
                  <c:v>2.9563803217749922E-2</c:v>
                </c:pt>
                <c:pt idx="628">
                  <c:v>1.2975290533679407E-2</c:v>
                </c:pt>
                <c:pt idx="629">
                  <c:v>2.5395411004678115E-2</c:v>
                </c:pt>
                <c:pt idx="630">
                  <c:v>-2.4494894633934342E-2</c:v>
                </c:pt>
                <c:pt idx="631">
                  <c:v>-1.1135237458944507E-4</c:v>
                </c:pt>
                <c:pt idx="632">
                  <c:v>-2.3219555654546555E-2</c:v>
                </c:pt>
                <c:pt idx="633">
                  <c:v>9.3489909930453471E-3</c:v>
                </c:pt>
                <c:pt idx="634">
                  <c:v>-4.518242403705023E-3</c:v>
                </c:pt>
                <c:pt idx="635">
                  <c:v>2.3261091569272475E-3</c:v>
                </c:pt>
                <c:pt idx="636">
                  <c:v>-3.7923812758249137E-3</c:v>
                </c:pt>
                <c:pt idx="637">
                  <c:v>-5.113636363636557E-4</c:v>
                </c:pt>
                <c:pt idx="638">
                  <c:v>-1.0346199761241506E-2</c:v>
                </c:pt>
                <c:pt idx="639">
                  <c:v>4.020908725371542E-4</c:v>
                </c:pt>
                <c:pt idx="640">
                  <c:v>-6.9476343592099676E-3</c:v>
                </c:pt>
                <c:pt idx="641">
                  <c:v>-1.133275513154079E-2</c:v>
                </c:pt>
                <c:pt idx="642">
                  <c:v>-8.5969939762559136E-3</c:v>
                </c:pt>
                <c:pt idx="643">
                  <c:v>2.654554034922066E-3</c:v>
                </c:pt>
                <c:pt idx="644">
                  <c:v>-5.8833911866796684E-4</c:v>
                </c:pt>
                <c:pt idx="645">
                  <c:v>3.5321127921352961E-4</c:v>
                </c:pt>
                <c:pt idx="646">
                  <c:v>-8.4152298005061299E-3</c:v>
                </c:pt>
                <c:pt idx="647">
                  <c:v>-5.9347181008898703E-4</c:v>
                </c:pt>
                <c:pt idx="648">
                  <c:v>-4.9287410926366539E-3</c:v>
                </c:pt>
                <c:pt idx="649">
                  <c:v>-9.3692188339201121E-3</c:v>
                </c:pt>
                <c:pt idx="650">
                  <c:v>-1.0421686746987889E-2</c:v>
                </c:pt>
                <c:pt idx="651">
                  <c:v>6.2701649723017052E-3</c:v>
                </c:pt>
                <c:pt idx="652">
                  <c:v>-1.99637023593474E-3</c:v>
                </c:pt>
                <c:pt idx="653">
                  <c:v>-1.8003273322422252E-2</c:v>
                </c:pt>
                <c:pt idx="654">
                  <c:v>-5.6172839506172627E-3</c:v>
                </c:pt>
                <c:pt idx="655">
                  <c:v>2.6693152895897127E-3</c:v>
                </c:pt>
                <c:pt idx="656">
                  <c:v>2.8479445269934344E-3</c:v>
                </c:pt>
                <c:pt idx="657">
                  <c:v>1.234720335844563E-4</c:v>
                </c:pt>
                <c:pt idx="658">
                  <c:v>-1.2345679012345678E-2</c:v>
                </c:pt>
                <c:pt idx="659">
                  <c:v>-4.9374999999999506E-3</c:v>
                </c:pt>
                <c:pt idx="660">
                  <c:v>2.5124049996859848E-3</c:v>
                </c:pt>
                <c:pt idx="661">
                  <c:v>1.6289706158761411E-3</c:v>
                </c:pt>
                <c:pt idx="662">
                  <c:v>6.8805904797638847E-4</c:v>
                </c:pt>
                <c:pt idx="663">
                  <c:v>-2.1752719089886172E-2</c:v>
                </c:pt>
                <c:pt idx="664">
                  <c:v>2.555910543130482E-4</c:v>
                </c:pt>
                <c:pt idx="665">
                  <c:v>1.2840168646991309E-2</c:v>
                </c:pt>
                <c:pt idx="666">
                  <c:v>4.0365815200251419E-3</c:v>
                </c:pt>
                <c:pt idx="667">
                  <c:v>-1.6960864375903653E-3</c:v>
                </c:pt>
                <c:pt idx="668">
                  <c:v>1.3591744273848636E-2</c:v>
                </c:pt>
                <c:pt idx="669">
                  <c:v>-3.0109262478271805E-2</c:v>
                </c:pt>
                <c:pt idx="670">
                  <c:v>1.5874031876080257E-2</c:v>
                </c:pt>
                <c:pt idx="671">
                  <c:v>-6.9308802217890261E-4</c:v>
                </c:pt>
                <c:pt idx="672">
                  <c:v>-1.4880201765447574E-2</c:v>
                </c:pt>
                <c:pt idx="673">
                  <c:v>-7.936507936507995E-3</c:v>
                </c:pt>
                <c:pt idx="674">
                  <c:v>-2.3225806451612867E-2</c:v>
                </c:pt>
                <c:pt idx="675">
                  <c:v>1.0700132100396331E-2</c:v>
                </c:pt>
                <c:pt idx="676">
                  <c:v>6.927199058946557E-3</c:v>
                </c:pt>
                <c:pt idx="677">
                  <c:v>5.0623052959501624E-3</c:v>
                </c:pt>
                <c:pt idx="678">
                  <c:v>6.9740410693528605E-3</c:v>
                </c:pt>
                <c:pt idx="679">
                  <c:v>-7.6311401821213144E-3</c:v>
                </c:pt>
                <c:pt idx="680">
                  <c:v>-1.8739903069466368E-3</c:v>
                </c:pt>
                <c:pt idx="681">
                  <c:v>-1.1006085717986268E-3</c:v>
                </c:pt>
                <c:pt idx="682">
                  <c:v>-1.4906993324259401E-2</c:v>
                </c:pt>
                <c:pt idx="683">
                  <c:v>2.8949272978485277E-2</c:v>
                </c:pt>
                <c:pt idx="684">
                  <c:v>1.4706822686873728E-3</c:v>
                </c:pt>
                <c:pt idx="685">
                  <c:v>1.8005363299706253E-2</c:v>
                </c:pt>
                <c:pt idx="686">
                  <c:v>3.5122930255895779E-3</c:v>
                </c:pt>
                <c:pt idx="687">
                  <c:v>3.1250000000000002E-3</c:v>
                </c:pt>
                <c:pt idx="688">
                  <c:v>9.0965732087227909E-3</c:v>
                </c:pt>
                <c:pt idx="689">
                  <c:v>-8.3971350950852904E-3</c:v>
                </c:pt>
                <c:pt idx="690">
                  <c:v>6.2266500622661471E-4</c:v>
                </c:pt>
                <c:pt idx="691">
                  <c:v>9.8942128189172598E-3</c:v>
                </c:pt>
                <c:pt idx="692">
                  <c:v>5.5456281964386849E-4</c:v>
                </c:pt>
                <c:pt idx="693">
                  <c:v>-2.0938539228969296E-3</c:v>
                </c:pt>
                <c:pt idx="694">
                  <c:v>-3.0856578622551808E-4</c:v>
                </c:pt>
                <c:pt idx="695">
                  <c:v>-3.8273967528860086E-3</c:v>
                </c:pt>
                <c:pt idx="696">
                  <c:v>-1.0410857036623949E-2</c:v>
                </c:pt>
                <c:pt idx="697">
                  <c:v>-1.6845137453816755E-2</c:v>
                </c:pt>
                <c:pt idx="698">
                  <c:v>-1.5350318471337557E-2</c:v>
                </c:pt>
                <c:pt idx="699">
                  <c:v>-5.6277896371046288E-3</c:v>
                </c:pt>
                <c:pt idx="700">
                  <c:v>1.3921415560759919E-2</c:v>
                </c:pt>
                <c:pt idx="701">
                  <c:v>3.8496086231232791E-3</c:v>
                </c:pt>
                <c:pt idx="702">
                  <c:v>-1.2527163492266444E-2</c:v>
                </c:pt>
                <c:pt idx="703">
                  <c:v>-7.4433656957929167E-3</c:v>
                </c:pt>
                <c:pt idx="704">
                  <c:v>3.260515161396242E-4</c:v>
                </c:pt>
                <c:pt idx="705">
                  <c:v>-1.8057366362451175E-2</c:v>
                </c:pt>
                <c:pt idx="706">
                  <c:v>-1.7393613490008661E-2</c:v>
                </c:pt>
                <c:pt idx="707">
                  <c:v>-7.1616782649821112E-3</c:v>
                </c:pt>
                <c:pt idx="708">
                  <c:v>-3.2528070772371562E-2</c:v>
                </c:pt>
                <c:pt idx="709">
                  <c:v>-2.3915031300553915E-3</c:v>
                </c:pt>
                <c:pt idx="710">
                  <c:v>5.8873299019953418E-2</c:v>
                </c:pt>
                <c:pt idx="711">
                  <c:v>2.7966440271673915E-2</c:v>
                </c:pt>
                <c:pt idx="712">
                  <c:v>3.2387614976033168E-3</c:v>
                </c:pt>
                <c:pt idx="713">
                  <c:v>-5.1330061983471002E-2</c:v>
                </c:pt>
                <c:pt idx="714">
                  <c:v>-1.8716395562512759E-2</c:v>
                </c:pt>
                <c:pt idx="715">
                  <c:v>3.2598141212373342E-3</c:v>
                </c:pt>
                <c:pt idx="716">
                  <c:v>5.115796750777743E-2</c:v>
                </c:pt>
                <c:pt idx="717">
                  <c:v>1.2364353830976622E-2</c:v>
                </c:pt>
                <c:pt idx="718">
                  <c:v>-9.3549015786396263E-3</c:v>
                </c:pt>
                <c:pt idx="719">
                  <c:v>-1.9607843137254961E-2</c:v>
                </c:pt>
                <c:pt idx="720">
                  <c:v>-5.8862876254180295E-3</c:v>
                </c:pt>
                <c:pt idx="721">
                  <c:v>2.778899206028795E-2</c:v>
                </c:pt>
                <c:pt idx="722">
                  <c:v>-1.1587561374795484E-2</c:v>
                </c:pt>
                <c:pt idx="723">
                  <c:v>6.6233938269984595E-4</c:v>
                </c:pt>
                <c:pt idx="724">
                  <c:v>2.8461742123376912E-3</c:v>
                </c:pt>
                <c:pt idx="725">
                  <c:v>6.468219919477383E-3</c:v>
                </c:pt>
                <c:pt idx="726">
                  <c:v>6.5578070693156473E-4</c:v>
                </c:pt>
                <c:pt idx="727">
                  <c:v>1.376236974900111E-3</c:v>
                </c:pt>
                <c:pt idx="728">
                  <c:v>-1.2107329842932085E-2</c:v>
                </c:pt>
                <c:pt idx="729">
                  <c:v>-6.2934746604835293E-3</c:v>
                </c:pt>
                <c:pt idx="730">
                  <c:v>5.3333333333334095E-3</c:v>
                </c:pt>
                <c:pt idx="731">
                  <c:v>1.3992042440318203E-2</c:v>
                </c:pt>
                <c:pt idx="732">
                  <c:v>-1.0725263226734592E-2</c:v>
                </c:pt>
                <c:pt idx="733">
                  <c:v>5.9496264956698432E-3</c:v>
                </c:pt>
                <c:pt idx="734">
                  <c:v>-1.1697443648550972E-2</c:v>
                </c:pt>
                <c:pt idx="735">
                  <c:v>2.9589733359930964E-2</c:v>
                </c:pt>
                <c:pt idx="736">
                  <c:v>1.7437354688711589E-3</c:v>
                </c:pt>
                <c:pt idx="737">
                  <c:v>-1.2184901037973145E-2</c:v>
                </c:pt>
                <c:pt idx="738">
                  <c:v>5.090719227254935E-3</c:v>
                </c:pt>
                <c:pt idx="739">
                  <c:v>-2.0129870129870276E-3</c:v>
                </c:pt>
                <c:pt idx="740">
                  <c:v>6.5066042032603977E-5</c:v>
                </c:pt>
                <c:pt idx="741">
                  <c:v>-9.7592713077423558E-3</c:v>
                </c:pt>
                <c:pt idx="742">
                  <c:v>-6.3074901445465152E-3</c:v>
                </c:pt>
                <c:pt idx="743">
                  <c:v>4.826765405977187E-3</c:v>
                </c:pt>
                <c:pt idx="744">
                  <c:v>-1.2502467592287801E-3</c:v>
                </c:pt>
                <c:pt idx="745">
                  <c:v>1.3176966662281086E-4</c:v>
                </c:pt>
                <c:pt idx="746">
                  <c:v>2.6350461133068329E-3</c:v>
                </c:pt>
                <c:pt idx="747">
                  <c:v>-1.6951379763469016E-2</c:v>
                </c:pt>
                <c:pt idx="748">
                  <c:v>-1.8045715813394614E-3</c:v>
                </c:pt>
                <c:pt idx="749">
                  <c:v>-1.2922664881151704E-2</c:v>
                </c:pt>
                <c:pt idx="750">
                  <c:v>6.7833401166865609E-5</c:v>
                </c:pt>
                <c:pt idx="751">
                  <c:v>2.6928033643084846E-2</c:v>
                </c:pt>
                <c:pt idx="752">
                  <c:v>4.8877146631438615E-3</c:v>
                </c:pt>
                <c:pt idx="753">
                  <c:v>5.7841461811490996E-3</c:v>
                </c:pt>
                <c:pt idx="754">
                  <c:v>7.1886027970199601E-3</c:v>
                </c:pt>
                <c:pt idx="755">
                  <c:v>6.8777575914871674E-3</c:v>
                </c:pt>
                <c:pt idx="756">
                  <c:v>1.4177084675860217E-3</c:v>
                </c:pt>
                <c:pt idx="757">
                  <c:v>3.7966537966538185E-3</c:v>
                </c:pt>
                <c:pt idx="758">
                  <c:v>-2.4616962625809369E-2</c:v>
                </c:pt>
                <c:pt idx="759">
                  <c:v>8.4784751889582129E-3</c:v>
                </c:pt>
                <c:pt idx="760">
                  <c:v>3.3889468196038205E-3</c:v>
                </c:pt>
                <c:pt idx="761">
                  <c:v>2.5980774227066797E-4</c:v>
                </c:pt>
                <c:pt idx="762">
                  <c:v>0</c:v>
                </c:pt>
                <c:pt idx="763">
                  <c:v>1.298701298701225E-3</c:v>
                </c:pt>
                <c:pt idx="764">
                  <c:v>5.1880674448768578E-3</c:v>
                </c:pt>
                <c:pt idx="765">
                  <c:v>-6.4516129032258064E-3</c:v>
                </c:pt>
                <c:pt idx="766">
                  <c:v>0</c:v>
                </c:pt>
                <c:pt idx="767">
                  <c:v>-6.4935064935064939E-3</c:v>
                </c:pt>
                <c:pt idx="768">
                  <c:v>6.5359477124183009E-3</c:v>
                </c:pt>
                <c:pt idx="769">
                  <c:v>-4.2857142857142634E-3</c:v>
                </c:pt>
                <c:pt idx="770">
                  <c:v>-2.6672753358549649E-2</c:v>
                </c:pt>
                <c:pt idx="771">
                  <c:v>1.8425460636515914E-2</c:v>
                </c:pt>
                <c:pt idx="772">
                  <c:v>9.4736842105263008E-3</c:v>
                </c:pt>
                <c:pt idx="773">
                  <c:v>4.7575599582898188E-3</c:v>
                </c:pt>
                <c:pt idx="774">
                  <c:v>-2.1469806058247221E-2</c:v>
                </c:pt>
                <c:pt idx="775">
                  <c:v>-2.5586636616730832E-2</c:v>
                </c:pt>
                <c:pt idx="776">
                  <c:v>0</c:v>
                </c:pt>
                <c:pt idx="777">
                  <c:v>2.0476190476190415E-2</c:v>
                </c:pt>
                <c:pt idx="778">
                  <c:v>2.3931737884141081E-2</c:v>
                </c:pt>
                <c:pt idx="779">
                  <c:v>2.6041666666667038E-3</c:v>
                </c:pt>
                <c:pt idx="780">
                  <c:v>-1.298701298701963E-4</c:v>
                </c:pt>
                <c:pt idx="781">
                  <c:v>-1.2014547343810848E-2</c:v>
                </c:pt>
                <c:pt idx="782">
                  <c:v>-1.005718793137449E-2</c:v>
                </c:pt>
                <c:pt idx="783">
                  <c:v>-1.0491367861885684E-2</c:v>
                </c:pt>
                <c:pt idx="784">
                  <c:v>1.4628908871292298E-2</c:v>
                </c:pt>
                <c:pt idx="785">
                  <c:v>-2.1031746031745891E-2</c:v>
                </c:pt>
                <c:pt idx="786">
                  <c:v>1.8781245777597627E-2</c:v>
                </c:pt>
                <c:pt idx="787">
                  <c:v>3.978779840848957E-4</c:v>
                </c:pt>
                <c:pt idx="788">
                  <c:v>-7.9543948031290295E-4</c:v>
                </c:pt>
                <c:pt idx="789">
                  <c:v>3.1776568926628578E-2</c:v>
                </c:pt>
                <c:pt idx="790">
                  <c:v>-5.2722947341348496E-3</c:v>
                </c:pt>
                <c:pt idx="791">
                  <c:v>6.7222545407536168E-3</c:v>
                </c:pt>
                <c:pt idx="792">
                  <c:v>2.1187800963082663E-3</c:v>
                </c:pt>
                <c:pt idx="793">
                  <c:v>9.6104561763183782E-4</c:v>
                </c:pt>
                <c:pt idx="794">
                  <c:v>-1.0881392818280667E-2</c:v>
                </c:pt>
                <c:pt idx="795">
                  <c:v>0</c:v>
                </c:pt>
                <c:pt idx="796">
                  <c:v>9.5127159774800931E-3</c:v>
                </c:pt>
                <c:pt idx="797">
                  <c:v>6.5384615384616041E-3</c:v>
                </c:pt>
                <c:pt idx="798">
                  <c:v>1.6622086358425582E-2</c:v>
                </c:pt>
                <c:pt idx="799">
                  <c:v>3.4767900770531927E-2</c:v>
                </c:pt>
                <c:pt idx="800">
                  <c:v>3.0875408645113867E-3</c:v>
                </c:pt>
                <c:pt idx="801">
                  <c:v>-1.1044722071337946E-2</c:v>
                </c:pt>
                <c:pt idx="802">
                  <c:v>4.5160502868301028E-3</c:v>
                </c:pt>
                <c:pt idx="803">
                  <c:v>-2.7946537059538239E-2</c:v>
                </c:pt>
                <c:pt idx="804">
                  <c:v>-1.2625000000000063E-2</c:v>
                </c:pt>
                <c:pt idx="805">
                  <c:v>-4.1144448664386457E-3</c:v>
                </c:pt>
                <c:pt idx="806">
                  <c:v>-8.9620542808111926E-3</c:v>
                </c:pt>
                <c:pt idx="807">
                  <c:v>-1.9433042585941519E-2</c:v>
                </c:pt>
                <c:pt idx="808">
                  <c:v>-2.1649551965465197E-2</c:v>
                </c:pt>
                <c:pt idx="809">
                  <c:v>6.1505548870168965E-3</c:v>
                </c:pt>
                <c:pt idx="810">
                  <c:v>-6.3122923588039108E-3</c:v>
                </c:pt>
                <c:pt idx="811">
                  <c:v>2.9421598127716327E-3</c:v>
                </c:pt>
                <c:pt idx="812">
                  <c:v>-2.6668444562984509E-4</c:v>
                </c:pt>
                <c:pt idx="813">
                  <c:v>-2.8009336445480996E-3</c:v>
                </c:pt>
                <c:pt idx="814">
                  <c:v>-6.0857353039523616E-3</c:v>
                </c:pt>
                <c:pt idx="815">
                  <c:v>-4.5081415691025162E-3</c:v>
                </c:pt>
                <c:pt idx="816">
                  <c:v>-3.7309901993916747E-2</c:v>
                </c:pt>
                <c:pt idx="817">
                  <c:v>5.9678438531207915E-3</c:v>
                </c:pt>
                <c:pt idx="818">
                  <c:v>3.6292573981016904E-3</c:v>
                </c:pt>
                <c:pt idx="819">
                  <c:v>8.3449235048677923E-3</c:v>
                </c:pt>
                <c:pt idx="820">
                  <c:v>9.5172413793103133E-3</c:v>
                </c:pt>
                <c:pt idx="821">
                  <c:v>-2.6711299357835748E-2</c:v>
                </c:pt>
                <c:pt idx="822">
                  <c:v>-1.5862988699375243E-2</c:v>
                </c:pt>
                <c:pt idx="823">
                  <c:v>-2.2894230083446314E-2</c:v>
                </c:pt>
                <c:pt idx="824">
                  <c:v>-8.7591240875911584E-3</c:v>
                </c:pt>
                <c:pt idx="825">
                  <c:v>1.7746686303387309E-2</c:v>
                </c:pt>
                <c:pt idx="826">
                  <c:v>1.0129513059835493E-3</c:v>
                </c:pt>
                <c:pt idx="827">
                  <c:v>3.1297434044091167E-2</c:v>
                </c:pt>
                <c:pt idx="828">
                  <c:v>3.1258760863470555E-2</c:v>
                </c:pt>
                <c:pt idx="829">
                  <c:v>6.3884735625936266E-3</c:v>
                </c:pt>
                <c:pt idx="830">
                  <c:v>-6.0102647217720184E-2</c:v>
                </c:pt>
                <c:pt idx="831">
                  <c:v>3.8583129760023024E-2</c:v>
                </c:pt>
                <c:pt idx="832">
                  <c:v>2.0754064337598264E-3</c:v>
                </c:pt>
                <c:pt idx="833">
                  <c:v>1.1045909561615229E-3</c:v>
                </c:pt>
                <c:pt idx="834">
                  <c:v>1.8757327080890965E-2</c:v>
                </c:pt>
                <c:pt idx="835">
                  <c:v>-1.6855073444797811E-2</c:v>
                </c:pt>
                <c:pt idx="836">
                  <c:v>1.37703112090208E-4</c:v>
                </c:pt>
                <c:pt idx="837">
                  <c:v>2.2373674790031668E-2</c:v>
                </c:pt>
                <c:pt idx="838">
                  <c:v>-2.0200659888223782E-4</c:v>
                </c:pt>
                <c:pt idx="839">
                  <c:v>-9.15948275862059E-3</c:v>
                </c:pt>
                <c:pt idx="840">
                  <c:v>-1.5021750951604186E-2</c:v>
                </c:pt>
                <c:pt idx="841">
                  <c:v>6.2107515009318486E-4</c:v>
                </c:pt>
                <c:pt idx="842">
                  <c:v>8.2758620689654394E-3</c:v>
                </c:pt>
                <c:pt idx="843">
                  <c:v>1.8878248974008343E-2</c:v>
                </c:pt>
                <c:pt idx="844">
                  <c:v>2.0810955961332051E-3</c:v>
                </c:pt>
                <c:pt idx="845">
                  <c:v>2.5457225162456984E-3</c:v>
                </c:pt>
                <c:pt idx="846">
                  <c:v>2.1650517875041634E-2</c:v>
                </c:pt>
                <c:pt idx="847">
                  <c:v>4.1206095885932626E-3</c:v>
                </c:pt>
                <c:pt idx="848">
                  <c:v>-3.9538822303283101E-2</c:v>
                </c:pt>
                <c:pt idx="849">
                  <c:v>-1.2885723974228398E-3</c:v>
                </c:pt>
                <c:pt idx="850">
                  <c:v>7.3339671329621936E-3</c:v>
                </c:pt>
                <c:pt idx="851">
                  <c:v>3.6874747202372916E-2</c:v>
                </c:pt>
                <c:pt idx="852">
                  <c:v>-1.1702750146284819E-3</c:v>
                </c:pt>
                <c:pt idx="853">
                  <c:v>-4.1658530234979264E-3</c:v>
                </c:pt>
                <c:pt idx="854">
                  <c:v>1.8301849794104263E-3</c:v>
                </c:pt>
                <c:pt idx="855">
                  <c:v>-3.3274613427286444E-3</c:v>
                </c:pt>
                <c:pt idx="856">
                  <c:v>-4.9751243781093937E-3</c:v>
                </c:pt>
                <c:pt idx="857">
                  <c:v>-5.9210526315791722E-4</c:v>
                </c:pt>
                <c:pt idx="858">
                  <c:v>-1.7707853334211033E-2</c:v>
                </c:pt>
                <c:pt idx="859">
                  <c:v>9.6501809408926272E-3</c:v>
                </c:pt>
                <c:pt idx="860">
                  <c:v>8.7614496216646305E-3</c:v>
                </c:pt>
                <c:pt idx="861">
                  <c:v>-1.0856691669956424E-2</c:v>
                </c:pt>
                <c:pt idx="862">
                  <c:v>-1.3969267611255389E-2</c:v>
                </c:pt>
                <c:pt idx="863">
                  <c:v>1.8282398974566606E-2</c:v>
                </c:pt>
                <c:pt idx="864">
                  <c:v>-1.2322777262488309E-2</c:v>
                </c:pt>
                <c:pt idx="865">
                  <c:v>1.9519720955191819E-2</c:v>
                </c:pt>
                <c:pt idx="866">
                  <c:v>6.5793802223770674E-5</c:v>
                </c:pt>
                <c:pt idx="867">
                  <c:v>1.5789473684211124E-3</c:v>
                </c:pt>
                <c:pt idx="868">
                  <c:v>7.8166053599579462E-3</c:v>
                </c:pt>
                <c:pt idx="869">
                  <c:v>-1.2644202567946279E-2</c:v>
                </c:pt>
                <c:pt idx="870">
                  <c:v>-9.8356327150307538E-3</c:v>
                </c:pt>
                <c:pt idx="871">
                  <c:v>1.6600000000000059E-2</c:v>
                </c:pt>
                <c:pt idx="872">
                  <c:v>-4.5904649485226307E-4</c:v>
                </c:pt>
                <c:pt idx="873">
                  <c:v>-2.2831649389843788E-2</c:v>
                </c:pt>
                <c:pt idx="874">
                  <c:v>-6.3112662817241694E-3</c:v>
                </c:pt>
                <c:pt idx="875">
                  <c:v>-1.1554054054054108E-2</c:v>
                </c:pt>
                <c:pt idx="876">
                  <c:v>1.1689110670585878E-2</c:v>
                </c:pt>
                <c:pt idx="877">
                  <c:v>-5.0675675675675678E-3</c:v>
                </c:pt>
                <c:pt idx="878">
                  <c:v>1.697792869269949E-3</c:v>
                </c:pt>
                <c:pt idx="879">
                  <c:v>9.9661016949152467E-3</c:v>
                </c:pt>
                <c:pt idx="880">
                  <c:v>5.840102033966601E-3</c:v>
                </c:pt>
                <c:pt idx="881">
                  <c:v>-6.9407367859049118E-3</c:v>
                </c:pt>
                <c:pt idx="882">
                  <c:v>-3.9650537634408831E-3</c:v>
                </c:pt>
                <c:pt idx="883">
                  <c:v>-8.1640914918022257E-3</c:v>
                </c:pt>
                <c:pt idx="884">
                  <c:v>-4.5238095238095279E-2</c:v>
                </c:pt>
                <c:pt idx="885">
                  <c:v>-2.3512646954042329E-3</c:v>
                </c:pt>
                <c:pt idx="886">
                  <c:v>-5.5706327667476149E-3</c:v>
                </c:pt>
                <c:pt idx="887">
                  <c:v>-7.4691180695203993E-3</c:v>
                </c:pt>
                <c:pt idx="888">
                  <c:v>-1.0926193921852323E-2</c:v>
                </c:pt>
                <c:pt idx="889">
                  <c:v>-1.5216914185382867E-2</c:v>
                </c:pt>
                <c:pt idx="890">
                  <c:v>-4.5316098358221049E-3</c:v>
                </c:pt>
                <c:pt idx="891">
                  <c:v>-1.3432835820896031E-3</c:v>
                </c:pt>
                <c:pt idx="892">
                  <c:v>1.345090419967171E-3</c:v>
                </c:pt>
                <c:pt idx="893">
                  <c:v>0</c:v>
                </c:pt>
                <c:pt idx="894">
                  <c:v>1.4925373134328358E-2</c:v>
                </c:pt>
                <c:pt idx="895">
                  <c:v>0</c:v>
                </c:pt>
                <c:pt idx="896">
                  <c:v>-4.4117647058825201E-4</c:v>
                </c:pt>
                <c:pt idx="897">
                  <c:v>-1.3903192584963855E-2</c:v>
                </c:pt>
                <c:pt idx="898">
                  <c:v>-6.4901156284968625E-3</c:v>
                </c:pt>
                <c:pt idx="899">
                  <c:v>-6.0819942934374699E-3</c:v>
                </c:pt>
                <c:pt idx="900">
                  <c:v>-1.269169751454262E-2</c:v>
                </c:pt>
                <c:pt idx="901">
                  <c:v>1.668069477389247E-2</c:v>
                </c:pt>
                <c:pt idx="902">
                  <c:v>-2.1825844810716643E-3</c:v>
                </c:pt>
                <c:pt idx="903">
                  <c:v>-2.187358575954295E-3</c:v>
                </c:pt>
                <c:pt idx="904">
                  <c:v>5.3669967495654095E-3</c:v>
                </c:pt>
                <c:pt idx="905">
                  <c:v>-3.0075187969925239E-3</c:v>
                </c:pt>
                <c:pt idx="906">
                  <c:v>2.7149321266969357E-3</c:v>
                </c:pt>
                <c:pt idx="907">
                  <c:v>0</c:v>
                </c:pt>
                <c:pt idx="908">
                  <c:v>8.5740072202165028E-3</c:v>
                </c:pt>
                <c:pt idx="909">
                  <c:v>2.6323639075316936E-2</c:v>
                </c:pt>
                <c:pt idx="910">
                  <c:v>-2.0417060233960636E-2</c:v>
                </c:pt>
                <c:pt idx="911">
                  <c:v>7.3431241655541402E-3</c:v>
                </c:pt>
                <c:pt idx="912">
                  <c:v>-1.5168249760695106E-2</c:v>
                </c:pt>
                <c:pt idx="913">
                  <c:v>2.115887850467299E-2</c:v>
                </c:pt>
                <c:pt idx="914">
                  <c:v>-1.3032654854297854E-2</c:v>
                </c:pt>
                <c:pt idx="915">
                  <c:v>2.2255192878337013E-3</c:v>
                </c:pt>
                <c:pt idx="916">
                  <c:v>-7.4019245003696763E-4</c:v>
                </c:pt>
                <c:pt idx="917">
                  <c:v>1.9555555555555455E-2</c:v>
                </c:pt>
                <c:pt idx="918">
                  <c:v>1.9907003777971589E-2</c:v>
                </c:pt>
                <c:pt idx="919">
                  <c:v>1.011540105428135E-2</c:v>
                </c:pt>
                <c:pt idx="920">
                  <c:v>-5.1480959097321448E-3</c:v>
                </c:pt>
                <c:pt idx="921">
                  <c:v>-7.5848869355638563E-3</c:v>
                </c:pt>
                <c:pt idx="922">
                  <c:v>0</c:v>
                </c:pt>
                <c:pt idx="923">
                  <c:v>0</c:v>
                </c:pt>
                <c:pt idx="924">
                  <c:v>-3.5714285714293835E-4</c:v>
                </c:pt>
                <c:pt idx="925">
                  <c:v>3.5727045373355748E-4</c:v>
                </c:pt>
                <c:pt idx="926">
                  <c:v>-2.2142857142857307E-3</c:v>
                </c:pt>
                <c:pt idx="927">
                  <c:v>-4.43839931276401E-3</c:v>
                </c:pt>
                <c:pt idx="928">
                  <c:v>-5.0334363989352972E-4</c:v>
                </c:pt>
                <c:pt idx="929">
                  <c:v>4.3165467625898872E-3</c:v>
                </c:pt>
                <c:pt idx="930">
                  <c:v>-7.6647564469913554E-3</c:v>
                </c:pt>
                <c:pt idx="931">
                  <c:v>-3.320580379701205E-3</c:v>
                </c:pt>
                <c:pt idx="932">
                  <c:v>9.4155138697758713E-4</c:v>
                </c:pt>
                <c:pt idx="933">
                  <c:v>0</c:v>
                </c:pt>
                <c:pt idx="934">
                  <c:v>6.5123010130248488E-4</c:v>
                </c:pt>
                <c:pt idx="935">
                  <c:v>5.134138404801562E-3</c:v>
                </c:pt>
                <c:pt idx="936">
                  <c:v>-1.4388489208633094E-2</c:v>
                </c:pt>
                <c:pt idx="937">
                  <c:v>-1.4598540145985401E-2</c:v>
                </c:pt>
                <c:pt idx="938">
                  <c:v>0</c:v>
                </c:pt>
                <c:pt idx="939">
                  <c:v>-1.4518518518518578E-2</c:v>
                </c:pt>
                <c:pt idx="940">
                  <c:v>-7.8171978352374639E-3</c:v>
                </c:pt>
                <c:pt idx="941">
                  <c:v>9.8484848484849345E-3</c:v>
                </c:pt>
                <c:pt idx="942">
                  <c:v>-3.2258064516129115E-2</c:v>
                </c:pt>
                <c:pt idx="943">
                  <c:v>-2.2480620155038143E-3</c:v>
                </c:pt>
                <c:pt idx="944">
                  <c:v>-4.2654028436019023E-2</c:v>
                </c:pt>
                <c:pt idx="945">
                  <c:v>-2.6132121408862188E-2</c:v>
                </c:pt>
                <c:pt idx="946">
                  <c:v>2.808333333333337E-2</c:v>
                </c:pt>
                <c:pt idx="947">
                  <c:v>2.1317986544540774E-2</c:v>
                </c:pt>
                <c:pt idx="948">
                  <c:v>7.9365079365079361E-3</c:v>
                </c:pt>
                <c:pt idx="949">
                  <c:v>-7.874015748031496E-3</c:v>
                </c:pt>
                <c:pt idx="950">
                  <c:v>-1.2063492063492031E-2</c:v>
                </c:pt>
                <c:pt idx="951">
                  <c:v>1.5745501285346995E-2</c:v>
                </c:pt>
                <c:pt idx="952">
                  <c:v>1.6371401455235631E-2</c:v>
                </c:pt>
                <c:pt idx="953">
                  <c:v>-1.953155396467194E-2</c:v>
                </c:pt>
                <c:pt idx="954">
                  <c:v>1.7460317460317369E-3</c:v>
                </c:pt>
                <c:pt idx="955">
                  <c:v>-9.665663127871961E-3</c:v>
                </c:pt>
                <c:pt idx="956">
                  <c:v>-2.3840000000000031E-2</c:v>
                </c:pt>
                <c:pt idx="957">
                  <c:v>-4.9172266841503263E-4</c:v>
                </c:pt>
                <c:pt idx="958">
                  <c:v>-1.1233191210232784E-2</c:v>
                </c:pt>
                <c:pt idx="959">
                  <c:v>-1.8907040384774865E-2</c:v>
                </c:pt>
                <c:pt idx="960">
                  <c:v>-8.7904657256360937E-3</c:v>
                </c:pt>
                <c:pt idx="961">
                  <c:v>-3.3256587362496853E-3</c:v>
                </c:pt>
                <c:pt idx="962">
                  <c:v>-2.5838466803559171E-2</c:v>
                </c:pt>
                <c:pt idx="963">
                  <c:v>-4.0400491832073933E-3</c:v>
                </c:pt>
                <c:pt idx="964">
                  <c:v>-3.4126984126984165E-2</c:v>
                </c:pt>
                <c:pt idx="965">
                  <c:v>-4.8388569341732959E-3</c:v>
                </c:pt>
                <c:pt idx="966">
                  <c:v>-9.1743119266055051E-3</c:v>
                </c:pt>
                <c:pt idx="967">
                  <c:v>-8.7962962962963229E-3</c:v>
                </c:pt>
                <c:pt idx="968">
                  <c:v>3.138720224194301E-2</c:v>
                </c:pt>
                <c:pt idx="969">
                  <c:v>-1.0144008694864509E-2</c:v>
                </c:pt>
                <c:pt idx="970">
                  <c:v>-3.4586878945923695E-2</c:v>
                </c:pt>
                <c:pt idx="971">
                  <c:v>-5.4971092787413347E-3</c:v>
                </c:pt>
                <c:pt idx="972">
                  <c:v>8.2912417802343489E-3</c:v>
                </c:pt>
                <c:pt idx="973">
                  <c:v>-1.0302457466918748E-2</c:v>
                </c:pt>
                <c:pt idx="974">
                  <c:v>6.5896284977558202E-3</c:v>
                </c:pt>
                <c:pt idx="975">
                  <c:v>-4.9335863377610078E-3</c:v>
                </c:pt>
                <c:pt idx="976">
                  <c:v>3.0511060259344716E-3</c:v>
                </c:pt>
                <c:pt idx="977">
                  <c:v>6.6064638783269986E-2</c:v>
                </c:pt>
                <c:pt idx="978">
                  <c:v>2.5858225590725996E-3</c:v>
                </c:pt>
                <c:pt idx="979">
                  <c:v>5.8786908573461395E-2</c:v>
                </c:pt>
                <c:pt idx="980">
                  <c:v>-1.85636287274254E-2</c:v>
                </c:pt>
                <c:pt idx="981">
                  <c:v>-1.617596713454297E-2</c:v>
                </c:pt>
                <c:pt idx="982">
                  <c:v>2.8360156589821581E-2</c:v>
                </c:pt>
                <c:pt idx="983">
                  <c:v>-1.7764994501310697E-3</c:v>
                </c:pt>
                <c:pt idx="984">
                  <c:v>1.7542372881355874E-2</c:v>
                </c:pt>
                <c:pt idx="985">
                  <c:v>-1.2659282085450122E-2</c:v>
                </c:pt>
                <c:pt idx="986">
                  <c:v>-9.7849008857022069E-3</c:v>
                </c:pt>
                <c:pt idx="987">
                  <c:v>-1.9848368685577975E-2</c:v>
                </c:pt>
                <c:pt idx="988">
                  <c:v>-1.6773857118025436E-2</c:v>
                </c:pt>
                <c:pt idx="989">
                  <c:v>1.6529656147794614E-2</c:v>
                </c:pt>
                <c:pt idx="990">
                  <c:v>-8.6956521739130436E-3</c:v>
                </c:pt>
                <c:pt idx="991">
                  <c:v>-1.2280701754386015E-2</c:v>
                </c:pt>
                <c:pt idx="992">
                  <c:v>2.1314387211367726E-2</c:v>
                </c:pt>
                <c:pt idx="993">
                  <c:v>3.4173913043478318E-2</c:v>
                </c:pt>
                <c:pt idx="994">
                  <c:v>-6.4743967039435817E-3</c:v>
                </c:pt>
                <c:pt idx="995">
                  <c:v>-9.4786729857819097E-3</c:v>
                </c:pt>
                <c:pt idx="996">
                  <c:v>-7.689678742310612E-4</c:v>
                </c:pt>
                <c:pt idx="997">
                  <c:v>-1.6246259085078898E-3</c:v>
                </c:pt>
                <c:pt idx="998">
                  <c:v>-1.2675573826652997E-2</c:v>
                </c:pt>
                <c:pt idx="999">
                  <c:v>-1.908396946564888E-2</c:v>
                </c:pt>
                <c:pt idx="1000">
                  <c:v>-1.5033604527767978E-2</c:v>
                </c:pt>
                <c:pt idx="1001">
                  <c:v>-2.1458071467049745E-2</c:v>
                </c:pt>
                <c:pt idx="1002">
                  <c:v>4.9545829892651281E-3</c:v>
                </c:pt>
                <c:pt idx="1003">
                  <c:v>-1.0042910618095447E-2</c:v>
                </c:pt>
                <c:pt idx="1004">
                  <c:v>-2.6007562482707806E-2</c:v>
                </c:pt>
                <c:pt idx="1005">
                  <c:v>-4.7344001515008047E-3</c:v>
                </c:pt>
                <c:pt idx="1006">
                  <c:v>1.598325563695183E-2</c:v>
                </c:pt>
                <c:pt idx="1007">
                  <c:v>-2.0882105066017453E-2</c:v>
                </c:pt>
                <c:pt idx="1008">
                  <c:v>1.5397857689364951E-2</c:v>
                </c:pt>
                <c:pt idx="1009">
                  <c:v>-1.1773570688518413E-2</c:v>
                </c:pt>
                <c:pt idx="1010">
                  <c:v>0</c:v>
                </c:pt>
                <c:pt idx="1011">
                  <c:v>-1.5821578345405991E-2</c:v>
                </c:pt>
                <c:pt idx="1012">
                  <c:v>1.1040092969203956E-2</c:v>
                </c:pt>
                <c:pt idx="1013">
                  <c:v>-8.716475095785544E-3</c:v>
                </c:pt>
                <c:pt idx="1014">
                  <c:v>2.6282732631172083E-2</c:v>
                </c:pt>
                <c:pt idx="1015">
                  <c:v>6.4965634121082003E-3</c:v>
                </c:pt>
                <c:pt idx="1016">
                  <c:v>-6.361085126286312E-3</c:v>
                </c:pt>
                <c:pt idx="1017">
                  <c:v>4.1423460741856315E-3</c:v>
                </c:pt>
                <c:pt idx="1018">
                  <c:v>-3.187699231201982E-3</c:v>
                </c:pt>
                <c:pt idx="1019">
                  <c:v>3.4612490594431972E-2</c:v>
                </c:pt>
                <c:pt idx="1020">
                  <c:v>0</c:v>
                </c:pt>
                <c:pt idx="1021">
                  <c:v>4.5454545454542869E-4</c:v>
                </c:pt>
                <c:pt idx="1022">
                  <c:v>2.8805088596092703E-2</c:v>
                </c:pt>
                <c:pt idx="1023">
                  <c:v>3.8509097332626738E-2</c:v>
                </c:pt>
                <c:pt idx="1024">
                  <c:v>2.5514543289675114E-2</c:v>
                </c:pt>
                <c:pt idx="1025">
                  <c:v>-1.4927848731132246E-3</c:v>
                </c:pt>
                <c:pt idx="1026">
                  <c:v>-1.1960132890365547E-2</c:v>
                </c:pt>
                <c:pt idx="1027">
                  <c:v>-7.4815063887020902E-3</c:v>
                </c:pt>
                <c:pt idx="1028">
                  <c:v>1.6346235284153528E-2</c:v>
                </c:pt>
                <c:pt idx="1029">
                  <c:v>-8.8333333333333527E-3</c:v>
                </c:pt>
                <c:pt idx="1030">
                  <c:v>3.867496216579855E-3</c:v>
                </c:pt>
                <c:pt idx="1031">
                  <c:v>2.1775544388608951E-3</c:v>
                </c:pt>
                <c:pt idx="1032">
                  <c:v>-8.3570115326683141E-5</c:v>
                </c:pt>
                <c:pt idx="1033">
                  <c:v>1.8303384872544903E-2</c:v>
                </c:pt>
                <c:pt idx="1034">
                  <c:v>-9.3565331582403204E-3</c:v>
                </c:pt>
                <c:pt idx="1035">
                  <c:v>-8.8649544324772775E-3</c:v>
                </c:pt>
                <c:pt idx="1036">
                  <c:v>0</c:v>
                </c:pt>
                <c:pt idx="1037">
                  <c:v>-2.8755328930870166E-2</c:v>
                </c:pt>
                <c:pt idx="1038">
                  <c:v>1.5750064549444859E-2</c:v>
                </c:pt>
                <c:pt idx="1039">
                  <c:v>-1.6946280291472651E-4</c:v>
                </c:pt>
                <c:pt idx="1040">
                  <c:v>1.2288135593220364E-2</c:v>
                </c:pt>
                <c:pt idx="1041">
                  <c:v>-1.0213478442863112E-2</c:v>
                </c:pt>
                <c:pt idx="1042">
                  <c:v>2.7657954833798494E-2</c:v>
                </c:pt>
                <c:pt idx="1043">
                  <c:v>-3.6543209876543192E-2</c:v>
                </c:pt>
                <c:pt idx="1044">
                  <c:v>-3.6733299162823065E-3</c:v>
                </c:pt>
                <c:pt idx="1045">
                  <c:v>-7.1165223355911713E-3</c:v>
                </c:pt>
                <c:pt idx="1046">
                  <c:v>1.6753022452504297E-2</c:v>
                </c:pt>
                <c:pt idx="1047">
                  <c:v>-2.7178528962119347E-3</c:v>
                </c:pt>
                <c:pt idx="1048">
                  <c:v>1.7032873445750298E-2</c:v>
                </c:pt>
                <c:pt idx="1049">
                  <c:v>-6.866521520683364E-3</c:v>
                </c:pt>
                <c:pt idx="1050">
                  <c:v>6.0708263069139869E-3</c:v>
                </c:pt>
                <c:pt idx="1051">
                  <c:v>-2.0533020449212108E-2</c:v>
                </c:pt>
                <c:pt idx="1052">
                  <c:v>-5.4761701035338454E-3</c:v>
                </c:pt>
                <c:pt idx="1053">
                  <c:v>1.3507700249505232E-2</c:v>
                </c:pt>
                <c:pt idx="1054">
                  <c:v>-1.290322580645158E-2</c:v>
                </c:pt>
                <c:pt idx="1055">
                  <c:v>5.5899552803578062E-3</c:v>
                </c:pt>
                <c:pt idx="1056">
                  <c:v>-2.5570854357307868E-2</c:v>
                </c:pt>
                <c:pt idx="1057">
                  <c:v>1.6324381253291203E-2</c:v>
                </c:pt>
                <c:pt idx="1058">
                  <c:v>6.3039723661485669E-3</c:v>
                </c:pt>
                <c:pt idx="1059">
                  <c:v>-2.7460739723676941E-3</c:v>
                </c:pt>
                <c:pt idx="1060">
                  <c:v>1.807073401600558E-2</c:v>
                </c:pt>
                <c:pt idx="1061">
                  <c:v>1.7242836615670627E-2</c:v>
                </c:pt>
                <c:pt idx="1062">
                  <c:v>3.9883672621520896E-3</c:v>
                </c:pt>
                <c:pt idx="1063">
                  <c:v>3.0124968964661099E-2</c:v>
                </c:pt>
                <c:pt idx="1064">
                  <c:v>-2.5387643608901715E-2</c:v>
                </c:pt>
                <c:pt idx="1065">
                  <c:v>1.3024482730195353E-2</c:v>
                </c:pt>
                <c:pt idx="1066">
                  <c:v>8.3001057856619421E-3</c:v>
                </c:pt>
                <c:pt idx="1067">
                  <c:v>-8.8774110241303719E-4</c:v>
                </c:pt>
                <c:pt idx="1068">
                  <c:v>1.4297253634894961E-2</c:v>
                </c:pt>
                <c:pt idx="1069">
                  <c:v>3.5119853468185053E-2</c:v>
                </c:pt>
                <c:pt idx="1070">
                  <c:v>4.0006154793045872E-3</c:v>
                </c:pt>
                <c:pt idx="1071">
                  <c:v>-2.6743295019157048E-2</c:v>
                </c:pt>
                <c:pt idx="1072">
                  <c:v>2.1336902606093958E-2</c:v>
                </c:pt>
                <c:pt idx="1073">
                  <c:v>-7.7089115016889493E-5</c:v>
                </c:pt>
                <c:pt idx="1074">
                  <c:v>1.1795543905635657E-2</c:v>
                </c:pt>
                <c:pt idx="1075">
                  <c:v>-2.2782688204815674E-2</c:v>
                </c:pt>
                <c:pt idx="1076">
                  <c:v>-1.1306042884990276E-2</c:v>
                </c:pt>
                <c:pt idx="1077">
                  <c:v>1.5772870662460793E-3</c:v>
                </c:pt>
                <c:pt idx="1078">
                  <c:v>2.3622047244095383E-4</c:v>
                </c:pt>
                <c:pt idx="1079">
                  <c:v>9.1317011729512444E-3</c:v>
                </c:pt>
                <c:pt idx="1080">
                  <c:v>1.5835868632498643E-2</c:v>
                </c:pt>
                <c:pt idx="1081">
                  <c:v>4.423283673782822E-2</c:v>
                </c:pt>
                <c:pt idx="1082">
                  <c:v>-7.0598617443740231E-3</c:v>
                </c:pt>
                <c:pt idx="1083">
                  <c:v>-4.5919123092875462E-3</c:v>
                </c:pt>
                <c:pt idx="1084">
                  <c:v>1.7261904761904711E-2</c:v>
                </c:pt>
                <c:pt idx="1085">
                  <c:v>-1.2434172030427067E-2</c:v>
                </c:pt>
                <c:pt idx="1086">
                  <c:v>1.6145756184268837E-2</c:v>
                </c:pt>
                <c:pt idx="1087">
                  <c:v>-1.946064139941682E-2</c:v>
                </c:pt>
                <c:pt idx="1088">
                  <c:v>-1.7839887014048952E-2</c:v>
                </c:pt>
                <c:pt idx="1089">
                  <c:v>1.7407099069099991E-3</c:v>
                </c:pt>
                <c:pt idx="1090">
                  <c:v>-1.4203686914475851E-2</c:v>
                </c:pt>
                <c:pt idx="1091">
                  <c:v>2.9276517473942533E-2</c:v>
                </c:pt>
                <c:pt idx="1092">
                  <c:v>-3.7230081906180191E-3</c:v>
                </c:pt>
                <c:pt idx="1093">
                  <c:v>-1.4125560538116701E-2</c:v>
                </c:pt>
                <c:pt idx="1094">
                  <c:v>-9.3245394587217791E-3</c:v>
                </c:pt>
                <c:pt idx="1095">
                  <c:v>-4.1322314049588339E-3</c:v>
                </c:pt>
                <c:pt idx="1096">
                  <c:v>-1.4907023205778377E-2</c:v>
                </c:pt>
                <c:pt idx="1097">
                  <c:v>-2.9329173166926608E-2</c:v>
                </c:pt>
                <c:pt idx="1098">
                  <c:v>1.2536162005785939E-2</c:v>
                </c:pt>
                <c:pt idx="1099">
                  <c:v>4.68253968253971E-3</c:v>
                </c:pt>
                <c:pt idx="1100">
                  <c:v>7.504542222924424E-3</c:v>
                </c:pt>
                <c:pt idx="1101">
                  <c:v>-4.2339658146464346E-3</c:v>
                </c:pt>
                <c:pt idx="1102">
                  <c:v>-1.5039370078740131E-2</c:v>
                </c:pt>
                <c:pt idx="1103">
                  <c:v>1.2071308657766336E-2</c:v>
                </c:pt>
                <c:pt idx="1104">
                  <c:v>-1.3902053712480182E-2</c:v>
                </c:pt>
                <c:pt idx="1105">
                  <c:v>9.2918936238384851E-3</c:v>
                </c:pt>
                <c:pt idx="1106">
                  <c:v>7.9365079365079361E-3</c:v>
                </c:pt>
                <c:pt idx="1107">
                  <c:v>-7.874015748031496E-3</c:v>
                </c:pt>
                <c:pt idx="1108">
                  <c:v>-1.9444444444444466E-2</c:v>
                </c:pt>
                <c:pt idx="1109">
                  <c:v>-5.6657223796034223E-3</c:v>
                </c:pt>
                <c:pt idx="1110">
                  <c:v>-3.8258038258038168E-3</c:v>
                </c:pt>
                <c:pt idx="1111">
                  <c:v>-4.0039222095113163E-3</c:v>
                </c:pt>
                <c:pt idx="1112">
                  <c:v>-1.5587825088194088E-3</c:v>
                </c:pt>
                <c:pt idx="1113">
                  <c:v>3.05669679539852E-2</c:v>
                </c:pt>
                <c:pt idx="1114">
                  <c:v>-3.0298198054536396E-3</c:v>
                </c:pt>
                <c:pt idx="1115">
                  <c:v>-3.5828534868842001E-2</c:v>
                </c:pt>
                <c:pt idx="1116">
                  <c:v>-3.3344392833443898E-2</c:v>
                </c:pt>
                <c:pt idx="1117">
                  <c:v>-1.9649905611807156E-2</c:v>
                </c:pt>
                <c:pt idx="1118">
                  <c:v>3.9387308533917094E-3</c:v>
                </c:pt>
                <c:pt idx="1119">
                  <c:v>-8.5440278988666435E-3</c:v>
                </c:pt>
                <c:pt idx="1120">
                  <c:v>5.451987337319773E-3</c:v>
                </c:pt>
                <c:pt idx="1121">
                  <c:v>3.6732552037782203E-3</c:v>
                </c:pt>
                <c:pt idx="1122">
                  <c:v>-2.9627047751830202E-3</c:v>
                </c:pt>
                <c:pt idx="1123">
                  <c:v>5.0690438734486828E-3</c:v>
                </c:pt>
                <c:pt idx="1124">
                  <c:v>2.608695652174012E-4</c:v>
                </c:pt>
                <c:pt idx="1125">
                  <c:v>-4.1728244805703208E-3</c:v>
                </c:pt>
                <c:pt idx="1126">
                  <c:v>-3.9284155390659353E-3</c:v>
                </c:pt>
                <c:pt idx="1127">
                  <c:v>7.4496056091148868E-3</c:v>
                </c:pt>
                <c:pt idx="1128">
                  <c:v>-5.0456720313179493E-3</c:v>
                </c:pt>
                <c:pt idx="1129">
                  <c:v>-1.3115327446009066E-3</c:v>
                </c:pt>
                <c:pt idx="1130">
                  <c:v>1.7510068289266576E-3</c:v>
                </c:pt>
                <c:pt idx="1131">
                  <c:v>5.0690438734486828E-3</c:v>
                </c:pt>
                <c:pt idx="1132">
                  <c:v>0</c:v>
                </c:pt>
                <c:pt idx="1133">
                  <c:v>1.0608695652173903E-2</c:v>
                </c:pt>
                <c:pt idx="1134">
                  <c:v>2.0478403028738559E-2</c:v>
                </c:pt>
                <c:pt idx="1135">
                  <c:v>1.8718381112984815E-2</c:v>
                </c:pt>
                <c:pt idx="1136">
                  <c:v>1.4070518126138199E-3</c:v>
                </c:pt>
                <c:pt idx="1137">
                  <c:v>3.9672700223159031E-2</c:v>
                </c:pt>
                <c:pt idx="1138">
                  <c:v>-9.3807138882264635E-3</c:v>
                </c:pt>
                <c:pt idx="1139">
                  <c:v>1.1475804510071477E-2</c:v>
                </c:pt>
                <c:pt idx="1140">
                  <c:v>-2.8562361155188782E-3</c:v>
                </c:pt>
                <c:pt idx="1141">
                  <c:v>-1.312858052196058E-2</c:v>
                </c:pt>
                <c:pt idx="1142">
                  <c:v>2.2736434733532155E-2</c:v>
                </c:pt>
                <c:pt idx="1143">
                  <c:v>-1.797398502167916E-2</c:v>
                </c:pt>
                <c:pt idx="1144">
                  <c:v>1.9426828289315259E-2</c:v>
                </c:pt>
                <c:pt idx="1145">
                  <c:v>5.5122450586666193E-4</c:v>
                </c:pt>
                <c:pt idx="1146">
                  <c:v>5.5092082480712407E-4</c:v>
                </c:pt>
                <c:pt idx="1147">
                  <c:v>7.0007079367577661E-3</c:v>
                </c:pt>
                <c:pt idx="1148">
                  <c:v>1.5466333385408449E-2</c:v>
                </c:pt>
                <c:pt idx="1149">
                  <c:v>2.2846153846153839E-2</c:v>
                </c:pt>
                <c:pt idx="1150">
                  <c:v>-2.2561480033091025E-3</c:v>
                </c:pt>
                <c:pt idx="1151">
                  <c:v>8.4419989447501662E-3</c:v>
                </c:pt>
                <c:pt idx="1152">
                  <c:v>1.5696240376710366E-3</c:v>
                </c:pt>
                <c:pt idx="1153">
                  <c:v>-9.1791044776118637E-3</c:v>
                </c:pt>
                <c:pt idx="1154">
                  <c:v>1.8076372674548516E-3</c:v>
                </c:pt>
                <c:pt idx="1155">
                  <c:v>-3.4583865874744722E-3</c:v>
                </c:pt>
                <c:pt idx="1156">
                  <c:v>-1.9238023387401066E-2</c:v>
                </c:pt>
                <c:pt idx="1157">
                  <c:v>7.6923076923076927E-3</c:v>
                </c:pt>
                <c:pt idx="1158">
                  <c:v>2.3053435114503897E-2</c:v>
                </c:pt>
                <c:pt idx="1159">
                  <c:v>1.7758543500969969E-2</c:v>
                </c:pt>
                <c:pt idx="1160">
                  <c:v>-3.4457478005865019E-3</c:v>
                </c:pt>
                <c:pt idx="1161">
                  <c:v>1.8391819318767011E-3</c:v>
                </c:pt>
                <c:pt idx="1162">
                  <c:v>-9.5461888676748015E-4</c:v>
                </c:pt>
                <c:pt idx="1163">
                  <c:v>7.7912532157295268E-3</c:v>
                </c:pt>
                <c:pt idx="1164">
                  <c:v>1.3274013565750076E-2</c:v>
                </c:pt>
                <c:pt idx="1165">
                  <c:v>6.2477506658029272E-2</c:v>
                </c:pt>
                <c:pt idx="1166">
                  <c:v>-5.1487026624213754E-3</c:v>
                </c:pt>
                <c:pt idx="1167">
                  <c:v>-7.7630234933604792E-3</c:v>
                </c:pt>
                <c:pt idx="1168">
                  <c:v>1.571614851417193E-2</c:v>
                </c:pt>
                <c:pt idx="1169">
                  <c:v>2.0945945945946101E-3</c:v>
                </c:pt>
                <c:pt idx="1170">
                  <c:v>1.0585934866158676E-2</c:v>
                </c:pt>
                <c:pt idx="1171">
                  <c:v>1.1342407259141709E-3</c:v>
                </c:pt>
                <c:pt idx="1172">
                  <c:v>2.0059980006664382E-2</c:v>
                </c:pt>
                <c:pt idx="1173">
                  <c:v>-5.6187116163596866E-3</c:v>
                </c:pt>
                <c:pt idx="1174">
                  <c:v>5.3876478318004052E-3</c:v>
                </c:pt>
                <c:pt idx="1175">
                  <c:v>4.4307933603450533E-2</c:v>
                </c:pt>
                <c:pt idx="1176">
                  <c:v>-8.6983729662078509E-3</c:v>
                </c:pt>
                <c:pt idx="1177">
                  <c:v>-2.9606716747680058E-2</c:v>
                </c:pt>
                <c:pt idx="1178">
                  <c:v>4.0983606557376756E-3</c:v>
                </c:pt>
                <c:pt idx="1179">
                  <c:v>-1.0042112082928299E-2</c:v>
                </c:pt>
                <c:pt idx="1180">
                  <c:v>-4.8429319371728341E-3</c:v>
                </c:pt>
                <c:pt idx="1181">
                  <c:v>-4.9980270945679299E-2</c:v>
                </c:pt>
                <c:pt idx="1182">
                  <c:v>7.5453412709400756E-3</c:v>
                </c:pt>
                <c:pt idx="1183">
                  <c:v>6.0872552387495601E-2</c:v>
                </c:pt>
                <c:pt idx="1184">
                  <c:v>8.4839064827407704E-3</c:v>
                </c:pt>
                <c:pt idx="1185">
                  <c:v>7.3208322630363134E-3</c:v>
                </c:pt>
                <c:pt idx="1186">
                  <c:v>-1.6129032258064523E-2</c:v>
                </c:pt>
                <c:pt idx="1187">
                  <c:v>3.9525691699603786E-3</c:v>
                </c:pt>
                <c:pt idx="1188">
                  <c:v>-8.8421324383632666E-3</c:v>
                </c:pt>
                <c:pt idx="1189">
                  <c:v>-4.9488832454254797E-3</c:v>
                </c:pt>
                <c:pt idx="1190">
                  <c:v>1.9632223022054274E-4</c:v>
                </c:pt>
                <c:pt idx="1191">
                  <c:v>5.0379481811044895E-3</c:v>
                </c:pt>
                <c:pt idx="1192">
                  <c:v>-3.8408957750146692E-3</c:v>
                </c:pt>
                <c:pt idx="1193">
                  <c:v>-1.3723696248856877E-3</c:v>
                </c:pt>
                <c:pt idx="1194">
                  <c:v>3.2720371703429991E-4</c:v>
                </c:pt>
                <c:pt idx="1195">
                  <c:v>3.9251602773779553E-3</c:v>
                </c:pt>
                <c:pt idx="1196">
                  <c:v>-8.1454450671184665E-3</c:v>
                </c:pt>
                <c:pt idx="1197">
                  <c:v>-9.7891071545891141E-3</c:v>
                </c:pt>
                <c:pt idx="1198">
                  <c:v>-1.804670912951167E-2</c:v>
                </c:pt>
                <c:pt idx="1199">
                  <c:v>-4.4594594594594365E-3</c:v>
                </c:pt>
                <c:pt idx="1200">
                  <c:v>-3.7328627663907382E-3</c:v>
                </c:pt>
                <c:pt idx="1201">
                  <c:v>-6.1993323795898675E-3</c:v>
                </c:pt>
                <c:pt idx="1202">
                  <c:v>1.3298601590348217E-2</c:v>
                </c:pt>
                <c:pt idx="1203">
                  <c:v>7.4956027601136607E-2</c:v>
                </c:pt>
                <c:pt idx="1204">
                  <c:v>1.4411579609817444E-2</c:v>
                </c:pt>
                <c:pt idx="1205">
                  <c:v>-2.2395930268626994E-2</c:v>
                </c:pt>
                <c:pt idx="1206">
                  <c:v>-1.402462241401198E-2</c:v>
                </c:pt>
                <c:pt idx="1207">
                  <c:v>1.0040548368410904E-2</c:v>
                </c:pt>
                <c:pt idx="1208">
                  <c:v>-3.0459440514879251E-2</c:v>
                </c:pt>
                <c:pt idx="1209">
                  <c:v>-4.6007229707520982E-4</c:v>
                </c:pt>
                <c:pt idx="1210">
                  <c:v>2.3934771173066714E-2</c:v>
                </c:pt>
                <c:pt idx="1211">
                  <c:v>-4.9768815823272541E-2</c:v>
                </c:pt>
                <c:pt idx="1212">
                  <c:v>1.5070622423464146E-2</c:v>
                </c:pt>
                <c:pt idx="1213">
                  <c:v>2.703062583222372E-2</c:v>
                </c:pt>
                <c:pt idx="1214">
                  <c:v>-2.8458446778166644E-2</c:v>
                </c:pt>
                <c:pt idx="1215">
                  <c:v>-9.4748782277975299E-3</c:v>
                </c:pt>
                <c:pt idx="1216">
                  <c:v>-5.6584708656111492E-3</c:v>
                </c:pt>
                <c:pt idx="1217">
                  <c:v>3.651514125059268E-2</c:v>
                </c:pt>
                <c:pt idx="1218">
                  <c:v>6.5359477124183009E-3</c:v>
                </c:pt>
                <c:pt idx="1219">
                  <c:v>-1.8766233766233677E-2</c:v>
                </c:pt>
                <c:pt idx="1220">
                  <c:v>1.7669247567996739E-2</c:v>
                </c:pt>
                <c:pt idx="1221">
                  <c:v>1.0794641695929228E-2</c:v>
                </c:pt>
                <c:pt idx="1222">
                  <c:v>-2.7470406587750965E-2</c:v>
                </c:pt>
                <c:pt idx="1223">
                  <c:v>0</c:v>
                </c:pt>
                <c:pt idx="1224">
                  <c:v>2.493881061057095E-2</c:v>
                </c:pt>
                <c:pt idx="1225">
                  <c:v>1.187556473473605E-2</c:v>
                </c:pt>
                <c:pt idx="1226">
                  <c:v>2.2515626993238939E-2</c:v>
                </c:pt>
                <c:pt idx="1227">
                  <c:v>-1.9337533528788115E-3</c:v>
                </c:pt>
                <c:pt idx="1228">
                  <c:v>-2.3625000000000007E-2</c:v>
                </c:pt>
                <c:pt idx="1229">
                  <c:v>-1.8499551913967394E-2</c:v>
                </c:pt>
                <c:pt idx="1230">
                  <c:v>1.4869888475836437E-2</c:v>
                </c:pt>
                <c:pt idx="1231">
                  <c:v>-3.6051667630615084E-2</c:v>
                </c:pt>
                <c:pt idx="1232">
                  <c:v>6.6666666666666666E-2</c:v>
                </c:pt>
                <c:pt idx="1233">
                  <c:v>-2.4999999999995024E-4</c:v>
                </c:pt>
                <c:pt idx="1234">
                  <c:v>9.6274068517128789E-3</c:v>
                </c:pt>
                <c:pt idx="1235">
                  <c:v>2.8482972136223404E-3</c:v>
                </c:pt>
                <c:pt idx="1236">
                  <c:v>1.0866880711286681E-2</c:v>
                </c:pt>
                <c:pt idx="1237">
                  <c:v>-2.3576838504764143E-2</c:v>
                </c:pt>
                <c:pt idx="1238">
                  <c:v>1.5138245965219487E-2</c:v>
                </c:pt>
                <c:pt idx="1239">
                  <c:v>9.3049051022922775E-3</c:v>
                </c:pt>
                <c:pt idx="1240">
                  <c:v>7.387508394895952E-3</c:v>
                </c:pt>
                <c:pt idx="1241">
                  <c:v>5.5151515151514946E-3</c:v>
                </c:pt>
                <c:pt idx="1242">
                  <c:v>3.3632692423603235E-2</c:v>
                </c:pt>
                <c:pt idx="1243">
                  <c:v>-1.3878360254242203E-2</c:v>
                </c:pt>
                <c:pt idx="1244">
                  <c:v>-1.1530956182366606E-2</c:v>
                </c:pt>
                <c:pt idx="1245">
                  <c:v>4.6063651591290392E-3</c:v>
                </c:pt>
                <c:pt idx="1246">
                  <c:v>-1.0301911510748635E-2</c:v>
                </c:pt>
                <c:pt idx="1247">
                  <c:v>2.7677496991576895E-3</c:v>
                </c:pt>
                <c:pt idx="1248">
                  <c:v>2.0400816032641509E-3</c:v>
                </c:pt>
                <c:pt idx="1249">
                  <c:v>2.3952095808378468E-4</c:v>
                </c:pt>
                <c:pt idx="1250">
                  <c:v>5.7471264367816568E-3</c:v>
                </c:pt>
                <c:pt idx="1251">
                  <c:v>1.1904761904761227E-3</c:v>
                </c:pt>
                <c:pt idx="1252">
                  <c:v>-8.4423305588584279E-3</c:v>
                </c:pt>
                <c:pt idx="1253">
                  <c:v>7.3150257824679153E-3</c:v>
                </c:pt>
                <c:pt idx="1254">
                  <c:v>1.0119047619047552E-2</c:v>
                </c:pt>
                <c:pt idx="1255">
                  <c:v>1.7678255745433788E-3</c:v>
                </c:pt>
                <c:pt idx="1256">
                  <c:v>8.1764705882352139E-3</c:v>
                </c:pt>
                <c:pt idx="1257">
                  <c:v>-6.8848824318803806E-3</c:v>
                </c:pt>
                <c:pt idx="1258">
                  <c:v>-6.8738617002527223E-3</c:v>
                </c:pt>
                <c:pt idx="1259">
                  <c:v>-2.7922385234264074E-2</c:v>
                </c:pt>
                <c:pt idx="1260">
                  <c:v>-2.3673320350535459E-2</c:v>
                </c:pt>
                <c:pt idx="1261">
                  <c:v>-8.8512123667644198E-3</c:v>
                </c:pt>
                <c:pt idx="1262">
                  <c:v>1.0376705867555536E-2</c:v>
                </c:pt>
                <c:pt idx="1263">
                  <c:v>5.8508651811278335E-3</c:v>
                </c:pt>
                <c:pt idx="1264">
                  <c:v>0</c:v>
                </c:pt>
                <c:pt idx="1265">
                  <c:v>-1.6089108910891055E-2</c:v>
                </c:pt>
                <c:pt idx="1266">
                  <c:v>1.1320754716981562E-3</c:v>
                </c:pt>
                <c:pt idx="1267">
                  <c:v>7.5009423294383704E-2</c:v>
                </c:pt>
                <c:pt idx="1268">
                  <c:v>3.383590462833095E-2</c:v>
                </c:pt>
                <c:pt idx="1269">
                  <c:v>-4.0133401164434345E-3</c:v>
                </c:pt>
                <c:pt idx="1270">
                  <c:v>8.2860385925085586E-3</c:v>
                </c:pt>
                <c:pt idx="1271">
                  <c:v>-9.3436901947540063E-3</c:v>
                </c:pt>
                <c:pt idx="1272">
                  <c:v>2.1590909090909157E-2</c:v>
                </c:pt>
                <c:pt idx="1273">
                  <c:v>4.7830923248052565E-3</c:v>
                </c:pt>
                <c:pt idx="1274">
                  <c:v>1.2841802280526919E-2</c:v>
                </c:pt>
                <c:pt idx="1275">
                  <c:v>-3.0986993114001462E-2</c:v>
                </c:pt>
                <c:pt idx="1276">
                  <c:v>3.8914894816987067E-3</c:v>
                </c:pt>
                <c:pt idx="1277">
                  <c:v>0</c:v>
                </c:pt>
                <c:pt idx="1278">
                  <c:v>-1.4213483146067423E-2</c:v>
                </c:pt>
                <c:pt idx="1279">
                  <c:v>4.9011226990368695E-2</c:v>
                </c:pt>
                <c:pt idx="1280">
                  <c:v>-7.1168577171728271E-3</c:v>
                </c:pt>
                <c:pt idx="1281">
                  <c:v>3.7754432042022201E-3</c:v>
                </c:pt>
                <c:pt idx="1282">
                  <c:v>-1.0084491687108173E-2</c:v>
                </c:pt>
                <c:pt idx="1283">
                  <c:v>7.5440528634361488E-3</c:v>
                </c:pt>
                <c:pt idx="1284">
                  <c:v>-6.9956823522981972E-3</c:v>
                </c:pt>
                <c:pt idx="1285">
                  <c:v>-1.3924816995982173E-2</c:v>
                </c:pt>
                <c:pt idx="1286">
                  <c:v>-1.2614422862245987E-2</c:v>
                </c:pt>
                <c:pt idx="1287">
                  <c:v>1.7637083097795391E-2</c:v>
                </c:pt>
                <c:pt idx="1288">
                  <c:v>3.3329630041107803E-4</c:v>
                </c:pt>
                <c:pt idx="1289">
                  <c:v>6.3860506441580254E-3</c:v>
                </c:pt>
                <c:pt idx="1290">
                  <c:v>9.7665949346135324E-3</c:v>
                </c:pt>
                <c:pt idx="1291">
                  <c:v>-1.4207650273224013E-2</c:v>
                </c:pt>
                <c:pt idx="1292">
                  <c:v>1.1419068736141919E-2</c:v>
                </c:pt>
                <c:pt idx="1293">
                  <c:v>-8.0017538090540827E-3</c:v>
                </c:pt>
                <c:pt idx="1294">
                  <c:v>9.613259668508338E-3</c:v>
                </c:pt>
                <c:pt idx="1295">
                  <c:v>-2.7361278318929278E-4</c:v>
                </c:pt>
                <c:pt idx="1296">
                  <c:v>8.7032678307515654E-3</c:v>
                </c:pt>
                <c:pt idx="1297">
                  <c:v>3.6357716518340974E-3</c:v>
                </c:pt>
                <c:pt idx="1298">
                  <c:v>5.1365233846986597E-3</c:v>
                </c:pt>
                <c:pt idx="1299">
                  <c:v>-1.6783216783216807E-2</c:v>
                </c:pt>
                <c:pt idx="1300">
                  <c:v>1.0613852719115864E-2</c:v>
                </c:pt>
                <c:pt idx="1301">
                  <c:v>-1.5158077089649261E-3</c:v>
                </c:pt>
                <c:pt idx="1302">
                  <c:v>-2.3855996530036745E-3</c:v>
                </c:pt>
                <c:pt idx="1303">
                  <c:v>2.717391304347826E-3</c:v>
                </c:pt>
                <c:pt idx="1304">
                  <c:v>2.4932249322493654E-3</c:v>
                </c:pt>
                <c:pt idx="1305">
                  <c:v>-3.9467993079585753E-3</c:v>
                </c:pt>
                <c:pt idx="1306">
                  <c:v>-3.4196384953590377E-3</c:v>
                </c:pt>
                <c:pt idx="1307">
                  <c:v>0</c:v>
                </c:pt>
                <c:pt idx="1308">
                  <c:v>3.2679738562091196E-3</c:v>
                </c:pt>
                <c:pt idx="1309">
                  <c:v>4.3431053203040791E-3</c:v>
                </c:pt>
                <c:pt idx="1310">
                  <c:v>4.1621621621622173E-3</c:v>
                </c:pt>
                <c:pt idx="1311">
                  <c:v>-3.0683102761480409E-3</c:v>
                </c:pt>
                <c:pt idx="1312">
                  <c:v>-2.2570194384449131E-2</c:v>
                </c:pt>
                <c:pt idx="1313">
                  <c:v>6.7672080433101314E-2</c:v>
                </c:pt>
                <c:pt idx="1314">
                  <c:v>2.8250633828322963E-2</c:v>
                </c:pt>
                <c:pt idx="1315">
                  <c:v>-4.3828309767020478E-2</c:v>
                </c:pt>
                <c:pt idx="1316">
                  <c:v>-9.4200610462057705E-3</c:v>
                </c:pt>
                <c:pt idx="1317">
                  <c:v>7.1720767146577213E-3</c:v>
                </c:pt>
                <c:pt idx="1318">
                  <c:v>-7.1737525055386303E-3</c:v>
                </c:pt>
                <c:pt idx="1319">
                  <c:v>-2.2314313037934273E-2</c:v>
                </c:pt>
                <c:pt idx="1320">
                  <c:v>-1.0651016193892011E-2</c:v>
                </c:pt>
                <c:pt idx="1321">
                  <c:v>7.3602109194771141E-3</c:v>
                </c:pt>
                <c:pt idx="1322">
                  <c:v>2.3991275899672877E-2</c:v>
                </c:pt>
                <c:pt idx="1323">
                  <c:v>-4.5260915867945829E-3</c:v>
                </c:pt>
                <c:pt idx="1324">
                  <c:v>-7.7025942765445192E-3</c:v>
                </c:pt>
                <c:pt idx="1325">
                  <c:v>2.1023125437982576E-3</c:v>
                </c:pt>
                <c:pt idx="1326">
                  <c:v>5.3792361484666115E-4</c:v>
                </c:pt>
                <c:pt idx="1327">
                  <c:v>-4.9462365591397177E-3</c:v>
                </c:pt>
                <c:pt idx="1328">
                  <c:v>-9.2932785822347017E-3</c:v>
                </c:pt>
                <c:pt idx="1329">
                  <c:v>-7.3625654450263011E-3</c:v>
                </c:pt>
                <c:pt idx="1330">
                  <c:v>3.9558266029338989E-3</c:v>
                </c:pt>
                <c:pt idx="1331">
                  <c:v>1.094511027198599E-2</c:v>
                </c:pt>
                <c:pt idx="1332">
                  <c:v>1.6239917717750846E-3</c:v>
                </c:pt>
                <c:pt idx="1333">
                  <c:v>-2.2753067070204875E-2</c:v>
                </c:pt>
                <c:pt idx="1334">
                  <c:v>1.8858533348080946E-2</c:v>
                </c:pt>
                <c:pt idx="1335">
                  <c:v>8.2397003745318387E-2</c:v>
                </c:pt>
                <c:pt idx="1336">
                  <c:v>2.5575447570332023E-3</c:v>
                </c:pt>
                <c:pt idx="1337">
                  <c:v>-1.7607042817126762E-2</c:v>
                </c:pt>
                <c:pt idx="1338">
                  <c:v>5.2443991853360549E-3</c:v>
                </c:pt>
                <c:pt idx="1339">
                  <c:v>-6.6352631312363991E-3</c:v>
                </c:pt>
                <c:pt idx="1340">
                  <c:v>2.1925351825412925E-2</c:v>
                </c:pt>
                <c:pt idx="1341">
                  <c:v>-1.6465422612512927E-3</c:v>
                </c:pt>
                <c:pt idx="1342">
                  <c:v>1.2244489979509164E-2</c:v>
                </c:pt>
                <c:pt idx="1343">
                  <c:v>1.7774266811494701E-3</c:v>
                </c:pt>
                <c:pt idx="1344">
                  <c:v>-6.9985214391326562E-3</c:v>
                </c:pt>
                <c:pt idx="1345">
                  <c:v>7.5441731189200435E-3</c:v>
                </c:pt>
                <c:pt idx="1346">
                  <c:v>3.9408866995074452E-3</c:v>
                </c:pt>
                <c:pt idx="1347">
                  <c:v>0</c:v>
                </c:pt>
                <c:pt idx="1348">
                  <c:v>-2.5024533856723222E-3</c:v>
                </c:pt>
                <c:pt idx="1349">
                  <c:v>8.8543460081660105E-4</c:v>
                </c:pt>
                <c:pt idx="1350">
                  <c:v>1.2385118199243181E-2</c:v>
                </c:pt>
                <c:pt idx="1351">
                  <c:v>1.5194912374387083E-2</c:v>
                </c:pt>
                <c:pt idx="1352">
                  <c:v>-2.9074215761285445E-2</c:v>
                </c:pt>
                <c:pt idx="1353">
                  <c:v>5.9791174152876353E-2</c:v>
                </c:pt>
                <c:pt idx="1354">
                  <c:v>-1.9239706292406424E-2</c:v>
                </c:pt>
                <c:pt idx="1355">
                  <c:v>-3.530136467020465E-2</c:v>
                </c:pt>
                <c:pt idx="1356">
                  <c:v>-8.890417014588153E-3</c:v>
                </c:pt>
                <c:pt idx="1357">
                  <c:v>1.9030627415997637E-2</c:v>
                </c:pt>
                <c:pt idx="1358">
                  <c:v>-1.2450150763544414E-2</c:v>
                </c:pt>
                <c:pt idx="1359">
                  <c:v>4.7769132276174473E-3</c:v>
                </c:pt>
                <c:pt idx="1360">
                  <c:v>3.0289663284811089E-2</c:v>
                </c:pt>
                <c:pt idx="1361">
                  <c:v>-2.8542885685743907E-4</c:v>
                </c:pt>
                <c:pt idx="1362">
                  <c:v>-2.7456578634308875E-2</c:v>
                </c:pt>
                <c:pt idx="1363">
                  <c:v>-5.7735590566591975E-3</c:v>
                </c:pt>
                <c:pt idx="1364">
                  <c:v>2.4163385826771779E-2</c:v>
                </c:pt>
                <c:pt idx="1365">
                  <c:v>2.9888039978857327E-2</c:v>
                </c:pt>
                <c:pt idx="1366">
                  <c:v>6.6812858675873624E-2</c:v>
                </c:pt>
                <c:pt idx="1367">
                  <c:v>9.9978132516947232E-2</c:v>
                </c:pt>
                <c:pt idx="1368">
                  <c:v>-5.085284879328851E-2</c:v>
                </c:pt>
                <c:pt idx="1369">
                  <c:v>-2.5511058981233257E-2</c:v>
                </c:pt>
                <c:pt idx="1370">
                  <c:v>-1.1520440183983179E-2</c:v>
                </c:pt>
                <c:pt idx="1371">
                  <c:v>-2.2222222222222161E-2</c:v>
                </c:pt>
                <c:pt idx="1372">
                  <c:v>-8.4504536559330064E-4</c:v>
                </c:pt>
                <c:pt idx="1373">
                  <c:v>-2.5372802136656718E-3</c:v>
                </c:pt>
                <c:pt idx="1374">
                  <c:v>2.1911817208139932E-2</c:v>
                </c:pt>
                <c:pt idx="1375">
                  <c:v>3.06126905105026E-2</c:v>
                </c:pt>
                <c:pt idx="1376">
                  <c:v>-4.2372881355932203E-3</c:v>
                </c:pt>
                <c:pt idx="1377">
                  <c:v>2.9787234042553193E-2</c:v>
                </c:pt>
                <c:pt idx="1378">
                  <c:v>2.2272727272727215E-2</c:v>
                </c:pt>
                <c:pt idx="1379">
                  <c:v>-6.3866769069080565E-3</c:v>
                </c:pt>
                <c:pt idx="1380">
                  <c:v>-2.5344778487449614E-2</c:v>
                </c:pt>
                <c:pt idx="1381">
                  <c:v>-1.7948075799315752E-3</c:v>
                </c:pt>
                <c:pt idx="1382">
                  <c:v>-1.2335354380096244E-2</c:v>
                </c:pt>
                <c:pt idx="1383">
                  <c:v>-6.138865368331874E-3</c:v>
                </c:pt>
                <c:pt idx="1384">
                  <c:v>-3.1948881789137379E-3</c:v>
                </c:pt>
                <c:pt idx="1385">
                  <c:v>2.4914529914529967E-2</c:v>
                </c:pt>
                <c:pt idx="1386">
                  <c:v>-1.4802151523996211E-2</c:v>
                </c:pt>
                <c:pt idx="1387">
                  <c:v>9.8188589808701245E-3</c:v>
                </c:pt>
                <c:pt idx="1388">
                  <c:v>-1.5046102263202027E-2</c:v>
                </c:pt>
                <c:pt idx="1389">
                  <c:v>-8.5102761584536022E-5</c:v>
                </c:pt>
                <c:pt idx="1390">
                  <c:v>1.2809055704498024E-2</c:v>
                </c:pt>
                <c:pt idx="1391">
                  <c:v>3.9495798319327639E-3</c:v>
                </c:pt>
                <c:pt idx="1392">
                  <c:v>-2.0674646354733397E-2</c:v>
                </c:pt>
                <c:pt idx="1393">
                  <c:v>3.803418803418745E-3</c:v>
                </c:pt>
                <c:pt idx="1394">
                  <c:v>-8.5146238664906976E-3</c:v>
                </c:pt>
                <c:pt idx="1395">
                  <c:v>5.6249731632959871E-3</c:v>
                </c:pt>
                <c:pt idx="1396">
                  <c:v>-1.7079419299742839E-3</c:v>
                </c:pt>
                <c:pt idx="1397">
                  <c:v>-2.0530367835757835E-3</c:v>
                </c:pt>
                <c:pt idx="1398">
                  <c:v>2.8715926624379219E-3</c:v>
                </c:pt>
                <c:pt idx="1399">
                  <c:v>-9.6157955468182399E-3</c:v>
                </c:pt>
                <c:pt idx="1400">
                  <c:v>-3.883662725468344E-4</c:v>
                </c:pt>
                <c:pt idx="1401">
                  <c:v>-1.7396935031297221E-2</c:v>
                </c:pt>
                <c:pt idx="1402">
                  <c:v>5.0962129865565267E-3</c:v>
                </c:pt>
                <c:pt idx="1403">
                  <c:v>4.3710114520500044E-3</c:v>
                </c:pt>
                <c:pt idx="1404">
                  <c:v>-6.5715031769518276E-3</c:v>
                </c:pt>
                <c:pt idx="1405">
                  <c:v>1.8662110658430764E-2</c:v>
                </c:pt>
                <c:pt idx="1406">
                  <c:v>-5.5906764718528985E-4</c:v>
                </c:pt>
                <c:pt idx="1407">
                  <c:v>-4.4750430292598625E-3</c:v>
                </c:pt>
                <c:pt idx="1408">
                  <c:v>-3.2417012448132778E-3</c:v>
                </c:pt>
                <c:pt idx="1409">
                  <c:v>-8.9761935735658532E-3</c:v>
                </c:pt>
                <c:pt idx="1410">
                  <c:v>-4.1830751728362661E-2</c:v>
                </c:pt>
                <c:pt idx="1411">
                  <c:v>3.3382044022285152E-2</c:v>
                </c:pt>
                <c:pt idx="1412">
                  <c:v>-8.3963056255246691E-4</c:v>
                </c:pt>
                <c:pt idx="1413">
                  <c:v>-1.2251216275983998E-2</c:v>
                </c:pt>
                <c:pt idx="1414">
                  <c:v>-1.683607218018188E-2</c:v>
                </c:pt>
                <c:pt idx="1415">
                  <c:v>3.397549756341945E-2</c:v>
                </c:pt>
                <c:pt idx="1416">
                  <c:v>-4.8671981676430477E-2</c:v>
                </c:pt>
                <c:pt idx="1417">
                  <c:v>-2.3011389943513285E-2</c:v>
                </c:pt>
                <c:pt idx="1418">
                  <c:v>-2.8102933510260077E-2</c:v>
                </c:pt>
                <c:pt idx="1419">
                  <c:v>1.3068070996684115E-2</c:v>
                </c:pt>
                <c:pt idx="1420">
                  <c:v>1.18405852907201E-2</c:v>
                </c:pt>
                <c:pt idx="1421">
                  <c:v>2.1739130434782577E-2</c:v>
                </c:pt>
                <c:pt idx="1422">
                  <c:v>-2.2766423017831307E-2</c:v>
                </c:pt>
                <c:pt idx="1423">
                  <c:v>1.0671748451643547E-2</c:v>
                </c:pt>
                <c:pt idx="1424">
                  <c:v>2.9697369661545389E-3</c:v>
                </c:pt>
                <c:pt idx="1425">
                  <c:v>1.1608779433190764E-2</c:v>
                </c:pt>
                <c:pt idx="1426">
                  <c:v>3.0942204051291566E-2</c:v>
                </c:pt>
                <c:pt idx="1427">
                  <c:v>-2.1315908066696792E-2</c:v>
                </c:pt>
                <c:pt idx="1428">
                  <c:v>-9.3475157710549393E-3</c:v>
                </c:pt>
                <c:pt idx="1429">
                  <c:v>1.9336246165287837E-2</c:v>
                </c:pt>
                <c:pt idx="1430">
                  <c:v>4.7104423164614606E-2</c:v>
                </c:pt>
                <c:pt idx="1431">
                  <c:v>-2.403867090536943E-2</c:v>
                </c:pt>
                <c:pt idx="1432">
                  <c:v>3.1234661550131122E-3</c:v>
                </c:pt>
                <c:pt idx="1433">
                  <c:v>-1.4590098305235537E-2</c:v>
                </c:pt>
                <c:pt idx="1434">
                  <c:v>2.3924524895048128E-3</c:v>
                </c:pt>
                <c:pt idx="1435">
                  <c:v>2.5668738178870523E-2</c:v>
                </c:pt>
                <c:pt idx="1436">
                  <c:v>-3.1173164734807674E-3</c:v>
                </c:pt>
                <c:pt idx="1437">
                  <c:v>-2.2021581149531542E-4</c:v>
                </c:pt>
                <c:pt idx="1438">
                  <c:v>8.4140969162995443E-3</c:v>
                </c:pt>
                <c:pt idx="1439">
                  <c:v>2.4026910139356575E-3</c:v>
                </c:pt>
                <c:pt idx="1440">
                  <c:v>-7.7137627473198387E-3</c:v>
                </c:pt>
                <c:pt idx="1441">
                  <c:v>-1.168255083666387E-2</c:v>
                </c:pt>
                <c:pt idx="1442">
                  <c:v>-1.2931609118784148E-2</c:v>
                </c:pt>
                <c:pt idx="1443">
                  <c:v>1.7918242391500045E-2</c:v>
                </c:pt>
                <c:pt idx="1444">
                  <c:v>1.3135780628040685E-2</c:v>
                </c:pt>
                <c:pt idx="1445">
                  <c:v>2.6061902475225909E-2</c:v>
                </c:pt>
                <c:pt idx="1446">
                  <c:v>1.5827093260721577E-2</c:v>
                </c:pt>
                <c:pt idx="1447">
                  <c:v>-1.553861618361526E-2</c:v>
                </c:pt>
                <c:pt idx="1448">
                  <c:v>3.9991491172090944E-3</c:v>
                </c:pt>
                <c:pt idx="1449">
                  <c:v>-4.7035891351329025E-3</c:v>
                </c:pt>
                <c:pt idx="1450">
                  <c:v>-5.3218664850136245E-3</c:v>
                </c:pt>
                <c:pt idx="1451">
                  <c:v>-4.1647048752300603E-2</c:v>
                </c:pt>
                <c:pt idx="1452">
                  <c:v>4.2876284055382219E-3</c:v>
                </c:pt>
                <c:pt idx="1453">
                  <c:v>-1.0139642444187498E-2</c:v>
                </c:pt>
                <c:pt idx="1454">
                  <c:v>6.6043669691796154E-3</c:v>
                </c:pt>
                <c:pt idx="1455">
                  <c:v>-1.3389868332961899E-4</c:v>
                </c:pt>
                <c:pt idx="1456">
                  <c:v>-3.5711097223462699E-3</c:v>
                </c:pt>
                <c:pt idx="1457">
                  <c:v>6.0164859779589672E-2</c:v>
                </c:pt>
                <c:pt idx="1458">
                  <c:v>-2.7297697020917E-2</c:v>
                </c:pt>
                <c:pt idx="1459">
                  <c:v>1.0556496806985564E-2</c:v>
                </c:pt>
                <c:pt idx="1460">
                  <c:v>2.2955893732267231E-2</c:v>
                </c:pt>
                <c:pt idx="1461">
                  <c:v>4.8957808034963884E-2</c:v>
                </c:pt>
                <c:pt idx="1462">
                  <c:v>1.1818436761347657E-2</c:v>
                </c:pt>
                <c:pt idx="1463">
                  <c:v>-1.5243902439024367E-2</c:v>
                </c:pt>
                <c:pt idx="1464">
                  <c:v>-1.8535643922640881E-2</c:v>
                </c:pt>
                <c:pt idx="1465">
                  <c:v>3.1134780827530495E-3</c:v>
                </c:pt>
                <c:pt idx="1466">
                  <c:v>7.3511394266102424E-4</c:v>
                </c:pt>
                <c:pt idx="1467">
                  <c:v>2.2037218413320299E-2</c:v>
                </c:pt>
                <c:pt idx="1468">
                  <c:v>-3.0745887238460717E-3</c:v>
                </c:pt>
                <c:pt idx="1469">
                  <c:v>-2.0426963591940999E-3</c:v>
                </c:pt>
                <c:pt idx="1470">
                  <c:v>1.56927275646171E-2</c:v>
                </c:pt>
                <c:pt idx="1471">
                  <c:v>1.1854427628719327E-2</c:v>
                </c:pt>
                <c:pt idx="1472">
                  <c:v>6.2482914827976729E-2</c:v>
                </c:pt>
                <c:pt idx="1473">
                  <c:v>-6.2116367111405071E-3</c:v>
                </c:pt>
                <c:pt idx="1474">
                  <c:v>1.0836600340261879E-2</c:v>
                </c:pt>
                <c:pt idx="1475">
                  <c:v>-4.7930920932274792E-3</c:v>
                </c:pt>
                <c:pt idx="1476">
                  <c:v>-1.3970588235293951E-3</c:v>
                </c:pt>
                <c:pt idx="1477">
                  <c:v>-7.1791473381930216E-3</c:v>
                </c:pt>
                <c:pt idx="1478">
                  <c:v>1.9616568398412738E-2</c:v>
                </c:pt>
                <c:pt idx="1479">
                  <c:v>-6.109979633401247E-3</c:v>
                </c:pt>
                <c:pt idx="1480">
                  <c:v>1.6320257611241354E-2</c:v>
                </c:pt>
                <c:pt idx="1481">
                  <c:v>1.4762007633036946E-3</c:v>
                </c:pt>
                <c:pt idx="1482">
                  <c:v>-2.4087722451912965E-3</c:v>
                </c:pt>
                <c:pt idx="1483">
                  <c:v>-1.1099899091826584E-2</c:v>
                </c:pt>
                <c:pt idx="1484">
                  <c:v>-7.8717201166179605E-3</c:v>
                </c:pt>
                <c:pt idx="1485">
                  <c:v>6.7220099911841904E-3</c:v>
                </c:pt>
                <c:pt idx="1486">
                  <c:v>7.3338928011091728E-3</c:v>
                </c:pt>
                <c:pt idx="1487">
                  <c:v>-8.2584758041146511E-3</c:v>
                </c:pt>
                <c:pt idx="1488">
                  <c:v>-1.9357195032871787E-3</c:v>
                </c:pt>
                <c:pt idx="1489">
                  <c:v>-4.2009733962747327E-2</c:v>
                </c:pt>
                <c:pt idx="1490">
                  <c:v>1.0504602926009396E-2</c:v>
                </c:pt>
                <c:pt idx="1491">
                  <c:v>-9.2235578740455029E-3</c:v>
                </c:pt>
                <c:pt idx="1492">
                  <c:v>3.6436474628004402E-2</c:v>
                </c:pt>
                <c:pt idx="1493">
                  <c:v>1.288422602613741E-3</c:v>
                </c:pt>
                <c:pt idx="1494">
                  <c:v>1.6911764705882435E-2</c:v>
                </c:pt>
                <c:pt idx="1495">
                  <c:v>9.436008676789431E-3</c:v>
                </c:pt>
                <c:pt idx="1496">
                  <c:v>3.201891049747501E-2</c:v>
                </c:pt>
                <c:pt idx="1497">
                  <c:v>2.9047371160853739E-2</c:v>
                </c:pt>
                <c:pt idx="1498">
                  <c:v>-8.4648590314312395E-3</c:v>
                </c:pt>
                <c:pt idx="1499">
                  <c:v>1.3162817591238409E-2</c:v>
                </c:pt>
                <c:pt idx="1500">
                  <c:v>6.7812541963206052E-3</c:v>
                </c:pt>
                <c:pt idx="1501">
                  <c:v>-4.2614204734911551E-2</c:v>
                </c:pt>
                <c:pt idx="1502">
                  <c:v>6.7219281136807144E-3</c:v>
                </c:pt>
                <c:pt idx="1503">
                  <c:v>-6.780833765784592E-3</c:v>
                </c:pt>
                <c:pt idx="1504">
                  <c:v>-1.3654254763314499E-2</c:v>
                </c:pt>
                <c:pt idx="1505">
                  <c:v>-5.615001589151505E-3</c:v>
                </c:pt>
                <c:pt idx="1506">
                  <c:v>-1.3956957170253595E-2</c:v>
                </c:pt>
                <c:pt idx="1507">
                  <c:v>1.4154511075094569E-2</c:v>
                </c:pt>
                <c:pt idx="1508">
                  <c:v>-6.3214716954328176E-3</c:v>
                </c:pt>
                <c:pt idx="1509">
                  <c:v>-7.5411007862759595E-3</c:v>
                </c:pt>
                <c:pt idx="1510">
                  <c:v>-2.0850588786056466E-2</c:v>
                </c:pt>
                <c:pt idx="1511">
                  <c:v>-4.62302317028319E-2</c:v>
                </c:pt>
                <c:pt idx="1512">
                  <c:v>2.3676396868854522E-2</c:v>
                </c:pt>
                <c:pt idx="1513">
                  <c:v>9.9935962632312386E-2</c:v>
                </c:pt>
                <c:pt idx="1514">
                  <c:v>6.667808219178091E-2</c:v>
                </c:pt>
                <c:pt idx="1515">
                  <c:v>4.1095450605193838E-3</c:v>
                </c:pt>
                <c:pt idx="1516">
                  <c:v>4.4124700239808008E-3</c:v>
                </c:pt>
                <c:pt idx="1517">
                  <c:v>3.5017349504982737E-3</c:v>
                </c:pt>
                <c:pt idx="1518">
                  <c:v>-6.7252482314500662E-3</c:v>
                </c:pt>
                <c:pt idx="1519">
                  <c:v>-7.9844144230462131E-3</c:v>
                </c:pt>
                <c:pt idx="1520">
                  <c:v>-2.0282669585653889E-3</c:v>
                </c:pt>
                <c:pt idx="1521">
                  <c:v>-6.0649074133814936E-3</c:v>
                </c:pt>
                <c:pt idx="1522">
                  <c:v>-3.2456994482310936E-3</c:v>
                </c:pt>
                <c:pt idx="1523">
                  <c:v>-5.8612829697167416E-3</c:v>
                </c:pt>
                <c:pt idx="1524">
                  <c:v>-3.0789387487716925E-3</c:v>
                </c:pt>
                <c:pt idx="1525">
                  <c:v>7.5239847548953988E-3</c:v>
                </c:pt>
                <c:pt idx="1526">
                  <c:v>1.4348605902494628E-3</c:v>
                </c:pt>
                <c:pt idx="1527">
                  <c:v>-2.6050994822363299E-3</c:v>
                </c:pt>
                <c:pt idx="1528">
                  <c:v>2.0274902869829178E-2</c:v>
                </c:pt>
                <c:pt idx="1529">
                  <c:v>-2.4639999999999419E-3</c:v>
                </c:pt>
                <c:pt idx="1530">
                  <c:v>-3.1758252333750651E-3</c:v>
                </c:pt>
                <c:pt idx="1531">
                  <c:v>-8.6245735985068118E-3</c:v>
                </c:pt>
                <c:pt idx="1532">
                  <c:v>1.7301824319937622E-2</c:v>
                </c:pt>
                <c:pt idx="1533">
                  <c:v>-4.8501866683684286E-3</c:v>
                </c:pt>
                <c:pt idx="1534">
                  <c:v>-1.6577420078879072E-2</c:v>
                </c:pt>
                <c:pt idx="1535">
                  <c:v>6.3580045647211895E-3</c:v>
                </c:pt>
                <c:pt idx="1536">
                  <c:v>4.8598736432863801E-4</c:v>
                </c:pt>
                <c:pt idx="1537">
                  <c:v>-1.5220207253886892E-3</c:v>
                </c:pt>
                <c:pt idx="1538">
                  <c:v>-9.0811792559910719E-4</c:v>
                </c:pt>
                <c:pt idx="1539">
                  <c:v>-1.4900178542444511E-2</c:v>
                </c:pt>
                <c:pt idx="1540">
                  <c:v>-3.7566730376325922E-3</c:v>
                </c:pt>
                <c:pt idx="1541">
                  <c:v>2.5800476316485882E-2</c:v>
                </c:pt>
                <c:pt idx="1542">
                  <c:v>1.193086547143056E-3</c:v>
                </c:pt>
                <c:pt idx="1543">
                  <c:v>6.8279171631936758E-3</c:v>
                </c:pt>
                <c:pt idx="1544">
                  <c:v>9.8845206487315658E-3</c:v>
                </c:pt>
                <c:pt idx="1545">
                  <c:v>6.8102629078239914E-3</c:v>
                </c:pt>
                <c:pt idx="1546">
                  <c:v>7.7080383828849724E-3</c:v>
                </c:pt>
                <c:pt idx="1547">
                  <c:v>-1.517327505463632E-2</c:v>
                </c:pt>
                <c:pt idx="1548">
                  <c:v>4.1212274917575807E-3</c:v>
                </c:pt>
                <c:pt idx="1549">
                  <c:v>-2.0521563427417884E-3</c:v>
                </c:pt>
                <c:pt idx="1550">
                  <c:v>0.10000316365592084</c:v>
                </c:pt>
                <c:pt idx="1551">
                  <c:v>2.9306873741731371E-2</c:v>
                </c:pt>
                <c:pt idx="1552">
                  <c:v>-2.235323702813269E-4</c:v>
                </c:pt>
                <c:pt idx="1553">
                  <c:v>-3.2139962549956047E-3</c:v>
                </c:pt>
                <c:pt idx="1554">
                  <c:v>-1.0065608702966499E-2</c:v>
                </c:pt>
                <c:pt idx="1555">
                  <c:v>6.9391338827994127E-3</c:v>
                </c:pt>
                <c:pt idx="1556">
                  <c:v>5.6255625562569051E-4</c:v>
                </c:pt>
                <c:pt idx="1557">
                  <c:v>5.9035196221741688E-4</c:v>
                </c:pt>
                <c:pt idx="1558">
                  <c:v>5.5067007557665255E-3</c:v>
                </c:pt>
                <c:pt idx="1559">
                  <c:v>5.8118416273157704E-3</c:v>
                </c:pt>
                <c:pt idx="1560">
                  <c:v>2.5029863599744396E-2</c:v>
                </c:pt>
                <c:pt idx="1561">
                  <c:v>-3.0895983522143291E-3</c:v>
                </c:pt>
                <c:pt idx="1562">
                  <c:v>-1.5686167899086511E-2</c:v>
                </c:pt>
                <c:pt idx="1563">
                  <c:v>-4.5571298367718324E-3</c:v>
                </c:pt>
                <c:pt idx="1564">
                  <c:v>1.2235724987514478E-2</c:v>
                </c:pt>
                <c:pt idx="1565">
                  <c:v>2.9465778581805227E-2</c:v>
                </c:pt>
                <c:pt idx="1566">
                  <c:v>1.1369082485755468E-2</c:v>
                </c:pt>
                <c:pt idx="1567">
                  <c:v>1.7269974990127689E-2</c:v>
                </c:pt>
                <c:pt idx="1568">
                  <c:v>-1.167154059159972E-2</c:v>
                </c:pt>
                <c:pt idx="1569">
                  <c:v>-2.668237758575543E-2</c:v>
                </c:pt>
                <c:pt idx="1570">
                  <c:v>1.0249926017594368E-2</c:v>
                </c:pt>
                <c:pt idx="1571">
                  <c:v>-1.4886024712398742E-2</c:v>
                </c:pt>
                <c:pt idx="1572">
                  <c:v>-2.2355580785553972E-2</c:v>
                </c:pt>
                <c:pt idx="1573">
                  <c:v>-1.2166122877841003E-3</c:v>
                </c:pt>
                <c:pt idx="1574">
                  <c:v>-1.4340291235258309E-2</c:v>
                </c:pt>
                <c:pt idx="1575">
                  <c:v>7.5272441298730669E-3</c:v>
                </c:pt>
                <c:pt idx="1576">
                  <c:v>-4.7669491525424738E-3</c:v>
                </c:pt>
                <c:pt idx="1577">
                  <c:v>1.0363855354191887E-3</c:v>
                </c:pt>
                <c:pt idx="1578">
                  <c:v>4.7568414572728168E-4</c:v>
                </c:pt>
                <c:pt idx="1579">
                  <c:v>-9.1455740455881375E-3</c:v>
                </c:pt>
                <c:pt idx="1580">
                  <c:v>-2.4556847691090317E-3</c:v>
                </c:pt>
                <c:pt idx="1581">
                  <c:v>-1.4006394838855848E-2</c:v>
                </c:pt>
                <c:pt idx="1582">
                  <c:v>-5.4525627044710364E-3</c:v>
                </c:pt>
                <c:pt idx="1583">
                  <c:v>-1.59568328716529E-2</c:v>
                </c:pt>
                <c:pt idx="1584">
                  <c:v>-9.7938597777320925E-3</c:v>
                </c:pt>
                <c:pt idx="1585">
                  <c:v>-3.8496846219906169E-3</c:v>
                </c:pt>
                <c:pt idx="1586">
                  <c:v>-2.9400398347156534E-2</c:v>
                </c:pt>
                <c:pt idx="1587">
                  <c:v>-3.3690658499238482E-4</c:v>
                </c:pt>
                <c:pt idx="1588">
                  <c:v>7.4450810380220197E-3</c:v>
                </c:pt>
                <c:pt idx="1589">
                  <c:v>-1.7942947509274831E-3</c:v>
                </c:pt>
                <c:pt idx="1590">
                  <c:v>-4.7222983883252944E-3</c:v>
                </c:pt>
                <c:pt idx="1591">
                  <c:v>-1.203012121954208E-2</c:v>
                </c:pt>
                <c:pt idx="1592">
                  <c:v>-1.2052672347017773E-2</c:v>
                </c:pt>
                <c:pt idx="1593">
                  <c:v>-6.3664304083297669E-3</c:v>
                </c:pt>
                <c:pt idx="1594">
                  <c:v>-1.5528832496922511E-2</c:v>
                </c:pt>
                <c:pt idx="1595">
                  <c:v>-2.6738482254496588E-2</c:v>
                </c:pt>
                <c:pt idx="1596">
                  <c:v>0.10000988239944664</c:v>
                </c:pt>
                <c:pt idx="1597">
                  <c:v>4.8243643877459386E-2</c:v>
                </c:pt>
                <c:pt idx="1598">
                  <c:v>-2.1283281910638913E-2</c:v>
                </c:pt>
                <c:pt idx="1599">
                  <c:v>8.0854665927202751E-3</c:v>
                </c:pt>
                <c:pt idx="1600">
                  <c:v>-3.2719481121148814E-3</c:v>
                </c:pt>
                <c:pt idx="1601">
                  <c:v>2.0044737530139664E-3</c:v>
                </c:pt>
                <c:pt idx="1602">
                  <c:v>-1.7192392438826413E-2</c:v>
                </c:pt>
                <c:pt idx="1603">
                  <c:v>-1.2743738753355535E-2</c:v>
                </c:pt>
                <c:pt idx="1604">
                  <c:v>-2.8445931813428266E-2</c:v>
                </c:pt>
                <c:pt idx="1605">
                  <c:v>9.1650007688759607E-3</c:v>
                </c:pt>
                <c:pt idx="1606">
                  <c:v>-1.5847377563769902E-3</c:v>
                </c:pt>
                <c:pt idx="1607">
                  <c:v>9.9813802997465936E-3</c:v>
                </c:pt>
                <c:pt idx="1608">
                  <c:v>-6.6489361702127313E-3</c:v>
                </c:pt>
                <c:pt idx="1609">
                  <c:v>3.4988438602895741E-3</c:v>
                </c:pt>
                <c:pt idx="1610">
                  <c:v>1.64630264075433E-2</c:v>
                </c:pt>
                <c:pt idx="1611">
                  <c:v>-1.8522937421702499E-2</c:v>
                </c:pt>
                <c:pt idx="1612">
                  <c:v>1.1457225345692089E-2</c:v>
                </c:pt>
                <c:pt idx="1613">
                  <c:v>-4.9275884862688135E-3</c:v>
                </c:pt>
                <c:pt idx="1614">
                  <c:v>-1.1443927773416331E-2</c:v>
                </c:pt>
                <c:pt idx="1615">
                  <c:v>-3.3904517547879093E-3</c:v>
                </c:pt>
                <c:pt idx="1616">
                  <c:v>-1.1646438641657333E-2</c:v>
                </c:pt>
                <c:pt idx="1617">
                  <c:v>1.8605805011164187E-4</c:v>
                </c:pt>
                <c:pt idx="1618">
                  <c:v>-6.293793017920349E-3</c:v>
                </c:pt>
                <c:pt idx="1619">
                  <c:v>-2.7487441889488637E-2</c:v>
                </c:pt>
                <c:pt idx="1620">
                  <c:v>4.2380494064806019E-2</c:v>
                </c:pt>
                <c:pt idx="1621">
                  <c:v>-2.7699978455573361E-3</c:v>
                </c:pt>
                <c:pt idx="1622">
                  <c:v>-1.8024135057559874E-2</c:v>
                </c:pt>
                <c:pt idx="1623">
                  <c:v>3.3629820536191127E-3</c:v>
                </c:pt>
                <c:pt idx="1624">
                  <c:v>-5.3564716200978461E-3</c:v>
                </c:pt>
                <c:pt idx="1625">
                  <c:v>4.1255944320221782E-3</c:v>
                </c:pt>
                <c:pt idx="1626">
                  <c:v>2.7286413248024232E-3</c:v>
                </c:pt>
                <c:pt idx="1627">
                  <c:v>-5.3173188201807537E-3</c:v>
                </c:pt>
                <c:pt idx="1628">
                  <c:v>-1.896166787207941E-2</c:v>
                </c:pt>
                <c:pt idx="1629">
                  <c:v>-1.0449387781268001E-2</c:v>
                </c:pt>
                <c:pt idx="1630">
                  <c:v>-1.0203420575278678E-2</c:v>
                </c:pt>
                <c:pt idx="1631">
                  <c:v>-1.2075792780704905E-2</c:v>
                </c:pt>
                <c:pt idx="1632">
                  <c:v>-8.413939313634624E-3</c:v>
                </c:pt>
                <c:pt idx="1633">
                  <c:v>1.2293712834903478E-2</c:v>
                </c:pt>
                <c:pt idx="1634">
                  <c:v>1.702857897168512E-2</c:v>
                </c:pt>
                <c:pt idx="1635">
                  <c:v>-6.3274709585306914E-3</c:v>
                </c:pt>
                <c:pt idx="1636">
                  <c:v>-5.9432452731606735E-3</c:v>
                </c:pt>
                <c:pt idx="1637">
                  <c:v>-1.1497651194113949E-3</c:v>
                </c:pt>
                <c:pt idx="1638">
                  <c:v>4.0123659803985084E-3</c:v>
                </c:pt>
                <c:pt idx="1639">
                  <c:v>6.5513626834381557E-3</c:v>
                </c:pt>
                <c:pt idx="1640">
                  <c:v>-5.8578495183529678E-4</c:v>
                </c:pt>
                <c:pt idx="1641">
                  <c:v>-8.7919244545752052E-3</c:v>
                </c:pt>
                <c:pt idx="1642">
                  <c:v>1.2812089356111802E-3</c:v>
                </c:pt>
                <c:pt idx="1643">
                  <c:v>3.3465664884017904E-3</c:v>
                </c:pt>
                <c:pt idx="1644">
                  <c:v>-1.0137013178117206E-3</c:v>
                </c:pt>
                <c:pt idx="1645">
                  <c:v>-3.0769230769230695E-3</c:v>
                </c:pt>
                <c:pt idx="1646">
                  <c:v>4.5639611242447673E-3</c:v>
                </c:pt>
                <c:pt idx="1647">
                  <c:v>1.3074031704533572E-4</c:v>
                </c:pt>
                <c:pt idx="1648">
                  <c:v>-2.6144645249839566E-4</c:v>
                </c:pt>
                <c:pt idx="1649">
                  <c:v>3.5304501323918276E-3</c:v>
                </c:pt>
                <c:pt idx="1650">
                  <c:v>-1.2182807257565422E-2</c:v>
                </c:pt>
                <c:pt idx="1651">
                  <c:v>-2.9018961253091361E-3</c:v>
                </c:pt>
                <c:pt idx="1652">
                  <c:v>2.0173959056785187E-3</c:v>
                </c:pt>
                <c:pt idx="1653">
                  <c:v>4.224701300415779E-3</c:v>
                </c:pt>
                <c:pt idx="1654">
                  <c:v>-7.2963912443304102E-3</c:v>
                </c:pt>
                <c:pt idx="1655">
                  <c:v>3.972983710766936E-4</c:v>
                </c:pt>
                <c:pt idx="1656">
                  <c:v>-1.6415144294413674E-2</c:v>
                </c:pt>
                <c:pt idx="1657">
                  <c:v>5.5181695827724976E-3</c:v>
                </c:pt>
                <c:pt idx="1658">
                  <c:v>-8.7672333021012842E-3</c:v>
                </c:pt>
                <c:pt idx="1659">
                  <c:v>8.4396732158530813E-4</c:v>
                </c:pt>
                <c:pt idx="1660">
                  <c:v>1.4503997031738453E-3</c:v>
                </c:pt>
                <c:pt idx="1661">
                  <c:v>-9.6328730212191203E-3</c:v>
                </c:pt>
                <c:pt idx="1662">
                  <c:v>-3.0948170316964529E-3</c:v>
                </c:pt>
                <c:pt idx="1663">
                  <c:v>6.8229113362667973E-4</c:v>
                </c:pt>
                <c:pt idx="1664">
                  <c:v>-1.0909214877441557E-3</c:v>
                </c:pt>
                <c:pt idx="1665">
                  <c:v>-1.0443329579195257E-2</c:v>
                </c:pt>
                <c:pt idx="1666">
                  <c:v>-3.4488704949129164E-3</c:v>
                </c:pt>
                <c:pt idx="1667">
                  <c:v>2.6994289669494014E-3</c:v>
                </c:pt>
                <c:pt idx="1668">
                  <c:v>-2.3815276291719797E-3</c:v>
                </c:pt>
                <c:pt idx="1669">
                  <c:v>-5.1895931358993249E-4</c:v>
                </c:pt>
                <c:pt idx="1670">
                  <c:v>-2.8730658728235111E-3</c:v>
                </c:pt>
                <c:pt idx="1671">
                  <c:v>-6.9429979865301894E-4</c:v>
                </c:pt>
                <c:pt idx="1672">
                  <c:v>-5.2108663933868587E-4</c:v>
                </c:pt>
                <c:pt idx="1673">
                  <c:v>1.7378610406315864E-4</c:v>
                </c:pt>
                <c:pt idx="1674">
                  <c:v>-3.4751181540160512E-4</c:v>
                </c:pt>
                <c:pt idx="1675">
                  <c:v>2.3639018285474167E-3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11-43A9-9449-A491C13C3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442800"/>
        <c:axId val="1933432464"/>
      </c:scatterChart>
      <c:valAx>
        <c:axId val="193344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Index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432464"/>
        <c:crosses val="autoZero"/>
        <c:crossBetween val="midCat"/>
      </c:valAx>
      <c:valAx>
        <c:axId val="193343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Company Return</a:t>
                </a:r>
              </a:p>
            </c:rich>
          </c:tx>
          <c:layout>
            <c:manualLayout>
              <c:xMode val="edge"/>
              <c:yMode val="edge"/>
              <c:x val="1.582496097885483E-2"/>
              <c:y val="0.352448160980596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442800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National food limited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335599023550086E-2"/>
          <c:y val="0.10229233008701499"/>
          <c:w val="0.89976863352511638"/>
          <c:h val="0.7971289977614244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sheet3!$E$3</c:f>
              <c:strCache>
                <c:ptCount val="1"/>
                <c:pt idx="0">
                  <c:v>INDEX RETURN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>
                <a:gsLst>
                  <a:gs pos="0">
                    <a:schemeClr val="accent1">
                      <a:tint val="50000"/>
                    </a:schemeClr>
                  </a:gs>
                  <a:gs pos="35000">
                    <a:schemeClr val="accent1">
                      <a:tint val="37000"/>
                    </a:schemeClr>
                  </a:gs>
                  <a:gs pos="100000">
                    <a:schemeClr val="accent1">
                      <a:tint val="15000"/>
                    </a:schemeClr>
                  </a:gs>
                </a:gsLst>
                <a:lin ang="16200000" scaled="1"/>
                <a:tileRect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sheet3!$D$4:$D$1712</c:f>
              <c:numCache>
                <c:formatCode>0.0000%</c:formatCode>
                <c:ptCount val="1709"/>
                <c:pt idx="0">
                  <c:v>7.9627556731454042E-3</c:v>
                </c:pt>
                <c:pt idx="1">
                  <c:v>4.0101146841715236E-3</c:v>
                </c:pt>
                <c:pt idx="2">
                  <c:v>-7.2017243565361527E-3</c:v>
                </c:pt>
                <c:pt idx="3">
                  <c:v>2.3129320862139715E-3</c:v>
                </c:pt>
                <c:pt idx="4">
                  <c:v>9.5453145848300586E-3</c:v>
                </c:pt>
                <c:pt idx="5">
                  <c:v>-1.3581037796283734E-3</c:v>
                </c:pt>
                <c:pt idx="6">
                  <c:v>-3.0655256099118371E-3</c:v>
                </c:pt>
                <c:pt idx="7">
                  <c:v>-7.6632267293423825E-5</c:v>
                </c:pt>
                <c:pt idx="8">
                  <c:v>1.0484056562764339E-3</c:v>
                </c:pt>
                <c:pt idx="9">
                  <c:v>-1.9905576113309416E-3</c:v>
                </c:pt>
                <c:pt idx="10">
                  <c:v>4.5890375839614944E-3</c:v>
                </c:pt>
                <c:pt idx="11">
                  <c:v>-2.2509848058525489E-3</c:v>
                </c:pt>
                <c:pt idx="12">
                  <c:v>-2.6786397612184273E-3</c:v>
                </c:pt>
                <c:pt idx="13">
                  <c:v>-7.6526707820959944E-5</c:v>
                </c:pt>
                <c:pt idx="14">
                  <c:v>-1.4381254085583616E-2</c:v>
                </c:pt>
                <c:pt idx="15">
                  <c:v>-7.1640747859514353E-3</c:v>
                </c:pt>
                <c:pt idx="16">
                  <c:v>2.7758536647938616E-2</c:v>
                </c:pt>
                <c:pt idx="17">
                  <c:v>1.0604096448016676E-2</c:v>
                </c:pt>
                <c:pt idx="18">
                  <c:v>-2.0440373618981615E-3</c:v>
                </c:pt>
                <c:pt idx="19">
                  <c:v>-4.2766971531623555E-3</c:v>
                </c:pt>
                <c:pt idx="20">
                  <c:v>6.5347612996913673E-3</c:v>
                </c:pt>
                <c:pt idx="21">
                  <c:v>6.22745789979006E-4</c:v>
                </c:pt>
                <c:pt idx="22">
                  <c:v>1.5761313618512851E-2</c:v>
                </c:pt>
                <c:pt idx="23">
                  <c:v>4.2083531840559837E-3</c:v>
                </c:pt>
                <c:pt idx="24">
                  <c:v>-2.9819237366407059E-3</c:v>
                </c:pt>
                <c:pt idx="25">
                  <c:v>4.2239763457316233E-4</c:v>
                </c:pt>
                <c:pt idx="26">
                  <c:v>-8.169464009845263E-3</c:v>
                </c:pt>
                <c:pt idx="27">
                  <c:v>-5.2872844715319391E-3</c:v>
                </c:pt>
                <c:pt idx="28">
                  <c:v>-2.6237173658916505E-3</c:v>
                </c:pt>
                <c:pt idx="29">
                  <c:v>-2.5910091980826532E-3</c:v>
                </c:pt>
                <c:pt idx="30">
                  <c:v>-1.34551194141858E-3</c:v>
                </c:pt>
                <c:pt idx="31">
                  <c:v>-1.3780080128614022E-2</c:v>
                </c:pt>
                <c:pt idx="32">
                  <c:v>1.528616213695359E-2</c:v>
                </c:pt>
                <c:pt idx="33">
                  <c:v>6.7031820552948618E-3</c:v>
                </c:pt>
                <c:pt idx="34">
                  <c:v>-7.9180251513740162E-3</c:v>
                </c:pt>
                <c:pt idx="35">
                  <c:v>-3.8663779771110425E-3</c:v>
                </c:pt>
                <c:pt idx="36">
                  <c:v>-6.4398135030009531E-4</c:v>
                </c:pt>
                <c:pt idx="37">
                  <c:v>-5.9660982229734231E-3</c:v>
                </c:pt>
                <c:pt idx="38">
                  <c:v>-9.7206589583545338E-4</c:v>
                </c:pt>
                <c:pt idx="39">
                  <c:v>3.3578340648299898E-2</c:v>
                </c:pt>
                <c:pt idx="40">
                  <c:v>4.8886763377438544E-3</c:v>
                </c:pt>
                <c:pt idx="41">
                  <c:v>2.906356801093642E-2</c:v>
                </c:pt>
                <c:pt idx="42">
                  <c:v>2.7820710973724818E-2</c:v>
                </c:pt>
                <c:pt idx="43">
                  <c:v>-5.9940825276060643E-2</c:v>
                </c:pt>
                <c:pt idx="44">
                  <c:v>-1.6728141721647872E-2</c:v>
                </c:pt>
                <c:pt idx="45">
                  <c:v>0</c:v>
                </c:pt>
                <c:pt idx="46">
                  <c:v>-1.8784248757486948E-2</c:v>
                </c:pt>
                <c:pt idx="47">
                  <c:v>7.110221263925352E-3</c:v>
                </c:pt>
                <c:pt idx="48">
                  <c:v>-2.4147086819297735E-2</c:v>
                </c:pt>
                <c:pt idx="49">
                  <c:v>5.313389237239086E-3</c:v>
                </c:pt>
                <c:pt idx="50">
                  <c:v>1.9171542962734902E-2</c:v>
                </c:pt>
                <c:pt idx="51">
                  <c:v>9.999435379142893E-2</c:v>
                </c:pt>
                <c:pt idx="52">
                  <c:v>5.1645856980705165E-3</c:v>
                </c:pt>
                <c:pt idx="53">
                  <c:v>-7.8828828828829151E-3</c:v>
                </c:pt>
                <c:pt idx="54">
                  <c:v>-2.4433397927373958E-3</c:v>
                </c:pt>
                <c:pt idx="55">
                  <c:v>1.0844570617459172E-2</c:v>
                </c:pt>
                <c:pt idx="56">
                  <c:v>-2.8570640633187209E-2</c:v>
                </c:pt>
                <c:pt idx="57">
                  <c:v>6.3469286384463326E-4</c:v>
                </c:pt>
                <c:pt idx="58">
                  <c:v>-7.4771986524609516E-3</c:v>
                </c:pt>
                <c:pt idx="59">
                  <c:v>4.1529152915291273E-3</c:v>
                </c:pt>
                <c:pt idx="60">
                  <c:v>1.442401584688786E-2</c:v>
                </c:pt>
                <c:pt idx="61">
                  <c:v>-1.2235786920935866E-2</c:v>
                </c:pt>
                <c:pt idx="62">
                  <c:v>-3.9526776646262732E-3</c:v>
                </c:pt>
                <c:pt idx="63">
                  <c:v>-4.5358909200208346E-3</c:v>
                </c:pt>
                <c:pt idx="64">
                  <c:v>-6.9734628534215909E-3</c:v>
                </c:pt>
                <c:pt idx="65">
                  <c:v>1.8967042689670463E-2</c:v>
                </c:pt>
                <c:pt idx="66">
                  <c:v>-1.5863513917988584E-2</c:v>
                </c:pt>
                <c:pt idx="67">
                  <c:v>3.1663709567352752E-3</c:v>
                </c:pt>
                <c:pt idx="68">
                  <c:v>1.1373988902078802E-2</c:v>
                </c:pt>
                <c:pt idx="69">
                  <c:v>-2.5059205815937879E-3</c:v>
                </c:pt>
                <c:pt idx="70">
                  <c:v>-8.2748450173417525E-3</c:v>
                </c:pt>
                <c:pt idx="71">
                  <c:v>-1.5777873346951951E-2</c:v>
                </c:pt>
                <c:pt idx="72">
                  <c:v>-1.7067371202113553E-2</c:v>
                </c:pt>
                <c:pt idx="73">
                  <c:v>8.5533853819712204E-3</c:v>
                </c:pt>
                <c:pt idx="74">
                  <c:v>1.0963848930553291E-2</c:v>
                </c:pt>
                <c:pt idx="75">
                  <c:v>5.6643515882955811E-2</c:v>
                </c:pt>
                <c:pt idx="76">
                  <c:v>3.3020670998853301E-2</c:v>
                </c:pt>
                <c:pt idx="77">
                  <c:v>-9.4081323546546022E-3</c:v>
                </c:pt>
                <c:pt idx="78">
                  <c:v>-1.5033279779664933E-2</c:v>
                </c:pt>
                <c:pt idx="79">
                  <c:v>5.6839493349491541E-3</c:v>
                </c:pt>
                <c:pt idx="80">
                  <c:v>-7.9246586260028798E-2</c:v>
                </c:pt>
                <c:pt idx="81">
                  <c:v>1.6664415935178978E-2</c:v>
                </c:pt>
                <c:pt idx="82">
                  <c:v>-1.0159069643095873E-2</c:v>
                </c:pt>
                <c:pt idx="83">
                  <c:v>-5.6357497939761398E-3</c:v>
                </c:pt>
                <c:pt idx="84">
                  <c:v>1.3470916291726162E-2</c:v>
                </c:pt>
                <c:pt idx="85">
                  <c:v>-2.4238281763453221E-2</c:v>
                </c:pt>
                <c:pt idx="86">
                  <c:v>1.6325670800747942E-3</c:v>
                </c:pt>
                <c:pt idx="87">
                  <c:v>2.405285155723327E-2</c:v>
                </c:pt>
                <c:pt idx="88">
                  <c:v>-1.917482147580005E-2</c:v>
                </c:pt>
                <c:pt idx="89">
                  <c:v>-1.0002094679514016E-2</c:v>
                </c:pt>
                <c:pt idx="90">
                  <c:v>4.7882136279926149E-3</c:v>
                </c:pt>
                <c:pt idx="91">
                  <c:v>-2.4934585193166003E-2</c:v>
                </c:pt>
                <c:pt idx="92">
                  <c:v>-2.6097635861221519E-3</c:v>
                </c:pt>
                <c:pt idx="93">
                  <c:v>-3.885500688569745E-2</c:v>
                </c:pt>
                <c:pt idx="94">
                  <c:v>5.020661157024793E-2</c:v>
                </c:pt>
                <c:pt idx="95">
                  <c:v>1.6032958093888619E-2</c:v>
                </c:pt>
                <c:pt idx="96">
                  <c:v>1.9066210289870562E-2</c:v>
                </c:pt>
                <c:pt idx="97">
                  <c:v>-1.3610466343110427E-2</c:v>
                </c:pt>
                <c:pt idx="98">
                  <c:v>-1.8764396821699406E-2</c:v>
                </c:pt>
                <c:pt idx="99">
                  <c:v>8.4851888249333235E-2</c:v>
                </c:pt>
                <c:pt idx="100">
                  <c:v>2.089663475319602E-2</c:v>
                </c:pt>
                <c:pt idx="101">
                  <c:v>-2.2023281754997622E-3</c:v>
                </c:pt>
                <c:pt idx="102">
                  <c:v>-1.6899111461027981E-2</c:v>
                </c:pt>
                <c:pt idx="103">
                  <c:v>1.7800927250872789E-2</c:v>
                </c:pt>
                <c:pt idx="104">
                  <c:v>3.7631783057079722E-3</c:v>
                </c:pt>
                <c:pt idx="105">
                  <c:v>2.908918910929149E-2</c:v>
                </c:pt>
                <c:pt idx="106">
                  <c:v>2.6429178298337113E-2</c:v>
                </c:pt>
                <c:pt idx="107">
                  <c:v>-1.4473684210526243E-2</c:v>
                </c:pt>
                <c:pt idx="108">
                  <c:v>-1.1411340389049883E-2</c:v>
                </c:pt>
                <c:pt idx="109">
                  <c:v>-1.0819978944905804E-2</c:v>
                </c:pt>
                <c:pt idx="110">
                  <c:v>6.5936653714822558E-3</c:v>
                </c:pt>
                <c:pt idx="111">
                  <c:v>1.7397458201870429E-3</c:v>
                </c:pt>
                <c:pt idx="112">
                  <c:v>1.890750096014613E-3</c:v>
                </c:pt>
                <c:pt idx="113">
                  <c:v>8.8707531269408132E-4</c:v>
                </c:pt>
                <c:pt idx="114">
                  <c:v>-1.2439772229522531E-2</c:v>
                </c:pt>
                <c:pt idx="115">
                  <c:v>-4.5926227363892224E-3</c:v>
                </c:pt>
                <c:pt idx="116">
                  <c:v>-2.7916701986380865E-2</c:v>
                </c:pt>
                <c:pt idx="117">
                  <c:v>-8.960824395844386E-3</c:v>
                </c:pt>
                <c:pt idx="118">
                  <c:v>7.7604695789592502E-3</c:v>
                </c:pt>
                <c:pt idx="119">
                  <c:v>-1.1548117154811677E-2</c:v>
                </c:pt>
                <c:pt idx="120">
                  <c:v>-2.4702105664073083E-2</c:v>
                </c:pt>
                <c:pt idx="121">
                  <c:v>1.5919517992371873E-2</c:v>
                </c:pt>
                <c:pt idx="122">
                  <c:v>-7.2435932612632016E-3</c:v>
                </c:pt>
                <c:pt idx="123">
                  <c:v>3.3167025739879771E-2</c:v>
                </c:pt>
                <c:pt idx="124">
                  <c:v>-1.2098129270751634E-2</c:v>
                </c:pt>
                <c:pt idx="125">
                  <c:v>1.3884550952610769E-2</c:v>
                </c:pt>
                <c:pt idx="126">
                  <c:v>3.4848529368554093E-2</c:v>
                </c:pt>
                <c:pt idx="127">
                  <c:v>4.6782726377952694E-2</c:v>
                </c:pt>
                <c:pt idx="128">
                  <c:v>-9.1127975374112619E-3</c:v>
                </c:pt>
                <c:pt idx="129">
                  <c:v>2.6892399841090225E-3</c:v>
                </c:pt>
                <c:pt idx="130">
                  <c:v>-8.06329382521437E-3</c:v>
                </c:pt>
                <c:pt idx="131">
                  <c:v>-1.7570505375383523E-2</c:v>
                </c:pt>
                <c:pt idx="132">
                  <c:v>8.0718354735927533E-2</c:v>
                </c:pt>
                <c:pt idx="133">
                  <c:v>7.99416078690348E-2</c:v>
                </c:pt>
                <c:pt idx="134">
                  <c:v>5.5080861051010239E-2</c:v>
                </c:pt>
                <c:pt idx="135">
                  <c:v>-1.256517960602559E-2</c:v>
                </c:pt>
                <c:pt idx="136">
                  <c:v>-1.2797597769357204E-2</c:v>
                </c:pt>
                <c:pt idx="137">
                  <c:v>-3.8104056123357188E-3</c:v>
                </c:pt>
                <c:pt idx="138">
                  <c:v>-1.3004815296474601E-2</c:v>
                </c:pt>
                <c:pt idx="139">
                  <c:v>-6.8765707902821386E-3</c:v>
                </c:pt>
                <c:pt idx="140">
                  <c:v>-1.6782784775371474E-2</c:v>
                </c:pt>
                <c:pt idx="141">
                  <c:v>-1.4051682774692171E-3</c:v>
                </c:pt>
                <c:pt idx="142">
                  <c:v>-1.3423499577345824E-2</c:v>
                </c:pt>
                <c:pt idx="143">
                  <c:v>1.0696466406944143E-2</c:v>
                </c:pt>
                <c:pt idx="144">
                  <c:v>3.8985939497230573E-2</c:v>
                </c:pt>
                <c:pt idx="145">
                  <c:v>2.8413126864605795E-4</c:v>
                </c:pt>
                <c:pt idx="146">
                  <c:v>-2.6686946902654766E-2</c:v>
                </c:pt>
                <c:pt idx="147">
                  <c:v>0.10000760514107519</c:v>
                </c:pt>
                <c:pt idx="148">
                  <c:v>9.9322799097065539E-2</c:v>
                </c:pt>
                <c:pt idx="149">
                  <c:v>1.921520173831533E-2</c:v>
                </c:pt>
                <c:pt idx="150">
                  <c:v>3.0770545749818318E-3</c:v>
                </c:pt>
                <c:pt idx="151">
                  <c:v>7.4485490398691909E-3</c:v>
                </c:pt>
                <c:pt idx="152">
                  <c:v>-1.2583963948643856E-2</c:v>
                </c:pt>
                <c:pt idx="153">
                  <c:v>1.5060630906658651E-2</c:v>
                </c:pt>
                <c:pt idx="154">
                  <c:v>-3.4900670526009009E-2</c:v>
                </c:pt>
                <c:pt idx="155">
                  <c:v>-1.7593388159240549E-2</c:v>
                </c:pt>
                <c:pt idx="156">
                  <c:v>-1.2325224278671346E-2</c:v>
                </c:pt>
                <c:pt idx="157">
                  <c:v>-6.3044613098823159E-3</c:v>
                </c:pt>
                <c:pt idx="158">
                  <c:v>-2.0376853782305995E-2</c:v>
                </c:pt>
                <c:pt idx="159">
                  <c:v>7.370715276401877E-3</c:v>
                </c:pt>
                <c:pt idx="160">
                  <c:v>4.4980495183504316E-3</c:v>
                </c:pt>
                <c:pt idx="161">
                  <c:v>2.7190579384225397E-2</c:v>
                </c:pt>
                <c:pt idx="162">
                  <c:v>9.9982009534946431E-2</c:v>
                </c:pt>
                <c:pt idx="163">
                  <c:v>6.0428292078027454E-2</c:v>
                </c:pt>
                <c:pt idx="164">
                  <c:v>-7.1763768372587244E-2</c:v>
                </c:pt>
                <c:pt idx="165">
                  <c:v>-4.6638247583674547E-2</c:v>
                </c:pt>
                <c:pt idx="166">
                  <c:v>-1.5785319652722899E-2</c:v>
                </c:pt>
                <c:pt idx="167">
                  <c:v>1.5810276679841708E-3</c:v>
                </c:pt>
                <c:pt idx="168">
                  <c:v>-1.6651665166516623E-2</c:v>
                </c:pt>
                <c:pt idx="169">
                  <c:v>-3.2623766413832941E-3</c:v>
                </c:pt>
                <c:pt idx="170">
                  <c:v>4.6874999999999951E-2</c:v>
                </c:pt>
                <c:pt idx="171">
                  <c:v>-1.8890052356020905E-2</c:v>
                </c:pt>
                <c:pt idx="172">
                  <c:v>-6.7809301938597036E-3</c:v>
                </c:pt>
                <c:pt idx="173">
                  <c:v>7.4937552039969538E-4</c:v>
                </c:pt>
                <c:pt idx="174">
                  <c:v>9.3657514911441947E-2</c:v>
                </c:pt>
                <c:pt idx="175">
                  <c:v>-1.8808077197998607E-2</c:v>
                </c:pt>
                <c:pt idx="176">
                  <c:v>6.3019423469630104E-2</c:v>
                </c:pt>
                <c:pt idx="177">
                  <c:v>2.1416333523700203E-3</c:v>
                </c:pt>
                <c:pt idx="178">
                  <c:v>-4.4065387348969755E-3</c:v>
                </c:pt>
                <c:pt idx="179">
                  <c:v>1.5151515151515178E-2</c:v>
                </c:pt>
                <c:pt idx="180">
                  <c:v>5.3191489361701849E-3</c:v>
                </c:pt>
                <c:pt idx="181">
                  <c:v>1.1741682974559714E-2</c:v>
                </c:pt>
                <c:pt idx="182">
                  <c:v>-2.0556806746849357E-2</c:v>
                </c:pt>
                <c:pt idx="183">
                  <c:v>1.6215426567978107E-2</c:v>
                </c:pt>
                <c:pt idx="184">
                  <c:v>-2.106969205834678E-2</c:v>
                </c:pt>
                <c:pt idx="185">
                  <c:v>-9.9579970739533969E-3</c:v>
                </c:pt>
                <c:pt idx="186">
                  <c:v>-1.0044851429639347E-2</c:v>
                </c:pt>
                <c:pt idx="187">
                  <c:v>-6.0369647998514504E-3</c:v>
                </c:pt>
                <c:pt idx="188">
                  <c:v>6.5055762081791255E-4</c:v>
                </c:pt>
                <c:pt idx="189">
                  <c:v>-1.9478712549856967E-3</c:v>
                </c:pt>
                <c:pt idx="190">
                  <c:v>2.6971726190476771E-3</c:v>
                </c:pt>
                <c:pt idx="191">
                  <c:v>-5.8252427184466906E-3</c:v>
                </c:pt>
                <c:pt idx="192">
                  <c:v>-3.9143449228643528E-3</c:v>
                </c:pt>
                <c:pt idx="193">
                  <c:v>-1.6091954022988244E-3</c:v>
                </c:pt>
                <c:pt idx="194">
                  <c:v>4.8510048510049036E-3</c:v>
                </c:pt>
                <c:pt idx="195">
                  <c:v>-4.6197911854473465E-5</c:v>
                </c:pt>
                <c:pt idx="196">
                  <c:v>5.2360348096650348E-2</c:v>
                </c:pt>
                <c:pt idx="197">
                  <c:v>1.2503076544425262E-2</c:v>
                </c:pt>
                <c:pt idx="198">
                  <c:v>-8.3471639168212815E-3</c:v>
                </c:pt>
                <c:pt idx="199">
                  <c:v>8.9140605762127664E-3</c:v>
                </c:pt>
                <c:pt idx="200">
                  <c:v>-1.2162490878131841E-2</c:v>
                </c:pt>
                <c:pt idx="201">
                  <c:v>-5.9964214904007964E-3</c:v>
                </c:pt>
                <c:pt idx="202">
                  <c:v>1.6916646176542895E-2</c:v>
                </c:pt>
                <c:pt idx="203">
                  <c:v>-7.9519953166162331E-3</c:v>
                </c:pt>
                <c:pt idx="204">
                  <c:v>-2.0031553282019401E-2</c:v>
                </c:pt>
                <c:pt idx="205">
                  <c:v>-1.6549908317269314E-2</c:v>
                </c:pt>
                <c:pt idx="206">
                  <c:v>5.1037285572514725E-3</c:v>
                </c:pt>
                <c:pt idx="207">
                  <c:v>1.7649321919784629E-2</c:v>
                </c:pt>
                <c:pt idx="208">
                  <c:v>-3.5931197552042285E-2</c:v>
                </c:pt>
                <c:pt idx="209">
                  <c:v>1.3771385598796799E-2</c:v>
                </c:pt>
                <c:pt idx="210">
                  <c:v>5.1497479489967316E-2</c:v>
                </c:pt>
                <c:pt idx="211">
                  <c:v>6.6912733983654091E-2</c:v>
                </c:pt>
                <c:pt idx="212">
                  <c:v>2.9978819312442354E-2</c:v>
                </c:pt>
                <c:pt idx="213">
                  <c:v>1.1758887850980747E-2</c:v>
                </c:pt>
                <c:pt idx="214">
                  <c:v>1.1167907545282917E-2</c:v>
                </c:pt>
                <c:pt idx="215">
                  <c:v>9.3657114014917137E-3</c:v>
                </c:pt>
                <c:pt idx="216">
                  <c:v>8.4193982936689319E-4</c:v>
                </c:pt>
                <c:pt idx="217">
                  <c:v>-6.5242848380082296E-3</c:v>
                </c:pt>
                <c:pt idx="218">
                  <c:v>-7.2519929140831153E-3</c:v>
                </c:pt>
                <c:pt idx="219">
                  <c:v>-9.1058694459683204E-3</c:v>
                </c:pt>
                <c:pt idx="220">
                  <c:v>-1.6720604099244845E-2</c:v>
                </c:pt>
                <c:pt idx="221">
                  <c:v>1.8289668808700019E-2</c:v>
                </c:pt>
                <c:pt idx="222">
                  <c:v>1.0489510489510414E-2</c:v>
                </c:pt>
                <c:pt idx="223">
                  <c:v>8.8879013442948879E-4</c:v>
                </c:pt>
                <c:pt idx="224">
                  <c:v>-1.125940572307345E-2</c:v>
                </c:pt>
                <c:pt idx="225">
                  <c:v>1.0882238631947028E-2</c:v>
                </c:pt>
                <c:pt idx="226">
                  <c:v>-1.0493352378859446E-2</c:v>
                </c:pt>
                <c:pt idx="227">
                  <c:v>1.234705228031145E-2</c:v>
                </c:pt>
                <c:pt idx="228">
                  <c:v>2.0062416406599068E-3</c:v>
                </c:pt>
                <c:pt idx="229">
                  <c:v>-1.0641230633511644E-2</c:v>
                </c:pt>
                <c:pt idx="230">
                  <c:v>-2.090784044016481E-3</c:v>
                </c:pt>
                <c:pt idx="231">
                  <c:v>-1.1798608090474052E-2</c:v>
                </c:pt>
                <c:pt idx="232">
                  <c:v>-1.0810520088205343E-2</c:v>
                </c:pt>
                <c:pt idx="233">
                  <c:v>4.8428755919072001E-4</c:v>
                </c:pt>
                <c:pt idx="234">
                  <c:v>-1.1436778552050671E-2</c:v>
                </c:pt>
                <c:pt idx="235">
                  <c:v>5.9934713972280441E-3</c:v>
                </c:pt>
                <c:pt idx="236">
                  <c:v>-1.174044105981278E-2</c:v>
                </c:pt>
                <c:pt idx="237">
                  <c:v>1.2708498808578718E-3</c:v>
                </c:pt>
                <c:pt idx="238">
                  <c:v>4.5212765957446509E-3</c:v>
                </c:pt>
                <c:pt idx="239">
                  <c:v>-6.3424947145876778E-3</c:v>
                </c:pt>
                <c:pt idx="240">
                  <c:v>-2.7934433141833192E-3</c:v>
                </c:pt>
                <c:pt idx="241">
                  <c:v>-6.4931664659371056E-3</c:v>
                </c:pt>
                <c:pt idx="242">
                  <c:v>5.0523656649650436E-3</c:v>
                </c:pt>
                <c:pt idx="243">
                  <c:v>5.7925223801993269E-4</c:v>
                </c:pt>
                <c:pt idx="244">
                  <c:v>3.646741715554134E-3</c:v>
                </c:pt>
                <c:pt idx="245">
                  <c:v>-4.3675015786149452E-3</c:v>
                </c:pt>
                <c:pt idx="246">
                  <c:v>-1.3240562853730781E-2</c:v>
                </c:pt>
                <c:pt idx="247">
                  <c:v>1.3631578947368439E-2</c:v>
                </c:pt>
                <c:pt idx="248">
                  <c:v>-1.5544041450777202E-2</c:v>
                </c:pt>
                <c:pt idx="249">
                  <c:v>1.5789473684210527E-2</c:v>
                </c:pt>
                <c:pt idx="250">
                  <c:v>-2.0618556701030927E-2</c:v>
                </c:pt>
                <c:pt idx="251">
                  <c:v>3.7433155080213901E-2</c:v>
                </c:pt>
                <c:pt idx="252">
                  <c:v>-1.5789473684210527E-2</c:v>
                </c:pt>
                <c:pt idx="253">
                  <c:v>0</c:v>
                </c:pt>
                <c:pt idx="254">
                  <c:v>-2.6246719160104987E-3</c:v>
                </c:pt>
                <c:pt idx="255">
                  <c:v>1.909805809661367E-2</c:v>
                </c:pt>
                <c:pt idx="256">
                  <c:v>2.7087912087912124E-2</c:v>
                </c:pt>
                <c:pt idx="257">
                  <c:v>0</c:v>
                </c:pt>
                <c:pt idx="258">
                  <c:v>-3.1399680681213439E-2</c:v>
                </c:pt>
                <c:pt idx="259">
                  <c:v>1.021505376344089E-2</c:v>
                </c:pt>
                <c:pt idx="260">
                  <c:v>-4.6153846153846156E-2</c:v>
                </c:pt>
                <c:pt idx="261">
                  <c:v>-1.0503881869386477E-2</c:v>
                </c:pt>
                <c:pt idx="262">
                  <c:v>4.8244680851063794E-2</c:v>
                </c:pt>
                <c:pt idx="263">
                  <c:v>3.2967032967032968E-2</c:v>
                </c:pt>
                <c:pt idx="264">
                  <c:v>-3.7037037037037035E-2</c:v>
                </c:pt>
                <c:pt idx="265">
                  <c:v>1.6129032258064516E-2</c:v>
                </c:pt>
                <c:pt idx="266">
                  <c:v>5.4054054054054057E-3</c:v>
                </c:pt>
                <c:pt idx="267">
                  <c:v>2.8349082823790964E-2</c:v>
                </c:pt>
                <c:pt idx="268">
                  <c:v>-1.4246575342465722E-2</c:v>
                </c:pt>
                <c:pt idx="269">
                  <c:v>1.6656453679460805E-2</c:v>
                </c:pt>
                <c:pt idx="270">
                  <c:v>1.9943181818181766E-2</c:v>
                </c:pt>
                <c:pt idx="271">
                  <c:v>-2.5502975347123187E-3</c:v>
                </c:pt>
                <c:pt idx="272">
                  <c:v>2.5872093023255747E-2</c:v>
                </c:pt>
                <c:pt idx="273">
                  <c:v>4.2424242424242427E-2</c:v>
                </c:pt>
                <c:pt idx="274">
                  <c:v>-5.3519187747375734E-2</c:v>
                </c:pt>
                <c:pt idx="275">
                  <c:v>1.8965517241380028E-3</c:v>
                </c:pt>
                <c:pt idx="276">
                  <c:v>-2.247191011235955E-2</c:v>
                </c:pt>
                <c:pt idx="277">
                  <c:v>8.4985835694051E-3</c:v>
                </c:pt>
                <c:pt idx="278">
                  <c:v>-1.3415315818893268E-2</c:v>
                </c:pt>
                <c:pt idx="279">
                  <c:v>-5.5865921787706327E-4</c:v>
                </c:pt>
                <c:pt idx="280">
                  <c:v>1.7045454545454544E-2</c:v>
                </c:pt>
                <c:pt idx="281">
                  <c:v>1.1552388068279733E-2</c:v>
                </c:pt>
                <c:pt idx="282">
                  <c:v>1.1569767441860519E-2</c:v>
                </c:pt>
                <c:pt idx="283">
                  <c:v>-1.1494252873563218E-2</c:v>
                </c:pt>
                <c:pt idx="284">
                  <c:v>1.8139262726740751E-2</c:v>
                </c:pt>
                <c:pt idx="285">
                  <c:v>1.1841326228537596E-2</c:v>
                </c:pt>
                <c:pt idx="286">
                  <c:v>5.4169891064944136E-3</c:v>
                </c:pt>
                <c:pt idx="287">
                  <c:v>-5.9175099118291023E-3</c:v>
                </c:pt>
                <c:pt idx="288">
                  <c:v>5.892857142857197E-3</c:v>
                </c:pt>
                <c:pt idx="289">
                  <c:v>-5.9171597633136093E-3</c:v>
                </c:pt>
                <c:pt idx="290">
                  <c:v>2.4366589889683661E-2</c:v>
                </c:pt>
                <c:pt idx="291">
                  <c:v>-6.144578313253074E-3</c:v>
                </c:pt>
                <c:pt idx="292">
                  <c:v>1.2195121951219513E-2</c:v>
                </c:pt>
                <c:pt idx="293">
                  <c:v>-2.1187705162638085E-2</c:v>
                </c:pt>
                <c:pt idx="294">
                  <c:v>5.0989802039593446E-3</c:v>
                </c:pt>
                <c:pt idx="295">
                  <c:v>-8.3283759666865301E-3</c:v>
                </c:pt>
                <c:pt idx="296">
                  <c:v>6.5868263473053551E-3</c:v>
                </c:pt>
                <c:pt idx="297">
                  <c:v>5.9883825378710727E-5</c:v>
                </c:pt>
                <c:pt idx="298">
                  <c:v>-2.0586510263929565E-2</c:v>
                </c:pt>
                <c:pt idx="299">
                  <c:v>2.8821834009764668E-3</c:v>
                </c:pt>
                <c:pt idx="300">
                  <c:v>5.9763313609466915E-3</c:v>
                </c:pt>
                <c:pt idx="301">
                  <c:v>-2.3612750885478491E-3</c:v>
                </c:pt>
                <c:pt idx="302">
                  <c:v>1.4979029358897543E-2</c:v>
                </c:pt>
                <c:pt idx="303">
                  <c:v>-5.9880239520954679E-4</c:v>
                </c:pt>
                <c:pt idx="304">
                  <c:v>-2.3277576324716283E-2</c:v>
                </c:pt>
                <c:pt idx="305">
                  <c:v>-1.1695906432754522E-4</c:v>
                </c:pt>
                <c:pt idx="306">
                  <c:v>-2.0057306590257881E-2</c:v>
                </c:pt>
                <c:pt idx="307">
                  <c:v>-4.6448087431693992E-2</c:v>
                </c:pt>
                <c:pt idx="308">
                  <c:v>4.11522633744856E-3</c:v>
                </c:pt>
                <c:pt idx="309">
                  <c:v>-9.5108695652173919E-3</c:v>
                </c:pt>
                <c:pt idx="310">
                  <c:v>2.2506251736593562E-2</c:v>
                </c:pt>
                <c:pt idx="311">
                  <c:v>5.5425219941348906E-2</c:v>
                </c:pt>
                <c:pt idx="312">
                  <c:v>-8.7209302325581394E-3</c:v>
                </c:pt>
                <c:pt idx="313">
                  <c:v>8.7976539589442824E-3</c:v>
                </c:pt>
                <c:pt idx="314">
                  <c:v>-8.7209302325581394E-3</c:v>
                </c:pt>
                <c:pt idx="315">
                  <c:v>-8.6455331412103754E-3</c:v>
                </c:pt>
                <c:pt idx="316">
                  <c:v>-3.503532249727262E-3</c:v>
                </c:pt>
                <c:pt idx="317">
                  <c:v>-3.9473684210526187E-3</c:v>
                </c:pt>
                <c:pt idx="318">
                  <c:v>4.5977011494253523E-3</c:v>
                </c:pt>
                <c:pt idx="319">
                  <c:v>-1.4889882805865343E-2</c:v>
                </c:pt>
                <c:pt idx="320">
                  <c:v>-6.3009845288326555E-3</c:v>
                </c:pt>
                <c:pt idx="321">
                  <c:v>-6.8167849360227907E-3</c:v>
                </c:pt>
                <c:pt idx="322">
                  <c:v>1.1187559433908855E-3</c:v>
                </c:pt>
                <c:pt idx="323">
                  <c:v>7.1549295774648468E-3</c:v>
                </c:pt>
                <c:pt idx="324">
                  <c:v>1.7191977077363897E-2</c:v>
                </c:pt>
                <c:pt idx="325">
                  <c:v>0</c:v>
                </c:pt>
                <c:pt idx="326">
                  <c:v>-5.6980056980056983E-3</c:v>
                </c:pt>
                <c:pt idx="327">
                  <c:v>1.5979910969067524E-3</c:v>
                </c:pt>
                <c:pt idx="328">
                  <c:v>1.8720930232558133E-2</c:v>
                </c:pt>
                <c:pt idx="329">
                  <c:v>-9.5018715807659408E-3</c:v>
                </c:pt>
                <c:pt idx="330">
                  <c:v>-5.6249999999999967E-2</c:v>
                </c:pt>
                <c:pt idx="331">
                  <c:v>-1.5937533426034815E-2</c:v>
                </c:pt>
                <c:pt idx="332">
                  <c:v>1.619565217391299E-2</c:v>
                </c:pt>
                <c:pt idx="333">
                  <c:v>-4.3290043290043906E-3</c:v>
                </c:pt>
                <c:pt idx="334">
                  <c:v>-4.3639890092128774E-3</c:v>
                </c:pt>
                <c:pt idx="335">
                  <c:v>-3.7037037037036913E-3</c:v>
                </c:pt>
                <c:pt idx="336">
                  <c:v>-1.6886543535619993E-2</c:v>
                </c:pt>
                <c:pt idx="337">
                  <c:v>1.3368983957219251E-2</c:v>
                </c:pt>
                <c:pt idx="338">
                  <c:v>-1.5737670403705505E-2</c:v>
                </c:pt>
                <c:pt idx="339">
                  <c:v>1.3280000000000049E-2</c:v>
                </c:pt>
                <c:pt idx="340">
                  <c:v>-7.9365079365079361E-3</c:v>
                </c:pt>
                <c:pt idx="341">
                  <c:v>-1.0471204188481676E-2</c:v>
                </c:pt>
                <c:pt idx="342">
                  <c:v>-1.3429752066115673E-2</c:v>
                </c:pt>
                <c:pt idx="343">
                  <c:v>-2.4685138539042851E-2</c:v>
                </c:pt>
                <c:pt idx="344">
                  <c:v>-1.2437810945273632E-2</c:v>
                </c:pt>
                <c:pt idx="345">
                  <c:v>3.0769230769230771E-2</c:v>
                </c:pt>
                <c:pt idx="346">
                  <c:v>0</c:v>
                </c:pt>
                <c:pt idx="347">
                  <c:v>0</c:v>
                </c:pt>
                <c:pt idx="348">
                  <c:v>5.1546391752577319E-3</c:v>
                </c:pt>
                <c:pt idx="349">
                  <c:v>1.0364043539399037E-2</c:v>
                </c:pt>
                <c:pt idx="350">
                  <c:v>2.9544235924932927E-2</c:v>
                </c:pt>
                <c:pt idx="351">
                  <c:v>-1.3227513227513227E-2</c:v>
                </c:pt>
                <c:pt idx="352">
                  <c:v>5.3191489361702126E-3</c:v>
                </c:pt>
                <c:pt idx="353">
                  <c:v>-1.5242784558168753E-2</c:v>
                </c:pt>
                <c:pt idx="354">
                  <c:v>9.8446490218642033E-2</c:v>
                </c:pt>
                <c:pt idx="355">
                  <c:v>1.0465116279069833E-2</c:v>
                </c:pt>
                <c:pt idx="356">
                  <c:v>-4.4444444444444446E-2</c:v>
                </c:pt>
                <c:pt idx="357">
                  <c:v>-2.014153511159493E-2</c:v>
                </c:pt>
                <c:pt idx="358">
                  <c:v>3.2768978700163536E-3</c:v>
                </c:pt>
                <c:pt idx="359">
                  <c:v>-1.0270270270270301E-2</c:v>
                </c:pt>
                <c:pt idx="360">
                  <c:v>-1.0536449697812478E-2</c:v>
                </c:pt>
                <c:pt idx="361">
                  <c:v>1.0648648648648642E-2</c:v>
                </c:pt>
                <c:pt idx="362">
                  <c:v>-5.3763440860215058E-3</c:v>
                </c:pt>
                <c:pt idx="363">
                  <c:v>-2.6178010471204188E-2</c:v>
                </c:pt>
                <c:pt idx="364">
                  <c:v>-2.3017902813299233E-2</c:v>
                </c:pt>
                <c:pt idx="365">
                  <c:v>1.3005855225659313E-2</c:v>
                </c:pt>
                <c:pt idx="366">
                  <c:v>2.4933769674303579E-3</c:v>
                </c:pt>
                <c:pt idx="367">
                  <c:v>-2.5388601036269902E-3</c:v>
                </c:pt>
                <c:pt idx="368">
                  <c:v>-3.4227381905524434E-2</c:v>
                </c:pt>
                <c:pt idx="369">
                  <c:v>2.9611041405269932E-3</c:v>
                </c:pt>
                <c:pt idx="370">
                  <c:v>2.2056937676327323E-2</c:v>
                </c:pt>
                <c:pt idx="371">
                  <c:v>3.4217506631299674E-2</c:v>
                </c:pt>
                <c:pt idx="372">
                  <c:v>-4.4890414576181379E-3</c:v>
                </c:pt>
                <c:pt idx="373">
                  <c:v>6.3764044943820194E-2</c:v>
                </c:pt>
                <c:pt idx="374">
                  <c:v>1.1938601478112531E-2</c:v>
                </c:pt>
                <c:pt idx="375">
                  <c:v>1.6763005780346854E-2</c:v>
                </c:pt>
                <c:pt idx="376">
                  <c:v>-2.2598870056497175E-2</c:v>
                </c:pt>
                <c:pt idx="377">
                  <c:v>3.0267753201396904E-2</c:v>
                </c:pt>
                <c:pt idx="378">
                  <c:v>-4.0579710144926879E-3</c:v>
                </c:pt>
                <c:pt idx="379">
                  <c:v>-5.4770827327759513E-3</c:v>
                </c:pt>
                <c:pt idx="380">
                  <c:v>2.6011560693640959E-3</c:v>
                </c:pt>
                <c:pt idx="381">
                  <c:v>0</c:v>
                </c:pt>
                <c:pt idx="382">
                  <c:v>-1.204956884244197E-2</c:v>
                </c:pt>
                <c:pt idx="383">
                  <c:v>6.2857142857150649E-4</c:v>
                </c:pt>
                <c:pt idx="384">
                  <c:v>2.8653295128939827E-3</c:v>
                </c:pt>
                <c:pt idx="385">
                  <c:v>2.6470588235294117E-2</c:v>
                </c:pt>
                <c:pt idx="386">
                  <c:v>-5.2662375658280025E-3</c:v>
                </c:pt>
                <c:pt idx="387">
                  <c:v>2.1396127181448798E-2</c:v>
                </c:pt>
                <c:pt idx="388">
                  <c:v>2.3363914373088643E-2</c:v>
                </c:pt>
                <c:pt idx="389">
                  <c:v>-1.8018018018018018E-2</c:v>
                </c:pt>
                <c:pt idx="390">
                  <c:v>-2.9940119760479044E-3</c:v>
                </c:pt>
                <c:pt idx="391">
                  <c:v>-2.9850746268656717E-3</c:v>
                </c:pt>
                <c:pt idx="392">
                  <c:v>-8.8757396449704144E-3</c:v>
                </c:pt>
                <c:pt idx="393">
                  <c:v>-5.297233666862894E-3</c:v>
                </c:pt>
                <c:pt idx="394">
                  <c:v>-5.2944290840639685E-4</c:v>
                </c:pt>
                <c:pt idx="395">
                  <c:v>1.48656716417911E-2</c:v>
                </c:pt>
                <c:pt idx="396">
                  <c:v>-1.0047281323877002E-2</c:v>
                </c:pt>
                <c:pt idx="397">
                  <c:v>-1.1220196353436278E-2</c:v>
                </c:pt>
                <c:pt idx="398">
                  <c:v>-5.1162790697674154E-3</c:v>
                </c:pt>
                <c:pt idx="399">
                  <c:v>-5.7803468208092483E-3</c:v>
                </c:pt>
                <c:pt idx="400">
                  <c:v>0</c:v>
                </c:pt>
                <c:pt idx="401">
                  <c:v>1.1577593263945677E-2</c:v>
                </c:pt>
                <c:pt idx="402">
                  <c:v>-2.8295454545454488E-2</c:v>
                </c:pt>
                <c:pt idx="403">
                  <c:v>6.2893081761005963E-3</c:v>
                </c:pt>
                <c:pt idx="404">
                  <c:v>-1.1976047904191642E-2</c:v>
                </c:pt>
                <c:pt idx="405">
                  <c:v>2.0288184438040403E-2</c:v>
                </c:pt>
                <c:pt idx="406">
                  <c:v>-9.7031963470318987E-3</c:v>
                </c:pt>
                <c:pt idx="407">
                  <c:v>2.7565982404692015E-2</c:v>
                </c:pt>
                <c:pt idx="408">
                  <c:v>-2.6323486399531366E-3</c:v>
                </c:pt>
                <c:pt idx="409">
                  <c:v>1.1538461538461471E-2</c:v>
                </c:pt>
                <c:pt idx="410">
                  <c:v>-3.4837235865219841E-2</c:v>
                </c:pt>
                <c:pt idx="411">
                  <c:v>-1.0734463276836191E-2</c:v>
                </c:pt>
                <c:pt idx="412">
                  <c:v>4.1176470588235294E-2</c:v>
                </c:pt>
                <c:pt idx="413">
                  <c:v>2.9055690072639296E-2</c:v>
                </c:pt>
                <c:pt idx="414">
                  <c:v>-2.0746887966804982E-2</c:v>
                </c:pt>
                <c:pt idx="415">
                  <c:v>-7.3076923076923136E-2</c:v>
                </c:pt>
                <c:pt idx="416">
                  <c:v>5.135463000404359E-2</c:v>
                </c:pt>
                <c:pt idx="417">
                  <c:v>7.5217391304347916E-2</c:v>
                </c:pt>
                <c:pt idx="418">
                  <c:v>-9.2307692307692316E-3</c:v>
                </c:pt>
                <c:pt idx="419">
                  <c:v>-6.1162079510703364E-3</c:v>
                </c:pt>
                <c:pt idx="420">
                  <c:v>-3.0487804878048782E-3</c:v>
                </c:pt>
                <c:pt idx="421">
                  <c:v>1.5267175572519084E-3</c:v>
                </c:pt>
                <c:pt idx="422">
                  <c:v>2.34375E-2</c:v>
                </c:pt>
                <c:pt idx="423">
                  <c:v>-3.1773721263472117E-3</c:v>
                </c:pt>
                <c:pt idx="424">
                  <c:v>-3.0434782608696215E-3</c:v>
                </c:pt>
                <c:pt idx="425">
                  <c:v>-1.2269938650306749E-2</c:v>
                </c:pt>
                <c:pt idx="426">
                  <c:v>-3.0581039755351682E-3</c:v>
                </c:pt>
                <c:pt idx="427">
                  <c:v>-5.4744525547445596E-3</c:v>
                </c:pt>
                <c:pt idx="428">
                  <c:v>2.5001524483199986E-3</c:v>
                </c:pt>
                <c:pt idx="429">
                  <c:v>1.5268107976059606E-3</c:v>
                </c:pt>
                <c:pt idx="430">
                  <c:v>1.7018633540372727E-2</c:v>
                </c:pt>
                <c:pt idx="431">
                  <c:v>-6.1728395061728392E-3</c:v>
                </c:pt>
                <c:pt idx="432">
                  <c:v>1.1867582760774553E-2</c:v>
                </c:pt>
                <c:pt idx="433">
                  <c:v>-1.4769230769230804E-2</c:v>
                </c:pt>
                <c:pt idx="434">
                  <c:v>0</c:v>
                </c:pt>
                <c:pt idx="435">
                  <c:v>-9.0859198731630519E-3</c:v>
                </c:pt>
                <c:pt idx="436">
                  <c:v>3.2682619647355145E-2</c:v>
                </c:pt>
                <c:pt idx="437">
                  <c:v>1.1464968152866314E-2</c:v>
                </c:pt>
                <c:pt idx="438">
                  <c:v>0</c:v>
                </c:pt>
                <c:pt idx="439">
                  <c:v>0</c:v>
                </c:pt>
                <c:pt idx="440">
                  <c:v>6.41025641025641E-3</c:v>
                </c:pt>
                <c:pt idx="441">
                  <c:v>6.4516129032258064E-3</c:v>
                </c:pt>
                <c:pt idx="442">
                  <c:v>6.4935064935064939E-3</c:v>
                </c:pt>
                <c:pt idx="443">
                  <c:v>0</c:v>
                </c:pt>
                <c:pt idx="444">
                  <c:v>6.5359477124183009E-3</c:v>
                </c:pt>
                <c:pt idx="445">
                  <c:v>0</c:v>
                </c:pt>
                <c:pt idx="446">
                  <c:v>-2.0674646354733341E-2</c:v>
                </c:pt>
                <c:pt idx="447">
                  <c:v>9.5638126009692393E-3</c:v>
                </c:pt>
                <c:pt idx="448">
                  <c:v>4.87012987012987E-3</c:v>
                </c:pt>
                <c:pt idx="449">
                  <c:v>-2.5316455696202531E-2</c:v>
                </c:pt>
                <c:pt idx="450">
                  <c:v>-1.1264080100125227E-2</c:v>
                </c:pt>
                <c:pt idx="451">
                  <c:v>2.1086261980830745E-2</c:v>
                </c:pt>
                <c:pt idx="452">
                  <c:v>3.8486209108402458E-3</c:v>
                </c:pt>
                <c:pt idx="453">
                  <c:v>-5.4226475279106493E-3</c:v>
                </c:pt>
                <c:pt idx="454">
                  <c:v>2.8790786948175856E-3</c:v>
                </c:pt>
                <c:pt idx="455">
                  <c:v>-9.8194488438389793E-3</c:v>
                </c:pt>
                <c:pt idx="456">
                  <c:v>-7.2951386705238453E-3</c:v>
                </c:pt>
                <c:pt idx="457">
                  <c:v>-6.8082448469706652E-3</c:v>
                </c:pt>
                <c:pt idx="458">
                  <c:v>7.0449113095987208E-3</c:v>
                </c:pt>
                <c:pt idx="459">
                  <c:v>-1.2578616352207692E-4</c:v>
                </c:pt>
                <c:pt idx="460">
                  <c:v>1.8871485185884844E-4</c:v>
                </c:pt>
                <c:pt idx="461">
                  <c:v>2.3329129886507224E-3</c:v>
                </c:pt>
                <c:pt idx="462">
                  <c:v>9.9980895370310966E-3</c:v>
                </c:pt>
                <c:pt idx="463">
                  <c:v>-6.1392405063291069E-3</c:v>
                </c:pt>
                <c:pt idx="464">
                  <c:v>1.12E-2</c:v>
                </c:pt>
                <c:pt idx="465">
                  <c:v>5.1480484522207305E-2</c:v>
                </c:pt>
                <c:pt idx="466">
                  <c:v>1.787793684498928E-2</c:v>
                </c:pt>
                <c:pt idx="467">
                  <c:v>-4.4255319148936108E-2</c:v>
                </c:pt>
                <c:pt idx="468">
                  <c:v>-4.8286604361370715E-2</c:v>
                </c:pt>
                <c:pt idx="469">
                  <c:v>3.1250000000000002E-3</c:v>
                </c:pt>
                <c:pt idx="470">
                  <c:v>-6.2111801242236021E-3</c:v>
                </c:pt>
                <c:pt idx="471">
                  <c:v>-1.1966861000306774E-2</c:v>
                </c:pt>
                <c:pt idx="472">
                  <c:v>3.1329113924050564E-2</c:v>
                </c:pt>
                <c:pt idx="473">
                  <c:v>-2.1065675340768312E-2</c:v>
                </c:pt>
                <c:pt idx="474">
                  <c:v>-2.1638330757341225E-3</c:v>
                </c:pt>
                <c:pt idx="475">
                  <c:v>-1.4815729366010808E-3</c:v>
                </c:pt>
                <c:pt idx="476">
                  <c:v>-6.1728395061672248E-5</c:v>
                </c:pt>
                <c:pt idx="477">
                  <c:v>-6.1349693251533744E-3</c:v>
                </c:pt>
                <c:pt idx="478">
                  <c:v>9.2879256965944269E-3</c:v>
                </c:pt>
                <c:pt idx="479">
                  <c:v>9.3749999999999997E-3</c:v>
                </c:pt>
                <c:pt idx="480">
                  <c:v>0</c:v>
                </c:pt>
                <c:pt idx="481">
                  <c:v>-2.7237354085603051E-2</c:v>
                </c:pt>
                <c:pt idx="482">
                  <c:v>6.116129032258058E-2</c:v>
                </c:pt>
                <c:pt idx="483">
                  <c:v>-1.2738853503184714E-2</c:v>
                </c:pt>
                <c:pt idx="484">
                  <c:v>-9.4637223974763408E-3</c:v>
                </c:pt>
                <c:pt idx="485">
                  <c:v>-9.3749999999999997E-3</c:v>
                </c:pt>
                <c:pt idx="486">
                  <c:v>6.2893081761006293E-3</c:v>
                </c:pt>
                <c:pt idx="487">
                  <c:v>6.6476733143400538E-3</c:v>
                </c:pt>
                <c:pt idx="488">
                  <c:v>-1.281250000000007E-2</c:v>
                </c:pt>
                <c:pt idx="489">
                  <c:v>2.9601029601029564E-2</c:v>
                </c:pt>
                <c:pt idx="490">
                  <c:v>3.2558139534883762E-2</c:v>
                </c:pt>
                <c:pt idx="491">
                  <c:v>1.0067114093959731E-2</c:v>
                </c:pt>
                <c:pt idx="492">
                  <c:v>-1.3245033112582781E-2</c:v>
                </c:pt>
                <c:pt idx="493">
                  <c:v>1.0168584426010237E-2</c:v>
                </c:pt>
                <c:pt idx="494">
                  <c:v>1.6870748299319657E-2</c:v>
                </c:pt>
                <c:pt idx="495">
                  <c:v>1.3793103448275862E-2</c:v>
                </c:pt>
                <c:pt idx="496">
                  <c:v>0</c:v>
                </c:pt>
                <c:pt idx="497">
                  <c:v>5.8394160583941604E-2</c:v>
                </c:pt>
                <c:pt idx="498">
                  <c:v>9.3812375249500993E-2</c:v>
                </c:pt>
                <c:pt idx="499">
                  <c:v>-7.904411764705882E-2</c:v>
                </c:pt>
                <c:pt idx="500">
                  <c:v>1.228135467063644E-2</c:v>
                </c:pt>
                <c:pt idx="501">
                  <c:v>-1.1405445180279701E-2</c:v>
                </c:pt>
                <c:pt idx="502">
                  <c:v>-1.5217391304347785E-2</c:v>
                </c:pt>
                <c:pt idx="503">
                  <c:v>-3.4289713086074217E-2</c:v>
                </c:pt>
                <c:pt idx="504">
                  <c:v>-4.7206294172556236E-2</c:v>
                </c:pt>
                <c:pt idx="505">
                  <c:v>5.619718309859148E-2</c:v>
                </c:pt>
                <c:pt idx="506">
                  <c:v>-3.7288135593220341E-2</c:v>
                </c:pt>
                <c:pt idx="507">
                  <c:v>-3.6954818490467466E-2</c:v>
                </c:pt>
                <c:pt idx="508">
                  <c:v>2.0386409060626266E-2</c:v>
                </c:pt>
                <c:pt idx="509">
                  <c:v>1.418918918918915E-2</c:v>
                </c:pt>
                <c:pt idx="510">
                  <c:v>1.1619958988379963E-2</c:v>
                </c:pt>
                <c:pt idx="511">
                  <c:v>-3.09974831103456E-2</c:v>
                </c:pt>
                <c:pt idx="512">
                  <c:v>-9.6425057395867434E-3</c:v>
                </c:pt>
                <c:pt idx="513">
                  <c:v>8.1973030518097817E-2</c:v>
                </c:pt>
                <c:pt idx="514">
                  <c:v>3.5192124017338858E-2</c:v>
                </c:pt>
                <c:pt idx="515">
                  <c:v>3.9007633587786361E-2</c:v>
                </c:pt>
                <c:pt idx="516">
                  <c:v>-2.9629629629629631E-2</c:v>
                </c:pt>
                <c:pt idx="517">
                  <c:v>-2.5270758122743681E-2</c:v>
                </c:pt>
                <c:pt idx="518">
                  <c:v>-2.9432375613174414E-2</c:v>
                </c:pt>
                <c:pt idx="519">
                  <c:v>7.2932330827067585E-2</c:v>
                </c:pt>
                <c:pt idx="520">
                  <c:v>-9.3109869646182501E-3</c:v>
                </c:pt>
                <c:pt idx="521">
                  <c:v>2.881446854165063E-2</c:v>
                </c:pt>
                <c:pt idx="522">
                  <c:v>2.8046955014574979E-2</c:v>
                </c:pt>
                <c:pt idx="523">
                  <c:v>8.1810961080222479E-3</c:v>
                </c:pt>
                <c:pt idx="524">
                  <c:v>2.357723577235777E-2</c:v>
                </c:pt>
                <c:pt idx="525">
                  <c:v>-4.1292203060481342E-3</c:v>
                </c:pt>
                <c:pt idx="526">
                  <c:v>8.2448979591837144E-3</c:v>
                </c:pt>
                <c:pt idx="527">
                  <c:v>3.1938416182130912E-3</c:v>
                </c:pt>
                <c:pt idx="528">
                  <c:v>9.1735537190082601E-3</c:v>
                </c:pt>
                <c:pt idx="529">
                  <c:v>-2.8034380271507713E-2</c:v>
                </c:pt>
                <c:pt idx="530">
                  <c:v>6.4017094017093976E-2</c:v>
                </c:pt>
                <c:pt idx="531">
                  <c:v>6.4516129032258064E-3</c:v>
                </c:pt>
                <c:pt idx="532">
                  <c:v>1.0869565217391304E-2</c:v>
                </c:pt>
                <c:pt idx="533">
                  <c:v>2.2222222222222223E-2</c:v>
                </c:pt>
                <c:pt idx="534">
                  <c:v>3.6866359447004608E-2</c:v>
                </c:pt>
                <c:pt idx="535">
                  <c:v>2.3005845747689966E-2</c:v>
                </c:pt>
                <c:pt idx="536">
                  <c:v>-4.1314553990610117E-3</c:v>
                </c:pt>
                <c:pt idx="537">
                  <c:v>4.6222054523157707E-3</c:v>
                </c:pt>
                <c:pt idx="538">
                  <c:v>-2.7281279397929638E-3</c:v>
                </c:pt>
                <c:pt idx="539">
                  <c:v>-2.913508082929946E-2</c:v>
                </c:pt>
                <c:pt idx="540">
                  <c:v>1.8511627906976698E-2</c:v>
                </c:pt>
                <c:pt idx="541">
                  <c:v>-1.3761467889908258E-2</c:v>
                </c:pt>
                <c:pt idx="542">
                  <c:v>-1.8018018018018018E-2</c:v>
                </c:pt>
                <c:pt idx="543">
                  <c:v>-2.2471910112359553E-3</c:v>
                </c:pt>
                <c:pt idx="544">
                  <c:v>-2.4122807017543858E-2</c:v>
                </c:pt>
                <c:pt idx="545">
                  <c:v>2.2421524663677129E-2</c:v>
                </c:pt>
                <c:pt idx="546">
                  <c:v>-2.3642732049036802E-2</c:v>
                </c:pt>
                <c:pt idx="547">
                  <c:v>3.2549728752260476E-2</c:v>
                </c:pt>
                <c:pt idx="548">
                  <c:v>1.9354838709677368E-2</c:v>
                </c:pt>
                <c:pt idx="549">
                  <c:v>1.4018691588785047E-2</c:v>
                </c:pt>
                <c:pt idx="550">
                  <c:v>3.7523452157599032E-3</c:v>
                </c:pt>
                <c:pt idx="551">
                  <c:v>-2.2018348623853264E-2</c:v>
                </c:pt>
                <c:pt idx="552">
                  <c:v>6.3706028990859354E-3</c:v>
                </c:pt>
                <c:pt idx="553">
                  <c:v>2.8703703703703916E-3</c:v>
                </c:pt>
                <c:pt idx="554">
                  <c:v>-4.608294930875576E-3</c:v>
                </c:pt>
                <c:pt idx="555">
                  <c:v>-2.2522522522522521E-2</c:v>
                </c:pt>
                <c:pt idx="556">
                  <c:v>6.8027210884353739E-3</c:v>
                </c:pt>
                <c:pt idx="557">
                  <c:v>3.1847133757961265E-3</c:v>
                </c:pt>
                <c:pt idx="558">
                  <c:v>1.2903225806451665E-2</c:v>
                </c:pt>
                <c:pt idx="559">
                  <c:v>2.8533510285335153E-2</c:v>
                </c:pt>
                <c:pt idx="560">
                  <c:v>-1.4112149532710328E-2</c:v>
                </c:pt>
                <c:pt idx="561">
                  <c:v>-9.2592592592592587E-3</c:v>
                </c:pt>
                <c:pt idx="562">
                  <c:v>5.7268722466960291E-2</c:v>
                </c:pt>
                <c:pt idx="563">
                  <c:v>1.4705882352941734E-3</c:v>
                </c:pt>
                <c:pt idx="564">
                  <c:v>4.8271106294945805E-3</c:v>
                </c:pt>
                <c:pt idx="565">
                  <c:v>9.8522167487735137E-5</c:v>
                </c:pt>
                <c:pt idx="566">
                  <c:v>-4.804392587508529E-3</c:v>
                </c:pt>
                <c:pt idx="567">
                  <c:v>4.8275862068965017E-3</c:v>
                </c:pt>
                <c:pt idx="568">
                  <c:v>0</c:v>
                </c:pt>
                <c:pt idx="569">
                  <c:v>0</c:v>
                </c:pt>
                <c:pt idx="570">
                  <c:v>2.3185483870967711E-2</c:v>
                </c:pt>
                <c:pt idx="571">
                  <c:v>-1.7821782178217793E-2</c:v>
                </c:pt>
                <c:pt idx="572">
                  <c:v>-3.3492822966507178E-2</c:v>
                </c:pt>
                <c:pt idx="573">
                  <c:v>-3.2407407407407406E-2</c:v>
                </c:pt>
                <c:pt idx="574">
                  <c:v>5.6802309339789503E-3</c:v>
                </c:pt>
                <c:pt idx="575">
                  <c:v>1.7914691943127968E-2</c:v>
                </c:pt>
                <c:pt idx="576">
                  <c:v>-4.7169811320754715E-3</c:v>
                </c:pt>
                <c:pt idx="577">
                  <c:v>-7.3976964135219238E-3</c:v>
                </c:pt>
                <c:pt idx="578">
                  <c:v>1.7047619047619107E-2</c:v>
                </c:pt>
                <c:pt idx="579">
                  <c:v>-1.0460842521911219E-2</c:v>
                </c:pt>
                <c:pt idx="580">
                  <c:v>-1.3176470588235347E-3</c:v>
                </c:pt>
                <c:pt idx="581">
                  <c:v>-5.0067054090299462E-2</c:v>
                </c:pt>
                <c:pt idx="582">
                  <c:v>-5.7777777777778287E-3</c:v>
                </c:pt>
                <c:pt idx="583">
                  <c:v>-2.2172949002217295E-3</c:v>
                </c:pt>
                <c:pt idx="584">
                  <c:v>0</c:v>
                </c:pt>
                <c:pt idx="585">
                  <c:v>-8.7912087912087912E-3</c:v>
                </c:pt>
                <c:pt idx="586">
                  <c:v>6.6371681415929203E-3</c:v>
                </c:pt>
                <c:pt idx="587">
                  <c:v>-8.771929824561403E-3</c:v>
                </c:pt>
                <c:pt idx="588">
                  <c:v>8.7602867002919641E-3</c:v>
                </c:pt>
                <c:pt idx="589">
                  <c:v>-5.6313242410910734E-3</c:v>
                </c:pt>
                <c:pt idx="590">
                  <c:v>-1.1825058690548642E-2</c:v>
                </c:pt>
                <c:pt idx="591">
                  <c:v>-1.2789699570815407E-2</c:v>
                </c:pt>
                <c:pt idx="592">
                  <c:v>2.2019475392578342E-2</c:v>
                </c:pt>
                <c:pt idx="593">
                  <c:v>-4.4541484716157653E-3</c:v>
                </c:pt>
                <c:pt idx="594">
                  <c:v>1.7777777777777778E-2</c:v>
                </c:pt>
                <c:pt idx="595">
                  <c:v>-1.7896115233522455E-2</c:v>
                </c:pt>
                <c:pt idx="596">
                  <c:v>2.0944741532976777E-2</c:v>
                </c:pt>
                <c:pt idx="597">
                  <c:v>-8.9047195013352025E-4</c:v>
                </c:pt>
                <c:pt idx="598">
                  <c:v>-1.4912280701754412E-2</c:v>
                </c:pt>
                <c:pt idx="599">
                  <c:v>2.2880215343203204E-2</c:v>
                </c:pt>
                <c:pt idx="600">
                  <c:v>-6.2416406598306091E-3</c:v>
                </c:pt>
                <c:pt idx="601">
                  <c:v>-8.908685968819093E-4</c:v>
                </c:pt>
                <c:pt idx="602">
                  <c:v>-1.6897901102810185E-3</c:v>
                </c:pt>
                <c:pt idx="603">
                  <c:v>1.6926503340757035E-3</c:v>
                </c:pt>
                <c:pt idx="604">
                  <c:v>-9.2674315975286598E-3</c:v>
                </c:pt>
                <c:pt idx="605">
                  <c:v>-1.8197573656845826E-2</c:v>
                </c:pt>
                <c:pt idx="606">
                  <c:v>2.3049645390070997E-2</c:v>
                </c:pt>
                <c:pt idx="607">
                  <c:v>4.0053404539386103E-3</c:v>
                </c:pt>
                <c:pt idx="608">
                  <c:v>-2.3043478260869613E-2</c:v>
                </c:pt>
                <c:pt idx="609">
                  <c:v>-6.0501296456352879E-3</c:v>
                </c:pt>
                <c:pt idx="610">
                  <c:v>-2.5862068965516998E-3</c:v>
                </c:pt>
                <c:pt idx="611">
                  <c:v>2.4282560706401765E-2</c:v>
                </c:pt>
                <c:pt idx="612">
                  <c:v>-2.3706896551724137E-2</c:v>
                </c:pt>
                <c:pt idx="613">
                  <c:v>1.7543859649122806E-2</c:v>
                </c:pt>
                <c:pt idx="614">
                  <c:v>3.6363636363636362E-2</c:v>
                </c:pt>
                <c:pt idx="615">
                  <c:v>1.1959521619135207E-2</c:v>
                </c:pt>
                <c:pt idx="616">
                  <c:v>-1.1818181818181792E-2</c:v>
                </c:pt>
                <c:pt idx="617">
                  <c:v>9.1743119266055051E-3</c:v>
                </c:pt>
                <c:pt idx="618">
                  <c:v>2.8301886792452831E-2</c:v>
                </c:pt>
                <c:pt idx="619">
                  <c:v>2.0797882397428518E-3</c:v>
                </c:pt>
                <c:pt idx="620">
                  <c:v>6.8484848484848496E-2</c:v>
                </c:pt>
                <c:pt idx="621">
                  <c:v>0</c:v>
                </c:pt>
                <c:pt idx="622">
                  <c:v>1.5176374077112429E-2</c:v>
                </c:pt>
                <c:pt idx="623">
                  <c:v>-1.8423746161720248E-3</c:v>
                </c:pt>
                <c:pt idx="624">
                  <c:v>-3.0612244897958892E-3</c:v>
                </c:pt>
                <c:pt idx="625">
                  <c:v>-4.9751243781094015E-3</c:v>
                </c:pt>
                <c:pt idx="626">
                  <c:v>-1.6083916083916079E-2</c:v>
                </c:pt>
                <c:pt idx="627">
                  <c:v>3.4411491164617114E-2</c:v>
                </c:pt>
                <c:pt idx="628">
                  <c:v>-7.181696932389482E-3</c:v>
                </c:pt>
                <c:pt idx="629">
                  <c:v>-1.5454545454545466E-2</c:v>
                </c:pt>
                <c:pt idx="630">
                  <c:v>0</c:v>
                </c:pt>
                <c:pt idx="631">
                  <c:v>-3.0211480362537478E-3</c:v>
                </c:pt>
                <c:pt idx="632">
                  <c:v>-6.5032516258129629E-3</c:v>
                </c:pt>
                <c:pt idx="633">
                  <c:v>-4.999999999999716E-4</c:v>
                </c:pt>
                <c:pt idx="634">
                  <c:v>0</c:v>
                </c:pt>
                <c:pt idx="635">
                  <c:v>3.0927835051546393E-2</c:v>
                </c:pt>
                <c:pt idx="636">
                  <c:v>0</c:v>
                </c:pt>
                <c:pt idx="637">
                  <c:v>-5.1282051282051282E-3</c:v>
                </c:pt>
                <c:pt idx="638">
                  <c:v>2.6315789473684209E-2</c:v>
                </c:pt>
                <c:pt idx="639">
                  <c:v>4.1221858154529183E-3</c:v>
                </c:pt>
                <c:pt idx="640">
                  <c:v>-9.4230970578997562E-3</c:v>
                </c:pt>
                <c:pt idx="641">
                  <c:v>1.0471204188487032E-4</c:v>
                </c:pt>
                <c:pt idx="642">
                  <c:v>-1.5463917525773196E-2</c:v>
                </c:pt>
                <c:pt idx="643">
                  <c:v>-1.5128439435475632E-2</c:v>
                </c:pt>
                <c:pt idx="644">
                  <c:v>4.9999999999999481E-3</c:v>
                </c:pt>
                <c:pt idx="645">
                  <c:v>3.5940803382663908E-2</c:v>
                </c:pt>
                <c:pt idx="646">
                  <c:v>1.5881418740073211E-3</c:v>
                </c:pt>
                <c:pt idx="647">
                  <c:v>8.5424452749599256E-3</c:v>
                </c:pt>
                <c:pt idx="648">
                  <c:v>6.4481461579796728E-3</c:v>
                </c:pt>
                <c:pt idx="649">
                  <c:v>-1.1158342189160437E-2</c:v>
                </c:pt>
                <c:pt idx="650">
                  <c:v>-4.2328042328042929E-3</c:v>
                </c:pt>
                <c:pt idx="651">
                  <c:v>1.06951871657754E-2</c:v>
                </c:pt>
                <c:pt idx="652">
                  <c:v>-9.5338983050848054E-3</c:v>
                </c:pt>
                <c:pt idx="653">
                  <c:v>2.2751895991332705E-2</c:v>
                </c:pt>
                <c:pt idx="654">
                  <c:v>1.4285714285714254E-2</c:v>
                </c:pt>
                <c:pt idx="655">
                  <c:v>-2.5591605096905456E-2</c:v>
                </c:pt>
                <c:pt idx="656">
                  <c:v>-5.4313099041534089E-3</c:v>
                </c:pt>
                <c:pt idx="657">
                  <c:v>-5.2966101694915252E-3</c:v>
                </c:pt>
                <c:pt idx="658">
                  <c:v>-3.6734693877550961E-2</c:v>
                </c:pt>
                <c:pt idx="659">
                  <c:v>-2.4875621890547265E-2</c:v>
                </c:pt>
                <c:pt idx="660">
                  <c:v>4.2969921055262001E-3</c:v>
                </c:pt>
                <c:pt idx="661">
                  <c:v>2.0809956135876689E-2</c:v>
                </c:pt>
                <c:pt idx="662">
                  <c:v>3.5831285831285247E-3</c:v>
                </c:pt>
                <c:pt idx="663">
                  <c:v>8.049535603715182E-3</c:v>
                </c:pt>
                <c:pt idx="664">
                  <c:v>7.1718116619895224E-3</c:v>
                </c:pt>
                <c:pt idx="665">
                  <c:v>2.083116342047585E-3</c:v>
                </c:pt>
                <c:pt idx="666">
                  <c:v>-1.0206185567010256E-2</c:v>
                </c:pt>
                <c:pt idx="667">
                  <c:v>1.0521929367642516E-2</c:v>
                </c:pt>
                <c:pt idx="668">
                  <c:v>1.6089763946226274E-2</c:v>
                </c:pt>
                <c:pt idx="669">
                  <c:v>2.8662420382165182E-3</c:v>
                </c:pt>
                <c:pt idx="670">
                  <c:v>2.1276595744681155E-3</c:v>
                </c:pt>
                <c:pt idx="671">
                  <c:v>0</c:v>
                </c:pt>
                <c:pt idx="672">
                  <c:v>0</c:v>
                </c:pt>
                <c:pt idx="673">
                  <c:v>-1.0213751711066641E-2</c:v>
                </c:pt>
                <c:pt idx="674">
                  <c:v>1.7932489451476974E-3</c:v>
                </c:pt>
                <c:pt idx="675">
                  <c:v>5.2770448548809671E-4</c:v>
                </c:pt>
                <c:pt idx="676">
                  <c:v>-1.3020833333333334E-2</c:v>
                </c:pt>
                <c:pt idx="677">
                  <c:v>0</c:v>
                </c:pt>
                <c:pt idx="678">
                  <c:v>-7.7519379844961239E-3</c:v>
                </c:pt>
                <c:pt idx="679">
                  <c:v>-2.5773195876288659E-3</c:v>
                </c:pt>
                <c:pt idx="680">
                  <c:v>-5.1282051282051282E-3</c:v>
                </c:pt>
                <c:pt idx="681">
                  <c:v>-4.5941807044410704E-3</c:v>
                </c:pt>
                <c:pt idx="682">
                  <c:v>-5.1020408163262405E-4</c:v>
                </c:pt>
                <c:pt idx="683">
                  <c:v>-1.0203040506076028E-4</c:v>
                </c:pt>
                <c:pt idx="684">
                  <c:v>-9.9999999999999482E-3</c:v>
                </c:pt>
                <c:pt idx="685">
                  <c:v>-1.0099989900015267E-4</c:v>
                </c:pt>
                <c:pt idx="686">
                  <c:v>1.0101010101015269E-4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-3.0293850348380428E-4</c:v>
                </c:pt>
                <c:pt idx="691">
                  <c:v>-9.6999999999999881E-3</c:v>
                </c:pt>
                <c:pt idx="692">
                  <c:v>1.0101010101010102E-2</c:v>
                </c:pt>
                <c:pt idx="693">
                  <c:v>-2.0161290322580931E-3</c:v>
                </c:pt>
                <c:pt idx="694">
                  <c:v>-7.9999999999999724E-3</c:v>
                </c:pt>
                <c:pt idx="695">
                  <c:v>1.0101010101010102E-2</c:v>
                </c:pt>
                <c:pt idx="696">
                  <c:v>0</c:v>
                </c:pt>
                <c:pt idx="697">
                  <c:v>1.020408163265306E-2</c:v>
                </c:pt>
                <c:pt idx="698">
                  <c:v>8.4379501955134089E-3</c:v>
                </c:pt>
                <c:pt idx="699">
                  <c:v>-1.5499949346570631E-2</c:v>
                </c:pt>
                <c:pt idx="700">
                  <c:v>-7.9396984924623749E-3</c:v>
                </c:pt>
                <c:pt idx="701">
                  <c:v>-7.3822825219472758E-3</c:v>
                </c:pt>
                <c:pt idx="702">
                  <c:v>-2.395326192794555E-2</c:v>
                </c:pt>
                <c:pt idx="703">
                  <c:v>1.032956222331527E-2</c:v>
                </c:pt>
                <c:pt idx="704">
                  <c:v>-3.4313725490195523E-3</c:v>
                </c:pt>
                <c:pt idx="705">
                  <c:v>-2.9325513196480661E-3</c:v>
                </c:pt>
                <c:pt idx="706">
                  <c:v>-7.2780203784570596E-3</c:v>
                </c:pt>
                <c:pt idx="707">
                  <c:v>7.8239608801955705E-3</c:v>
                </c:pt>
                <c:pt idx="708">
                  <c:v>-1.2554321583775927E-2</c:v>
                </c:pt>
                <c:pt idx="709">
                  <c:v>-4.3269230769231041E-3</c:v>
                </c:pt>
                <c:pt idx="710">
                  <c:v>-1.8867924528301886E-2</c:v>
                </c:pt>
                <c:pt idx="711">
                  <c:v>4.7393364928909956E-3</c:v>
                </c:pt>
                <c:pt idx="712">
                  <c:v>-9.3896713615023476E-3</c:v>
                </c:pt>
                <c:pt idx="713">
                  <c:v>9.3829968723343274E-3</c:v>
                </c:pt>
                <c:pt idx="714">
                  <c:v>-8.5227272727262499E-4</c:v>
                </c:pt>
                <c:pt idx="715">
                  <c:v>1.062302612690209E-2</c:v>
                </c:pt>
                <c:pt idx="716">
                  <c:v>1.5353221261296263E-2</c:v>
                </c:pt>
                <c:pt idx="717">
                  <c:v>-1.3043061283207053E-2</c:v>
                </c:pt>
                <c:pt idx="718">
                  <c:v>-1.6320754716981169E-2</c:v>
                </c:pt>
                <c:pt idx="719">
                  <c:v>6.3082940527529899E-2</c:v>
                </c:pt>
                <c:pt idx="720">
                  <c:v>1.3313008130081178E-2</c:v>
                </c:pt>
                <c:pt idx="721">
                  <c:v>-3.0395136778115211E-3</c:v>
                </c:pt>
                <c:pt idx="722">
                  <c:v>-5.0403225806451612E-3</c:v>
                </c:pt>
                <c:pt idx="723">
                  <c:v>2.1214264067078289E-3</c:v>
                </c:pt>
                <c:pt idx="724">
                  <c:v>-5.1256281407035687E-3</c:v>
                </c:pt>
                <c:pt idx="725">
                  <c:v>5.0505050505050509E-3</c:v>
                </c:pt>
                <c:pt idx="726">
                  <c:v>2.0242914979757371E-3</c:v>
                </c:pt>
                <c:pt idx="727">
                  <c:v>-7.0351758793970138E-3</c:v>
                </c:pt>
                <c:pt idx="728">
                  <c:v>-9.8517265399541733E-3</c:v>
                </c:pt>
                <c:pt idx="729">
                  <c:v>2.1239837398373873E-2</c:v>
                </c:pt>
                <c:pt idx="730">
                  <c:v>-1.5999999999999945E-2</c:v>
                </c:pt>
                <c:pt idx="731">
                  <c:v>0</c:v>
                </c:pt>
                <c:pt idx="732">
                  <c:v>-5.4699154649427862E-3</c:v>
                </c:pt>
                <c:pt idx="733">
                  <c:v>4.9751243781091694E-4</c:v>
                </c:pt>
                <c:pt idx="734">
                  <c:v>8.9632506722441409E-4</c:v>
                </c:pt>
                <c:pt idx="735">
                  <c:v>9.1457286432160469E-3</c:v>
                </c:pt>
                <c:pt idx="736">
                  <c:v>-1.0934393638170918E-2</c:v>
                </c:pt>
                <c:pt idx="737">
                  <c:v>-3.6644547885511E-3</c:v>
                </c:pt>
                <c:pt idx="738">
                  <c:v>3.6779324055666459E-3</c:v>
                </c:pt>
                <c:pt idx="739">
                  <c:v>-3.9603960396040168E-3</c:v>
                </c:pt>
                <c:pt idx="740">
                  <c:v>-9.8911968348164509E-4</c:v>
                </c:pt>
                <c:pt idx="741">
                  <c:v>3.0757019545588652E-3</c:v>
                </c:pt>
                <c:pt idx="742">
                  <c:v>1.8080808080808145E-2</c:v>
                </c:pt>
                <c:pt idx="743">
                  <c:v>-1.4925373134328358E-2</c:v>
                </c:pt>
                <c:pt idx="744">
                  <c:v>-1.4705882352941176E-2</c:v>
                </c:pt>
                <c:pt idx="745">
                  <c:v>-3.7735849056603772E-2</c:v>
                </c:pt>
                <c:pt idx="746">
                  <c:v>3.8197845249755197E-2</c:v>
                </c:pt>
                <c:pt idx="747">
                  <c:v>-6.3260340632603955E-3</c:v>
                </c:pt>
                <c:pt idx="748">
                  <c:v>-1.1829197922677476E-2</c:v>
                </c:pt>
                <c:pt idx="749">
                  <c:v>2.9606891771462612E-2</c:v>
                </c:pt>
                <c:pt idx="750">
                  <c:v>-6.9216589861751193E-2</c:v>
                </c:pt>
                <c:pt idx="751">
                  <c:v>-2.8648164726947204E-2</c:v>
                </c:pt>
                <c:pt idx="752">
                  <c:v>-1.1416939552172689E-2</c:v>
                </c:pt>
                <c:pt idx="753">
                  <c:v>-1.1461067366579198E-2</c:v>
                </c:pt>
                <c:pt idx="754">
                  <c:v>-4.3554006968641113E-3</c:v>
                </c:pt>
                <c:pt idx="755">
                  <c:v>-6.4906966681090436E-3</c:v>
                </c:pt>
                <c:pt idx="756">
                  <c:v>-4.7372954349698291E-3</c:v>
                </c:pt>
                <c:pt idx="757">
                  <c:v>-2.0629190304281338E-3</c:v>
                </c:pt>
                <c:pt idx="758">
                  <c:v>2.0671834625323781E-3</c:v>
                </c:pt>
                <c:pt idx="759">
                  <c:v>-7.1831708568496954E-3</c:v>
                </c:pt>
                <c:pt idx="760">
                  <c:v>-6.8364382156894802E-4</c:v>
                </c:pt>
                <c:pt idx="761">
                  <c:v>-9.1447925486875387E-3</c:v>
                </c:pt>
                <c:pt idx="762">
                  <c:v>-1.632517074795942E-2</c:v>
                </c:pt>
                <c:pt idx="763">
                  <c:v>5.0000000000001898E-4</c:v>
                </c:pt>
                <c:pt idx="764">
                  <c:v>4.1841004184100415E-3</c:v>
                </c:pt>
                <c:pt idx="765">
                  <c:v>-2.5041736227044841E-3</c:v>
                </c:pt>
                <c:pt idx="766">
                  <c:v>-2.212064321279902E-2</c:v>
                </c:pt>
                <c:pt idx="767">
                  <c:v>1.6680497925311247E-2</c:v>
                </c:pt>
                <c:pt idx="768">
                  <c:v>8.2994439372604501E-5</c:v>
                </c:pt>
                <c:pt idx="769">
                  <c:v>-8.2987551867262375E-5</c:v>
                </c:pt>
                <c:pt idx="770">
                  <c:v>4.1666666666666666E-3</c:v>
                </c:pt>
                <c:pt idx="771">
                  <c:v>-5.7995028997514736E-3</c:v>
                </c:pt>
                <c:pt idx="772">
                  <c:v>-9.0311986863710544E-3</c:v>
                </c:pt>
                <c:pt idx="773">
                  <c:v>-7.658465048069071E-3</c:v>
                </c:pt>
                <c:pt idx="774">
                  <c:v>1.1419249592169705E-3</c:v>
                </c:pt>
                <c:pt idx="775">
                  <c:v>0</c:v>
                </c:pt>
                <c:pt idx="776">
                  <c:v>-9.8530124374091345E-3</c:v>
                </c:pt>
                <c:pt idx="777">
                  <c:v>-6.4568200161430587E-4</c:v>
                </c:pt>
                <c:pt idx="778">
                  <c:v>1.5573770491803324E-2</c:v>
                </c:pt>
                <c:pt idx="779">
                  <c:v>-4.0816326530612249E-3</c:v>
                </c:pt>
                <c:pt idx="780">
                  <c:v>1.3317892298784014E-2</c:v>
                </c:pt>
                <c:pt idx="781">
                  <c:v>-9.0983606557377E-3</c:v>
                </c:pt>
                <c:pt idx="782">
                  <c:v>4.280540006585413E-3</c:v>
                </c:pt>
                <c:pt idx="783">
                  <c:v>1.2333333333333366E-2</c:v>
                </c:pt>
                <c:pt idx="784">
                  <c:v>8.4033613445378148E-3</c:v>
                </c:pt>
                <c:pt idx="785">
                  <c:v>-8.3333333333333332E-3</c:v>
                </c:pt>
                <c:pt idx="786">
                  <c:v>-1.7199017199017154E-2</c:v>
                </c:pt>
                <c:pt idx="787">
                  <c:v>2.9945170814002508E-2</c:v>
                </c:pt>
                <c:pt idx="788">
                  <c:v>-2.6203384261540973E-2</c:v>
                </c:pt>
                <c:pt idx="789">
                  <c:v>-9.4385679414158725E-3</c:v>
                </c:pt>
                <c:pt idx="790">
                  <c:v>0</c:v>
                </c:pt>
                <c:pt idx="791">
                  <c:v>-2.0014352922414408E-2</c:v>
                </c:pt>
                <c:pt idx="792">
                  <c:v>-2.0999219359875081E-2</c:v>
                </c:pt>
                <c:pt idx="793">
                  <c:v>5.5734359054870376E-3</c:v>
                </c:pt>
                <c:pt idx="794">
                  <c:v>1.0229976209357703E-2</c:v>
                </c:pt>
                <c:pt idx="795">
                  <c:v>-1.1057956238726459E-2</c:v>
                </c:pt>
                <c:pt idx="796">
                  <c:v>-1.8786692759295098E-3</c:v>
                </c:pt>
                <c:pt idx="797">
                  <c:v>-1.953125E-3</c:v>
                </c:pt>
                <c:pt idx="798">
                  <c:v>-3.7593984962406013E-2</c:v>
                </c:pt>
                <c:pt idx="799">
                  <c:v>-1.1152416356877323E-2</c:v>
                </c:pt>
                <c:pt idx="800">
                  <c:v>-3.7037037037037038E-3</c:v>
                </c:pt>
                <c:pt idx="801">
                  <c:v>-3.6900369003690036E-3</c:v>
                </c:pt>
                <c:pt idx="802">
                  <c:v>0</c:v>
                </c:pt>
                <c:pt idx="803">
                  <c:v>-1.2318682119688007E-2</c:v>
                </c:pt>
                <c:pt idx="804">
                  <c:v>8.3792723263505058E-3</c:v>
                </c:pt>
                <c:pt idx="805">
                  <c:v>3.67647058823613E-4</c:v>
                </c:pt>
                <c:pt idx="806">
                  <c:v>-2.2010271460015506E-3</c:v>
                </c:pt>
                <c:pt idx="807">
                  <c:v>4.7917434574272439E-3</c:v>
                </c:pt>
                <c:pt idx="808">
                  <c:v>-4.768892149669887E-3</c:v>
                </c:pt>
                <c:pt idx="809">
                  <c:v>3.1091610560556877E-2</c:v>
                </c:pt>
                <c:pt idx="810">
                  <c:v>4.6634996041171821E-2</c:v>
                </c:pt>
                <c:pt idx="811">
                  <c:v>0</c:v>
                </c:pt>
                <c:pt idx="812">
                  <c:v>-2.3428438877290767E-2</c:v>
                </c:pt>
                <c:pt idx="813">
                  <c:v>-2.2079395085066067E-2</c:v>
                </c:pt>
                <c:pt idx="814">
                  <c:v>-2.5064504238850021E-2</c:v>
                </c:pt>
                <c:pt idx="815">
                  <c:v>-7.6084570926914334E-3</c:v>
                </c:pt>
                <c:pt idx="816">
                  <c:v>-2.0143369175627257E-2</c:v>
                </c:pt>
                <c:pt idx="817">
                  <c:v>4.464285714285747E-3</c:v>
                </c:pt>
                <c:pt idx="818">
                  <c:v>-3.555555555555559E-2</c:v>
                </c:pt>
                <c:pt idx="819">
                  <c:v>2.1276595744680851E-2</c:v>
                </c:pt>
                <c:pt idx="820">
                  <c:v>-4.7747686904842261E-2</c:v>
                </c:pt>
                <c:pt idx="821">
                  <c:v>-8.0310559006211216E-2</c:v>
                </c:pt>
                <c:pt idx="822">
                  <c:v>6.2500000000000003E-3</c:v>
                </c:pt>
                <c:pt idx="823">
                  <c:v>4.7095761381475663E-3</c:v>
                </c:pt>
                <c:pt idx="824">
                  <c:v>-6.2790405625963238E-5</c:v>
                </c:pt>
                <c:pt idx="825">
                  <c:v>-1.2034739454094279E-2</c:v>
                </c:pt>
                <c:pt idx="826">
                  <c:v>1.0658307210031276E-2</c:v>
                </c:pt>
                <c:pt idx="827">
                  <c:v>2.2501442400153795E-2</c:v>
                </c:pt>
                <c:pt idx="828">
                  <c:v>1.6883963494133007E-2</c:v>
                </c:pt>
                <c:pt idx="829">
                  <c:v>-9.6836668818592632E-3</c:v>
                </c:pt>
                <c:pt idx="830">
                  <c:v>-5.7766367137355949E-3</c:v>
                </c:pt>
                <c:pt idx="831">
                  <c:v>-1.3924050632911321E-2</c:v>
                </c:pt>
                <c:pt idx="832">
                  <c:v>-3.1545741324921135E-3</c:v>
                </c:pt>
                <c:pt idx="833">
                  <c:v>6.3095463436121555E-5</c:v>
                </c:pt>
                <c:pt idx="834">
                  <c:v>5.6818181818183973E-4</c:v>
                </c:pt>
                <c:pt idx="835">
                  <c:v>-6.8965517241378954E-3</c:v>
                </c:pt>
                <c:pt idx="836">
                  <c:v>1.0669679281992562E-3</c:v>
                </c:pt>
                <c:pt idx="837">
                  <c:v>-1.343653250773986E-2</c:v>
                </c:pt>
                <c:pt idx="838">
                  <c:v>1.5503875968992248E-3</c:v>
                </c:pt>
                <c:pt idx="839">
                  <c:v>-7.6312388454674689E-3</c:v>
                </c:pt>
                <c:pt idx="840">
                  <c:v>3.1813563627127381E-2</c:v>
                </c:pt>
                <c:pt idx="841">
                  <c:v>1.0134701731879307E-2</c:v>
                </c:pt>
                <c:pt idx="842">
                  <c:v>-1.4091724314629699E-3</c:v>
                </c:pt>
                <c:pt idx="843">
                  <c:v>4.010659560293145E-2</c:v>
                </c:pt>
                <c:pt idx="844">
                  <c:v>1.7627118644067758E-2</c:v>
                </c:pt>
                <c:pt idx="845">
                  <c:v>1.2979877755648555E-2</c:v>
                </c:pt>
                <c:pt idx="846">
                  <c:v>1.4562430323299911E-2</c:v>
                </c:pt>
                <c:pt idx="847">
                  <c:v>-3.471740036106096E-3</c:v>
                </c:pt>
                <c:pt idx="848">
                  <c:v>7.1328671328672044E-3</c:v>
                </c:pt>
                <c:pt idx="849">
                  <c:v>7.0422535211267607E-3</c:v>
                </c:pt>
                <c:pt idx="850">
                  <c:v>7.0921985815602835E-3</c:v>
                </c:pt>
                <c:pt idx="851">
                  <c:v>0</c:v>
                </c:pt>
                <c:pt idx="852">
                  <c:v>0</c:v>
                </c:pt>
                <c:pt idx="853">
                  <c:v>-1.0526315789473684E-2</c:v>
                </c:pt>
                <c:pt idx="854">
                  <c:v>1.0280042538106974E-2</c:v>
                </c:pt>
                <c:pt idx="855">
                  <c:v>-1.3291360615599702E-2</c:v>
                </c:pt>
                <c:pt idx="856">
                  <c:v>-3.4965034965042918E-4</c:v>
                </c:pt>
                <c:pt idx="857">
                  <c:v>-1.5422748554117384E-2</c:v>
                </c:pt>
                <c:pt idx="858">
                  <c:v>-8.1944823818628013E-3</c:v>
                </c:pt>
                <c:pt idx="859">
                  <c:v>-3.5383777898748653E-3</c:v>
                </c:pt>
                <c:pt idx="860">
                  <c:v>9.2713412540347106E-3</c:v>
                </c:pt>
                <c:pt idx="861">
                  <c:v>8.3795013850416055E-3</c:v>
                </c:pt>
                <c:pt idx="862">
                  <c:v>-1.3140604467805361E-3</c:v>
                </c:pt>
                <c:pt idx="863">
                  <c:v>9.0725102938098365E-3</c:v>
                </c:pt>
                <c:pt idx="864">
                  <c:v>-4.584925321292092E-3</c:v>
                </c:pt>
                <c:pt idx="865">
                  <c:v>-3.1163434903048273E-3</c:v>
                </c:pt>
                <c:pt idx="866">
                  <c:v>-1.4521817301708592E-3</c:v>
                </c:pt>
                <c:pt idx="867">
                  <c:v>7.5947603121516395E-3</c:v>
                </c:pt>
                <c:pt idx="868">
                  <c:v>-4.0249826509367393E-3</c:v>
                </c:pt>
                <c:pt idx="869">
                  <c:v>-5.521048999309947E-3</c:v>
                </c:pt>
                <c:pt idx="870">
                  <c:v>9.4747108819842121E-3</c:v>
                </c:pt>
                <c:pt idx="871">
                  <c:v>-1.8194254445964411E-2</c:v>
                </c:pt>
                <c:pt idx="872">
                  <c:v>8.3454031312502897E-3</c:v>
                </c:pt>
                <c:pt idx="873">
                  <c:v>0</c:v>
                </c:pt>
                <c:pt idx="874">
                  <c:v>6.8750000000000634E-3</c:v>
                </c:pt>
                <c:pt idx="875">
                  <c:v>-6.8965517241379309E-3</c:v>
                </c:pt>
                <c:pt idx="876">
                  <c:v>6.9444444444444441E-3</c:v>
                </c:pt>
                <c:pt idx="877">
                  <c:v>0</c:v>
                </c:pt>
                <c:pt idx="878">
                  <c:v>3.8340885325898323E-3</c:v>
                </c:pt>
                <c:pt idx="879">
                  <c:v>-1.0553179748930896E-2</c:v>
                </c:pt>
                <c:pt idx="880">
                  <c:v>0</c:v>
                </c:pt>
                <c:pt idx="881">
                  <c:v>6.9454090845950832E-3</c:v>
                </c:pt>
                <c:pt idx="882">
                  <c:v>5.5594162612914583E-4</c:v>
                </c:pt>
                <c:pt idx="883">
                  <c:v>6.2937062937063332E-3</c:v>
                </c:pt>
                <c:pt idx="884">
                  <c:v>-2.0935101186323191E-3</c:v>
                </c:pt>
                <c:pt idx="885">
                  <c:v>9.0838673332865327E-3</c:v>
                </c:pt>
                <c:pt idx="886">
                  <c:v>-1.9809497515185012E-2</c:v>
                </c:pt>
                <c:pt idx="887">
                  <c:v>6.1111111111110793E-3</c:v>
                </c:pt>
                <c:pt idx="888">
                  <c:v>-6.9396252602355534E-4</c:v>
                </c:pt>
                <c:pt idx="889">
                  <c:v>-9.621993127147805E-3</c:v>
                </c:pt>
                <c:pt idx="890">
                  <c:v>3.4482758620689655E-3</c:v>
                </c:pt>
                <c:pt idx="891">
                  <c:v>-6.8493150684931503E-3</c:v>
                </c:pt>
                <c:pt idx="892">
                  <c:v>1.7152658662092624E-3</c:v>
                </c:pt>
                <c:pt idx="893">
                  <c:v>5.1724137931034482E-3</c:v>
                </c:pt>
                <c:pt idx="894">
                  <c:v>3.4494653328741895E-4</c:v>
                </c:pt>
                <c:pt idx="895">
                  <c:v>-1.3274336283185957E-2</c:v>
                </c:pt>
                <c:pt idx="896">
                  <c:v>1.3802622498274672E-2</c:v>
                </c:pt>
                <c:pt idx="897">
                  <c:v>-6.8965517241375391E-4</c:v>
                </c:pt>
                <c:pt idx="898">
                  <c:v>3.4602076124567475E-3</c:v>
                </c:pt>
                <c:pt idx="899">
                  <c:v>-1.189824945295411E-2</c:v>
                </c:pt>
                <c:pt idx="900">
                  <c:v>-5.5083304998300052E-3</c:v>
                </c:pt>
                <c:pt idx="901">
                  <c:v>-7.7597840755733961E-3</c:v>
                </c:pt>
                <c:pt idx="902">
                  <c:v>1.5068493150684854E-2</c:v>
                </c:pt>
                <c:pt idx="903">
                  <c:v>-2.6666666666666668E-2</c:v>
                </c:pt>
                <c:pt idx="904">
                  <c:v>0</c:v>
                </c:pt>
                <c:pt idx="905">
                  <c:v>-3.1633311814073632E-2</c:v>
                </c:pt>
                <c:pt idx="906">
                  <c:v>9.1205211726384742E-3</c:v>
                </c:pt>
                <c:pt idx="907">
                  <c:v>-3.246753246753247E-3</c:v>
                </c:pt>
                <c:pt idx="908">
                  <c:v>6.5359477124183009E-3</c:v>
                </c:pt>
                <c:pt idx="909">
                  <c:v>-4.5543266102796923E-3</c:v>
                </c:pt>
                <c:pt idx="910">
                  <c:v>-1.429313929313922E-3</c:v>
                </c:pt>
                <c:pt idx="911">
                  <c:v>-1.8158236057068816E-3</c:v>
                </c:pt>
                <c:pt idx="912">
                  <c:v>4.1023637429185092E-3</c:v>
                </c:pt>
                <c:pt idx="913">
                  <c:v>-9.4175320905631674E-3</c:v>
                </c:pt>
                <c:pt idx="914">
                  <c:v>6.6883116883116956E-3</c:v>
                </c:pt>
                <c:pt idx="915">
                  <c:v>-6.3875088715401578E-3</c:v>
                </c:pt>
                <c:pt idx="916">
                  <c:v>-6.4516129032199385E-5</c:v>
                </c:pt>
                <c:pt idx="917">
                  <c:v>0</c:v>
                </c:pt>
                <c:pt idx="918">
                  <c:v>0</c:v>
                </c:pt>
                <c:pt idx="919">
                  <c:v>-6.41025641025641E-3</c:v>
                </c:pt>
                <c:pt idx="920">
                  <c:v>2.6315789473684209E-2</c:v>
                </c:pt>
                <c:pt idx="921">
                  <c:v>6.58327847267902E-4</c:v>
                </c:pt>
                <c:pt idx="922">
                  <c:v>-1.9999999999999962E-2</c:v>
                </c:pt>
                <c:pt idx="923">
                  <c:v>-6.41025641025641E-3</c:v>
                </c:pt>
                <c:pt idx="924">
                  <c:v>0</c:v>
                </c:pt>
                <c:pt idx="925">
                  <c:v>-2.5634452704429659E-4</c:v>
                </c:pt>
                <c:pt idx="926">
                  <c:v>-1.7070866141732335E-2</c:v>
                </c:pt>
                <c:pt idx="927">
                  <c:v>2.4854744996772073E-2</c:v>
                </c:pt>
                <c:pt idx="928">
                  <c:v>-6.45161290322544E-4</c:v>
                </c:pt>
                <c:pt idx="929">
                  <c:v>9.7719869706840382E-3</c:v>
                </c:pt>
                <c:pt idx="930">
                  <c:v>-1.6025641025641024E-2</c:v>
                </c:pt>
                <c:pt idx="931">
                  <c:v>-1.9193857965451781E-3</c:v>
                </c:pt>
                <c:pt idx="932">
                  <c:v>-1.0759493670886003E-2</c:v>
                </c:pt>
                <c:pt idx="933">
                  <c:v>0</c:v>
                </c:pt>
                <c:pt idx="934">
                  <c:v>-3.1545741324921135E-3</c:v>
                </c:pt>
                <c:pt idx="935">
                  <c:v>-3.477254734790821E-2</c:v>
                </c:pt>
                <c:pt idx="936">
                  <c:v>-1.9056152927120654E-2</c:v>
                </c:pt>
                <c:pt idx="937">
                  <c:v>2.8255528255528219E-2</c:v>
                </c:pt>
                <c:pt idx="938">
                  <c:v>5.2019386106623662E-2</c:v>
                </c:pt>
                <c:pt idx="939">
                  <c:v>1.6181229773462784E-3</c:v>
                </c:pt>
                <c:pt idx="940">
                  <c:v>1.2981904012588445E-2</c:v>
                </c:pt>
                <c:pt idx="941">
                  <c:v>1.0066225165562982E-2</c:v>
                </c:pt>
                <c:pt idx="942">
                  <c:v>1.9581363943281607E-2</c:v>
                </c:pt>
                <c:pt idx="943">
                  <c:v>6.7567567567563722E-4</c:v>
                </c:pt>
                <c:pt idx="944">
                  <c:v>4.2400338075785395E-2</c:v>
                </c:pt>
                <c:pt idx="945">
                  <c:v>1.414285714285707E-2</c:v>
                </c:pt>
                <c:pt idx="946">
                  <c:v>-1.3320177602367938E-2</c:v>
                </c:pt>
                <c:pt idx="947">
                  <c:v>-1.4652777777777872E-2</c:v>
                </c:pt>
                <c:pt idx="948">
                  <c:v>6.9492703266153105E-4</c:v>
                </c:pt>
                <c:pt idx="949">
                  <c:v>5.9419783292554646E-3</c:v>
                </c:pt>
                <c:pt idx="950">
                  <c:v>-7.6837105336675904E-4</c:v>
                </c:pt>
                <c:pt idx="951">
                  <c:v>-4.4261966753454805E-2</c:v>
                </c:pt>
                <c:pt idx="952">
                  <c:v>-1.3334222281486568E-3</c:v>
                </c:pt>
                <c:pt idx="953">
                  <c:v>-6.6666666666606036E-5</c:v>
                </c:pt>
                <c:pt idx="954">
                  <c:v>6.6711140760503215E-4</c:v>
                </c:pt>
                <c:pt idx="955">
                  <c:v>0</c:v>
                </c:pt>
                <c:pt idx="956">
                  <c:v>1.6036349057865101E-3</c:v>
                </c:pt>
                <c:pt idx="957">
                  <c:v>-2.2001466764451794E-3</c:v>
                </c:pt>
                <c:pt idx="958">
                  <c:v>-6.6666666666606036E-5</c:v>
                </c:pt>
                <c:pt idx="959">
                  <c:v>-7.739630879142605E-3</c:v>
                </c:pt>
                <c:pt idx="960">
                  <c:v>-2.1782178217822608E-3</c:v>
                </c:pt>
                <c:pt idx="961">
                  <c:v>-5.2527905449770932E-3</c:v>
                </c:pt>
                <c:pt idx="962">
                  <c:v>6.8090169894890005E-3</c:v>
                </c:pt>
                <c:pt idx="963">
                  <c:v>-4.8026315789473015E-3</c:v>
                </c:pt>
                <c:pt idx="964">
                  <c:v>9.9667774086378731E-3</c:v>
                </c:pt>
                <c:pt idx="965">
                  <c:v>-6.6006600660066007E-3</c:v>
                </c:pt>
                <c:pt idx="966">
                  <c:v>3.3112582781456954E-3</c:v>
                </c:pt>
                <c:pt idx="967">
                  <c:v>2.0572035304267191E-3</c:v>
                </c:pt>
                <c:pt idx="968">
                  <c:v>4.5999999999999852E-3</c:v>
                </c:pt>
                <c:pt idx="969">
                  <c:v>0</c:v>
                </c:pt>
                <c:pt idx="970">
                  <c:v>8.4033613445378148E-3</c:v>
                </c:pt>
                <c:pt idx="971">
                  <c:v>-1.5438313867632554E-3</c:v>
                </c:pt>
                <c:pt idx="972">
                  <c:v>-1.3422818791953176E-4</c:v>
                </c:pt>
                <c:pt idx="973">
                  <c:v>3.3670033670033669E-3</c:v>
                </c:pt>
                <c:pt idx="974">
                  <c:v>-0.01</c:v>
                </c:pt>
                <c:pt idx="975">
                  <c:v>1.8675721561969439E-2</c:v>
                </c:pt>
                <c:pt idx="976">
                  <c:v>-8.4175084175084174E-3</c:v>
                </c:pt>
                <c:pt idx="977">
                  <c:v>-2.3026315789473683E-2</c:v>
                </c:pt>
                <c:pt idx="978">
                  <c:v>0</c:v>
                </c:pt>
                <c:pt idx="979">
                  <c:v>-3.2786885245901639E-3</c:v>
                </c:pt>
                <c:pt idx="980">
                  <c:v>-3.2679738562091504E-3</c:v>
                </c:pt>
                <c:pt idx="981">
                  <c:v>0</c:v>
                </c:pt>
                <c:pt idx="982">
                  <c:v>7.9051383399208735E-3</c:v>
                </c:pt>
                <c:pt idx="983">
                  <c:v>-7.8431372549018861E-3</c:v>
                </c:pt>
                <c:pt idx="984">
                  <c:v>0</c:v>
                </c:pt>
                <c:pt idx="985">
                  <c:v>4.9261083743842365E-3</c:v>
                </c:pt>
                <c:pt idx="986">
                  <c:v>-1.7044354057718293E-2</c:v>
                </c:pt>
                <c:pt idx="987">
                  <c:v>2.524271844660106E-3</c:v>
                </c:pt>
                <c:pt idx="988">
                  <c:v>1.1787819253438189E-2</c:v>
                </c:pt>
                <c:pt idx="989">
                  <c:v>4.5862543405616969E-4</c:v>
                </c:pt>
                <c:pt idx="990">
                  <c:v>-8.8961038961039261E-3</c:v>
                </c:pt>
                <c:pt idx="991">
                  <c:v>4.0821843741551712E-2</c:v>
                </c:pt>
                <c:pt idx="992">
                  <c:v>-1.0301003344481552E-2</c:v>
                </c:pt>
                <c:pt idx="993">
                  <c:v>3.3557046979865771E-3</c:v>
                </c:pt>
                <c:pt idx="994">
                  <c:v>-3.6222509702457918E-2</c:v>
                </c:pt>
                <c:pt idx="995">
                  <c:v>4.2873846953358228E-3</c:v>
                </c:pt>
                <c:pt idx="996">
                  <c:v>2.4900133155792339E-2</c:v>
                </c:pt>
                <c:pt idx="997">
                  <c:v>-1.3297872340426666E-3</c:v>
                </c:pt>
                <c:pt idx="998">
                  <c:v>5.8182304554270352E-3</c:v>
                </c:pt>
                <c:pt idx="999">
                  <c:v>-5.7845744680851364E-3</c:v>
                </c:pt>
                <c:pt idx="1000">
                  <c:v>8.7189805499665422E-3</c:v>
                </c:pt>
                <c:pt idx="1001">
                  <c:v>-1.8174634531805737E-2</c:v>
                </c:pt>
                <c:pt idx="1002">
                  <c:v>-1.3768021821015563E-2</c:v>
                </c:pt>
                <c:pt idx="1003">
                  <c:v>4.748299319727884E-2</c:v>
                </c:pt>
                <c:pt idx="1004">
                  <c:v>-0.02</c:v>
                </c:pt>
                <c:pt idx="1005">
                  <c:v>1.902173913043486E-2</c:v>
                </c:pt>
                <c:pt idx="1006">
                  <c:v>-2.5810721376571845E-2</c:v>
                </c:pt>
                <c:pt idx="1007">
                  <c:v>-1.0542859013817128E-2</c:v>
                </c:pt>
                <c:pt idx="1008">
                  <c:v>1.377049180327921E-3</c:v>
                </c:pt>
                <c:pt idx="1009">
                  <c:v>-4.5691906005221198E-3</c:v>
                </c:pt>
                <c:pt idx="1010">
                  <c:v>-3.6356774437036117E-2</c:v>
                </c:pt>
                <c:pt idx="1011">
                  <c:v>1.0038119440914765E-2</c:v>
                </c:pt>
                <c:pt idx="1012">
                  <c:v>-7.2532324187953683E-3</c:v>
                </c:pt>
                <c:pt idx="1013">
                  <c:v>-2.1175453759723292E-2</c:v>
                </c:pt>
                <c:pt idx="1014">
                  <c:v>-6.2576687116565046E-3</c:v>
                </c:pt>
                <c:pt idx="1015">
                  <c:v>5.6383668178872248E-2</c:v>
                </c:pt>
                <c:pt idx="1016">
                  <c:v>-3.5624999999999928E-2</c:v>
                </c:pt>
                <c:pt idx="1017">
                  <c:v>1.5873015873015872E-2</c:v>
                </c:pt>
                <c:pt idx="1018">
                  <c:v>-3.0172413793103481E-2</c:v>
                </c:pt>
                <c:pt idx="1019">
                  <c:v>-1.5757575757575724E-2</c:v>
                </c:pt>
                <c:pt idx="1020">
                  <c:v>3.1004924311507742E-3</c:v>
                </c:pt>
                <c:pt idx="1021">
                  <c:v>1.2246153846153901E-2</c:v>
                </c:pt>
                <c:pt idx="1022">
                  <c:v>-4.2282002573686972E-3</c:v>
                </c:pt>
                <c:pt idx="1023">
                  <c:v>1.682347809832381E-2</c:v>
                </c:pt>
                <c:pt idx="1024">
                  <c:v>-1.5398773006134913E-2</c:v>
                </c:pt>
                <c:pt idx="1025">
                  <c:v>-1.9548872180451128E-2</c:v>
                </c:pt>
                <c:pt idx="1026">
                  <c:v>1.24847746650427E-2</c:v>
                </c:pt>
                <c:pt idx="1027">
                  <c:v>2.4420024420023032E-3</c:v>
                </c:pt>
                <c:pt idx="1028">
                  <c:v>-7.3930432674827219E-3</c:v>
                </c:pt>
                <c:pt idx="1029">
                  <c:v>-6.6217192391042276E-3</c:v>
                </c:pt>
                <c:pt idx="1030">
                  <c:v>-2.3422016695693135E-3</c:v>
                </c:pt>
                <c:pt idx="1031">
                  <c:v>-2.9341317365270004E-3</c:v>
                </c:pt>
                <c:pt idx="1032">
                  <c:v>-1.0135735878134123E-2</c:v>
                </c:pt>
                <c:pt idx="1033">
                  <c:v>-7.5882352941176005E-3</c:v>
                </c:pt>
                <c:pt idx="1034">
                  <c:v>2.9420417769939025E-4</c:v>
                </c:pt>
                <c:pt idx="1035">
                  <c:v>-1.478260869565224E-2</c:v>
                </c:pt>
                <c:pt idx="1036">
                  <c:v>1.4825273561595543E-2</c:v>
                </c:pt>
                <c:pt idx="1037">
                  <c:v>3.7412267317668571E-2</c:v>
                </c:pt>
                <c:pt idx="1038">
                  <c:v>1.1419753086419718E-2</c:v>
                </c:pt>
                <c:pt idx="1039">
                  <c:v>-4.2411949105660932E-3</c:v>
                </c:pt>
                <c:pt idx="1040">
                  <c:v>-6.7567567567575941E-4</c:v>
                </c:pt>
                <c:pt idx="1041">
                  <c:v>-1.2269938650306051E-3</c:v>
                </c:pt>
                <c:pt idx="1042">
                  <c:v>8.6633663366336988E-3</c:v>
                </c:pt>
                <c:pt idx="1043">
                  <c:v>-2.6506024096385576E-2</c:v>
                </c:pt>
                <c:pt idx="1044">
                  <c:v>1.0039549741405572E-2</c:v>
                </c:pt>
                <c:pt idx="1045">
                  <c:v>1.8277571251548875E-2</c:v>
                </c:pt>
                <c:pt idx="1046">
                  <c:v>-3.928571428571425E-2</c:v>
                </c:pt>
                <c:pt idx="1047">
                  <c:v>-2.4390243902438959E-2</c:v>
                </c:pt>
                <c:pt idx="1048">
                  <c:v>-2.1590909090909157E-2</c:v>
                </c:pt>
                <c:pt idx="1049">
                  <c:v>-1.6759776536312849E-2</c:v>
                </c:pt>
                <c:pt idx="1050">
                  <c:v>-4.7261606894634101E-3</c:v>
                </c:pt>
                <c:pt idx="1051">
                  <c:v>-2.3851786110495165E-3</c:v>
                </c:pt>
                <c:pt idx="1052">
                  <c:v>-5.0772626931566639E-3</c:v>
                </c:pt>
                <c:pt idx="1053">
                  <c:v>3.8990825688073293E-2</c:v>
                </c:pt>
                <c:pt idx="1054">
                  <c:v>3.0245746691871481E-2</c:v>
                </c:pt>
                <c:pt idx="1055">
                  <c:v>1.2440191387559885E-2</c:v>
                </c:pt>
                <c:pt idx="1056">
                  <c:v>-4.5662100456621009E-2</c:v>
                </c:pt>
                <c:pt idx="1057">
                  <c:v>3.9145907473309573E-2</c:v>
                </c:pt>
                <c:pt idx="1058">
                  <c:v>-3.0747398297067776E-3</c:v>
                </c:pt>
                <c:pt idx="1059">
                  <c:v>1.1483253588516842E-2</c:v>
                </c:pt>
                <c:pt idx="1060">
                  <c:v>-1.3220018885741319E-2</c:v>
                </c:pt>
                <c:pt idx="1061">
                  <c:v>-2.3963133640552976E-2</c:v>
                </c:pt>
                <c:pt idx="1062">
                  <c:v>-9.0758604943204715E-3</c:v>
                </c:pt>
                <c:pt idx="1063">
                  <c:v>-4.7719138783162158E-3</c:v>
                </c:pt>
                <c:pt idx="1064">
                  <c:v>-1.0789547625737497E-2</c:v>
                </c:pt>
                <c:pt idx="1065">
                  <c:v>-2.5224215246637724E-3</c:v>
                </c:pt>
                <c:pt idx="1066">
                  <c:v>-6.2388591800356758E-3</c:v>
                </c:pt>
                <c:pt idx="1067">
                  <c:v>-2.6666666666666098E-3</c:v>
                </c:pt>
                <c:pt idx="1068">
                  <c:v>-4.3697107140881252E-3</c:v>
                </c:pt>
                <c:pt idx="1069">
                  <c:v>-5.5309734513381231E-5</c:v>
                </c:pt>
                <c:pt idx="1070">
                  <c:v>2.2728532623761022E-3</c:v>
                </c:pt>
                <c:pt idx="1071">
                  <c:v>-8.0285949958757655E-3</c:v>
                </c:pt>
                <c:pt idx="1072">
                  <c:v>-3.0753650996695501E-2</c:v>
                </c:pt>
                <c:pt idx="1073">
                  <c:v>1.9729333115930187E-2</c:v>
                </c:pt>
                <c:pt idx="1074">
                  <c:v>6.5098468271334664E-3</c:v>
                </c:pt>
                <c:pt idx="1075">
                  <c:v>-1.0394110004330812E-2</c:v>
                </c:pt>
                <c:pt idx="1076">
                  <c:v>1.7180616740088132E-2</c:v>
                </c:pt>
                <c:pt idx="1077">
                  <c:v>-1.3747594171020072E-3</c:v>
                </c:pt>
                <c:pt idx="1078">
                  <c:v>2.5912449002094989E-3</c:v>
                </c:pt>
                <c:pt idx="1079">
                  <c:v>9.9337748344374634E-4</c:v>
                </c:pt>
                <c:pt idx="1080">
                  <c:v>-1.3777900248002205E-3</c:v>
                </c:pt>
                <c:pt idx="1081">
                  <c:v>-3.0219780219780845E-3</c:v>
                </c:pt>
                <c:pt idx="1082">
                  <c:v>-2.192982456140382E-3</c:v>
                </c:pt>
                <c:pt idx="1083">
                  <c:v>4.4052863436123977E-3</c:v>
                </c:pt>
                <c:pt idx="1084">
                  <c:v>-3.2930845225027133E-3</c:v>
                </c:pt>
                <c:pt idx="1085">
                  <c:v>3.7461436756279108E-3</c:v>
                </c:pt>
                <c:pt idx="1086">
                  <c:v>-8.8066930867457391E-4</c:v>
                </c:pt>
                <c:pt idx="1087">
                  <c:v>4.756111049662724E-3</c:v>
                </c:pt>
                <c:pt idx="1088">
                  <c:v>-4.2951541850220331E-3</c:v>
                </c:pt>
                <c:pt idx="1089">
                  <c:v>1.1025358324144908E-3</c:v>
                </c:pt>
                <c:pt idx="1090">
                  <c:v>3.3185840707964285E-3</c:v>
                </c:pt>
                <c:pt idx="1091">
                  <c:v>-1.7391304347826025E-2</c:v>
                </c:pt>
                <c:pt idx="1092">
                  <c:v>4.3497172683782358E-4</c:v>
                </c:pt>
                <c:pt idx="1093">
                  <c:v>1.0875475802056449E-4</c:v>
                </c:pt>
                <c:pt idx="1094">
                  <c:v>6.0175054704594867E-3</c:v>
                </c:pt>
                <c:pt idx="1095">
                  <c:v>2.3028840881676497E-3</c:v>
                </c:pt>
                <c:pt idx="1096">
                  <c:v>8.7389380530972574E-3</c:v>
                </c:pt>
                <c:pt idx="1097">
                  <c:v>-7.6838638858396126E-3</c:v>
                </c:pt>
                <c:pt idx="1098">
                  <c:v>-2.0266199266035195E-3</c:v>
                </c:pt>
                <c:pt idx="1099">
                  <c:v>-3.4388646288209361E-3</c:v>
                </c:pt>
                <c:pt idx="1100">
                  <c:v>6.4828040874627974E-3</c:v>
                </c:pt>
                <c:pt idx="1101">
                  <c:v>1.9265701546761862E-3</c:v>
                </c:pt>
                <c:pt idx="1102">
                  <c:v>-6.1816192560176361E-3</c:v>
                </c:pt>
                <c:pt idx="1103">
                  <c:v>-1.0715445394523161E-2</c:v>
                </c:pt>
                <c:pt idx="1104">
                  <c:v>-3.9887882708064312E-3</c:v>
                </c:pt>
                <c:pt idx="1105">
                  <c:v>2.1585903083700529E-2</c:v>
                </c:pt>
                <c:pt idx="1106">
                  <c:v>-4.3313778167662267E-3</c:v>
                </c:pt>
                <c:pt idx="1107">
                  <c:v>-2.1337126600285304E-3</c:v>
                </c:pt>
                <c:pt idx="1108">
                  <c:v>2.7980468535688313E-3</c:v>
                </c:pt>
                <c:pt idx="1109">
                  <c:v>-6.5793080760993545E-4</c:v>
                </c:pt>
                <c:pt idx="1110">
                  <c:v>2.236547085201783E-2</c:v>
                </c:pt>
                <c:pt idx="1111">
                  <c:v>-1.5452538631346486E-2</c:v>
                </c:pt>
                <c:pt idx="1112">
                  <c:v>-1.3071895424836633E-2</c:v>
                </c:pt>
                <c:pt idx="1113">
                  <c:v>4.8161120840630222E-3</c:v>
                </c:pt>
                <c:pt idx="1114">
                  <c:v>-2.6200873362444859E-3</c:v>
                </c:pt>
                <c:pt idx="1115">
                  <c:v>-6.3998264453845695E-3</c:v>
                </c:pt>
                <c:pt idx="1116">
                  <c:v>-3.1358131487889949E-3</c:v>
                </c:pt>
                <c:pt idx="1117">
                  <c:v>-1.6170212765957405E-2</c:v>
                </c:pt>
                <c:pt idx="1118">
                  <c:v>3.0701754385964879E-2</c:v>
                </c:pt>
                <c:pt idx="1119">
                  <c:v>0</c:v>
                </c:pt>
                <c:pt idx="1120">
                  <c:v>-1.0952902519166957E-3</c:v>
                </c:pt>
                <c:pt idx="1121">
                  <c:v>1.1513789133176598E-3</c:v>
                </c:pt>
                <c:pt idx="1122">
                  <c:v>-1.8060420315237113E-3</c:v>
                </c:pt>
                <c:pt idx="1123">
                  <c:v>1.0675369212898982E-2</c:v>
                </c:pt>
                <c:pt idx="1124">
                  <c:v>1.0677549194991037E-2</c:v>
                </c:pt>
                <c:pt idx="1125">
                  <c:v>-1.4977973568281932E-2</c:v>
                </c:pt>
                <c:pt idx="1126">
                  <c:v>1.5659955257270597E-2</c:v>
                </c:pt>
                <c:pt idx="1127">
                  <c:v>-8.8691796008868867E-3</c:v>
                </c:pt>
                <c:pt idx="1128">
                  <c:v>2.3335926214024666E-3</c:v>
                </c:pt>
                <c:pt idx="1129">
                  <c:v>1.5745809582933531E-2</c:v>
                </c:pt>
                <c:pt idx="1130">
                  <c:v>4.478458049886576E-3</c:v>
                </c:pt>
                <c:pt idx="1131">
                  <c:v>-6.6448924428427003E-3</c:v>
                </c:pt>
                <c:pt idx="1132">
                  <c:v>-7.9329608938546788E-3</c:v>
                </c:pt>
                <c:pt idx="1133">
                  <c:v>4.0385909804801371E-3</c:v>
                </c:pt>
                <c:pt idx="1134">
                  <c:v>3.3203894422871483E-3</c:v>
                </c:pt>
                <c:pt idx="1135">
                  <c:v>-1.2833333333333346E-2</c:v>
                </c:pt>
                <c:pt idx="1136">
                  <c:v>0</c:v>
                </c:pt>
                <c:pt idx="1137">
                  <c:v>4.4464206313924251E-4</c:v>
                </c:pt>
                <c:pt idx="1138">
                  <c:v>4.6046511627906905E-2</c:v>
                </c:pt>
                <c:pt idx="1139">
                  <c:v>1.4150943396226448E-2</c:v>
                </c:pt>
                <c:pt idx="1140">
                  <c:v>1.4354066985645968E-2</c:v>
                </c:pt>
                <c:pt idx="1141">
                  <c:v>1.5302404663589881E-2</c:v>
                </c:pt>
                <c:pt idx="1142">
                  <c:v>1.403940886699508E-2</c:v>
                </c:pt>
                <c:pt idx="1143">
                  <c:v>1.5000000000000036E-2</c:v>
                </c:pt>
                <c:pt idx="1144">
                  <c:v>-9.9009900990098664E-3</c:v>
                </c:pt>
                <c:pt idx="1145">
                  <c:v>9.9999999999999638E-3</c:v>
                </c:pt>
                <c:pt idx="1146">
                  <c:v>-2.9910269192422096E-3</c:v>
                </c:pt>
                <c:pt idx="1147">
                  <c:v>-4.9825610363734738E-4</c:v>
                </c:pt>
                <c:pt idx="1148">
                  <c:v>-1.4925373134328922E-3</c:v>
                </c:pt>
                <c:pt idx="1149">
                  <c:v>-4.9504950495048447E-3</c:v>
                </c:pt>
                <c:pt idx="1150">
                  <c:v>-9.7432440713279209E-3</c:v>
                </c:pt>
                <c:pt idx="1151">
                  <c:v>5.3597831444061397E-3</c:v>
                </c:pt>
                <c:pt idx="1152">
                  <c:v>-7.338551859099908E-3</c:v>
                </c:pt>
                <c:pt idx="1153">
                  <c:v>-2.6835813613076218E-3</c:v>
                </c:pt>
                <c:pt idx="1154">
                  <c:v>7.1253071253071041E-3</c:v>
                </c:pt>
                <c:pt idx="1155">
                  <c:v>-5.254796529390109E-3</c:v>
                </c:pt>
                <c:pt idx="1156">
                  <c:v>-2.073170731707338E-3</c:v>
                </c:pt>
                <c:pt idx="1157">
                  <c:v>2.5000000000000001E-2</c:v>
                </c:pt>
                <c:pt idx="1158">
                  <c:v>-9.9009900990098664E-3</c:v>
                </c:pt>
                <c:pt idx="1159">
                  <c:v>-4.8648315782991074E-3</c:v>
                </c:pt>
                <c:pt idx="1160">
                  <c:v>2.0037688442211044E-2</c:v>
                </c:pt>
                <c:pt idx="1161">
                  <c:v>1.5306122448979446E-2</c:v>
                </c:pt>
                <c:pt idx="1162">
                  <c:v>-1.9938746171635713E-2</c:v>
                </c:pt>
                <c:pt idx="1163">
                  <c:v>-1.2407407407407351E-2</c:v>
                </c:pt>
                <c:pt idx="1164">
                  <c:v>1.2500000000000001E-2</c:v>
                </c:pt>
                <c:pt idx="1165">
                  <c:v>5.0025012506260951E-4</c:v>
                </c:pt>
                <c:pt idx="1166">
                  <c:v>-5.0000000000007818E-4</c:v>
                </c:pt>
                <c:pt idx="1167">
                  <c:v>-1.0758006677383511E-2</c:v>
                </c:pt>
                <c:pt idx="1168">
                  <c:v>-1.6180048661800464E-2</c:v>
                </c:pt>
                <c:pt idx="1169">
                  <c:v>1.4063656550703189E-2</c:v>
                </c:pt>
                <c:pt idx="1170">
                  <c:v>-6.0085836909870623E-3</c:v>
                </c:pt>
                <c:pt idx="1171">
                  <c:v>2.9671717171717099E-2</c:v>
                </c:pt>
                <c:pt idx="1172">
                  <c:v>-3.9999999999999966E-2</c:v>
                </c:pt>
                <c:pt idx="1173">
                  <c:v>-3.1416143064282877E-3</c:v>
                </c:pt>
                <c:pt idx="1174">
                  <c:v>-1.470325614619917E-2</c:v>
                </c:pt>
                <c:pt idx="1175">
                  <c:v>-5.9523809523755388E-5</c:v>
                </c:pt>
                <c:pt idx="1176">
                  <c:v>1.9417475728155269E-2</c:v>
                </c:pt>
                <c:pt idx="1177">
                  <c:v>-2.3523137998459433E-2</c:v>
                </c:pt>
                <c:pt idx="1178">
                  <c:v>5.1816557474687582E-3</c:v>
                </c:pt>
                <c:pt idx="1179">
                  <c:v>3.8985148514851554E-2</c:v>
                </c:pt>
                <c:pt idx="1180">
                  <c:v>9.9999999999999638E-3</c:v>
                </c:pt>
                <c:pt idx="1181">
                  <c:v>-1.9607843137254832E-2</c:v>
                </c:pt>
                <c:pt idx="1182">
                  <c:v>1.9999999999999928E-2</c:v>
                </c:pt>
                <c:pt idx="1183">
                  <c:v>-6.7599067599067572E-2</c:v>
                </c:pt>
                <c:pt idx="1184">
                  <c:v>6.8759342301943152E-2</c:v>
                </c:pt>
                <c:pt idx="1185">
                  <c:v>-1.1330049261083764E-2</c:v>
                </c:pt>
                <c:pt idx="1186">
                  <c:v>2.473498233215558E-2</c:v>
                </c:pt>
                <c:pt idx="1187">
                  <c:v>4.2357274401473285E-2</c:v>
                </c:pt>
                <c:pt idx="1188">
                  <c:v>-3.6013187927973665E-2</c:v>
                </c:pt>
                <c:pt idx="1189">
                  <c:v>-2.0248038471272663E-3</c:v>
                </c:pt>
                <c:pt idx="1190">
                  <c:v>-4.5652173913043492E-2</c:v>
                </c:pt>
                <c:pt idx="1191">
                  <c:v>-3.6481061267236922E-2</c:v>
                </c:pt>
                <c:pt idx="1192">
                  <c:v>2.3035714285714312E-2</c:v>
                </c:pt>
                <c:pt idx="1193">
                  <c:v>-2.3255813953488372E-2</c:v>
                </c:pt>
                <c:pt idx="1194">
                  <c:v>-2.8985507246376812E-3</c:v>
                </c:pt>
                <c:pt idx="1195">
                  <c:v>-6.3364055299538844E-3</c:v>
                </c:pt>
                <c:pt idx="1196">
                  <c:v>-2.2988505747126762E-3</c:v>
                </c:pt>
                <c:pt idx="1197">
                  <c:v>-2.3507826386101518E-3</c:v>
                </c:pt>
                <c:pt idx="1198">
                  <c:v>4.665898617511534E-3</c:v>
                </c:pt>
                <c:pt idx="1199">
                  <c:v>-1.9873532068654078E-2</c:v>
                </c:pt>
                <c:pt idx="1200">
                  <c:v>-2.466960352422902E-2</c:v>
                </c:pt>
                <c:pt idx="1201">
                  <c:v>1.3336309357736657E-2</c:v>
                </c:pt>
                <c:pt idx="1202">
                  <c:v>-3.2552364500107969E-2</c:v>
                </c:pt>
                <c:pt idx="1203">
                  <c:v>2.4351967097787602E-3</c:v>
                </c:pt>
                <c:pt idx="1204">
                  <c:v>-5.4112554112658691E-5</c:v>
                </c:pt>
                <c:pt idx="1205">
                  <c:v>1.4047410008779643E-2</c:v>
                </c:pt>
                <c:pt idx="1206">
                  <c:v>-8.2176870748298832E-3</c:v>
                </c:pt>
                <c:pt idx="1207">
                  <c:v>-1.4163849991952285E-2</c:v>
                </c:pt>
                <c:pt idx="1208">
                  <c:v>-4.3269230769230893E-3</c:v>
                </c:pt>
                <c:pt idx="1209">
                  <c:v>-6.3694267515924472E-3</c:v>
                </c:pt>
                <c:pt idx="1210">
                  <c:v>-2.1186440677966401E-3</c:v>
                </c:pt>
                <c:pt idx="1211">
                  <c:v>-8.4033613445377853E-3</c:v>
                </c:pt>
                <c:pt idx="1212">
                  <c:v>1.4925373134328419E-2</c:v>
                </c:pt>
                <c:pt idx="1213">
                  <c:v>1.0775862068965518E-2</c:v>
                </c:pt>
                <c:pt idx="1214">
                  <c:v>5.3882213481280806E-5</c:v>
                </c:pt>
                <c:pt idx="1215">
                  <c:v>-9.1515934539183625E-4</c:v>
                </c:pt>
                <c:pt idx="1216">
                  <c:v>-7.639296970992077E-3</c:v>
                </c:pt>
                <c:pt idx="1217">
                  <c:v>-8.5275423728814279E-3</c:v>
                </c:pt>
                <c:pt idx="1218">
                  <c:v>-4.2194092827003322E-3</c:v>
                </c:pt>
                <c:pt idx="1219">
                  <c:v>4.2372881355931301E-3</c:v>
                </c:pt>
                <c:pt idx="1220">
                  <c:v>-4.1143580546471204E-3</c:v>
                </c:pt>
                <c:pt idx="1221">
                  <c:v>-4.3067226890755941E-3</c:v>
                </c:pt>
                <c:pt idx="1222">
                  <c:v>3.9358043561329811E-2</c:v>
                </c:pt>
                <c:pt idx="1223">
                  <c:v>-2.1995622230526958E-2</c:v>
                </c:pt>
                <c:pt idx="1224">
                  <c:v>-1.5608576834139158E-2</c:v>
                </c:pt>
                <c:pt idx="1225">
                  <c:v>-1.7199524817933021E-2</c:v>
                </c:pt>
                <c:pt idx="1226">
                  <c:v>6.1458333333333372E-2</c:v>
                </c:pt>
                <c:pt idx="1227">
                  <c:v>-1.0470352085932874E-2</c:v>
                </c:pt>
                <c:pt idx="1228">
                  <c:v>1.0581140350877229E-2</c:v>
                </c:pt>
                <c:pt idx="1229">
                  <c:v>-3.9318479685452098E-3</c:v>
                </c:pt>
                <c:pt idx="1230">
                  <c:v>-1.5267175572519145E-3</c:v>
                </c:pt>
                <c:pt idx="1231">
                  <c:v>1.0917030567686521E-3</c:v>
                </c:pt>
                <c:pt idx="1232">
                  <c:v>3.1531531531531501E-2</c:v>
                </c:pt>
                <c:pt idx="1233">
                  <c:v>9.0909090909090592E-3</c:v>
                </c:pt>
                <c:pt idx="1234">
                  <c:v>-4.524886877828118E-3</c:v>
                </c:pt>
                <c:pt idx="1235">
                  <c:v>2.0667359427317934E-2</c:v>
                </c:pt>
                <c:pt idx="1236">
                  <c:v>-1.5739530655150918E-2</c:v>
                </c:pt>
                <c:pt idx="1237">
                  <c:v>-5.6818181818130142E-5</c:v>
                </c:pt>
                <c:pt idx="1238">
                  <c:v>3.7735849056603807E-2</c:v>
                </c:pt>
                <c:pt idx="1239">
                  <c:v>8.3234244946492619E-3</c:v>
                </c:pt>
                <c:pt idx="1240">
                  <c:v>5.0191204588908639E-3</c:v>
                </c:pt>
                <c:pt idx="1241">
                  <c:v>2.0356843491797592E-3</c:v>
                </c:pt>
                <c:pt idx="1242">
                  <c:v>8.5748792270532361E-3</c:v>
                </c:pt>
                <c:pt idx="1243">
                  <c:v>-1.6743854649091519E-2</c:v>
                </c:pt>
                <c:pt idx="1244">
                  <c:v>-1.5720881304424207E-2</c:v>
                </c:pt>
                <c:pt idx="1245">
                  <c:v>6.2926370265821083E-3</c:v>
                </c:pt>
                <c:pt idx="1246">
                  <c:v>-6.0790273556232191E-3</c:v>
                </c:pt>
                <c:pt idx="1247">
                  <c:v>1.5807037058720814E-3</c:v>
                </c:pt>
                <c:pt idx="1248">
                  <c:v>-6.4357594196106499E-4</c:v>
                </c:pt>
                <c:pt idx="1249">
                  <c:v>3.2871566095326005E-3</c:v>
                </c:pt>
                <c:pt idx="1250">
                  <c:v>1.7925430210325045E-2</c:v>
                </c:pt>
                <c:pt idx="1251">
                  <c:v>-1.9566490919742094E-2</c:v>
                </c:pt>
                <c:pt idx="1252">
                  <c:v>6.5451972404032381E-3</c:v>
                </c:pt>
                <c:pt idx="1253">
                  <c:v>-6.6190253045922886E-3</c:v>
                </c:pt>
                <c:pt idx="1254">
                  <c:v>-2.8037383177569497E-3</c:v>
                </c:pt>
                <c:pt idx="1255">
                  <c:v>-9.2592592592593906E-3</c:v>
                </c:pt>
                <c:pt idx="1256">
                  <c:v>-1.5945330296127467E-2</c:v>
                </c:pt>
                <c:pt idx="1257">
                  <c:v>5.9107358262967327E-2</c:v>
                </c:pt>
                <c:pt idx="1258">
                  <c:v>2.5990099009901096E-2</c:v>
                </c:pt>
                <c:pt idx="1259">
                  <c:v>7.0418146694085837E-3</c:v>
                </c:pt>
                <c:pt idx="1260">
                  <c:v>-1.090976331360953E-2</c:v>
                </c:pt>
                <c:pt idx="1261">
                  <c:v>2.0377358490566096E-2</c:v>
                </c:pt>
                <c:pt idx="1262">
                  <c:v>-6.2500000000000003E-3</c:v>
                </c:pt>
                <c:pt idx="1263">
                  <c:v>0</c:v>
                </c:pt>
                <c:pt idx="1264">
                  <c:v>-2.4390243902439025E-2</c:v>
                </c:pt>
                <c:pt idx="1265">
                  <c:v>-1.4423076923076957E-2</c:v>
                </c:pt>
                <c:pt idx="1266">
                  <c:v>-1.4218009478673018E-2</c:v>
                </c:pt>
                <c:pt idx="1267">
                  <c:v>-1.8604651162790631E-2</c:v>
                </c:pt>
                <c:pt idx="1268">
                  <c:v>-1.3761467889908289E-2</c:v>
                </c:pt>
                <c:pt idx="1269">
                  <c:v>-2.6785714285714191E-2</c:v>
                </c:pt>
                <c:pt idx="1270">
                  <c:v>2.2364217252396096E-2</c:v>
                </c:pt>
                <c:pt idx="1271">
                  <c:v>-1.5280898876404488E-2</c:v>
                </c:pt>
                <c:pt idx="1272">
                  <c:v>-1.1111111111111112E-2</c:v>
                </c:pt>
                <c:pt idx="1273">
                  <c:v>3.5682426404994778E-3</c:v>
                </c:pt>
                <c:pt idx="1274">
                  <c:v>-3.5555555555554798E-3</c:v>
                </c:pt>
                <c:pt idx="1275">
                  <c:v>0</c:v>
                </c:pt>
                <c:pt idx="1276">
                  <c:v>8.9686098654708207E-3</c:v>
                </c:pt>
                <c:pt idx="1277">
                  <c:v>9.0497737556560764E-3</c:v>
                </c:pt>
                <c:pt idx="1278">
                  <c:v>-1.7777777777777715E-2</c:v>
                </c:pt>
                <c:pt idx="1279">
                  <c:v>5.1463286406916303E-2</c:v>
                </c:pt>
                <c:pt idx="1280">
                  <c:v>-3.167599977374283E-2</c:v>
                </c:pt>
                <c:pt idx="1281">
                  <c:v>-5.6561085972959989E-5</c:v>
                </c:pt>
                <c:pt idx="1282">
                  <c:v>-1.7777777777777715E-2</c:v>
                </c:pt>
                <c:pt idx="1283">
                  <c:v>1.8214730173096497E-2</c:v>
                </c:pt>
                <c:pt idx="1284">
                  <c:v>1.9270006801179065E-3</c:v>
                </c:pt>
                <c:pt idx="1285">
                  <c:v>-1.8469069870938992E-2</c:v>
                </c:pt>
                <c:pt idx="1286">
                  <c:v>2.8375286041189812E-2</c:v>
                </c:pt>
                <c:pt idx="1287">
                  <c:v>2.2935779816514088E-3</c:v>
                </c:pt>
                <c:pt idx="1288">
                  <c:v>-4.5093898053541418E-3</c:v>
                </c:pt>
                <c:pt idx="1289">
                  <c:v>4.0692342961944523E-3</c:v>
                </c:pt>
                <c:pt idx="1290">
                  <c:v>-8.523695874531197E-3</c:v>
                </c:pt>
                <c:pt idx="1291">
                  <c:v>-9.1774111818029597E-3</c:v>
                </c:pt>
                <c:pt idx="1292">
                  <c:v>-3.451837355946942E-2</c:v>
                </c:pt>
                <c:pt idx="1293">
                  <c:v>1.7425397516882032E-3</c:v>
                </c:pt>
                <c:pt idx="1294">
                  <c:v>4.9032961046022877E-4</c:v>
                </c:pt>
                <c:pt idx="1295">
                  <c:v>1.7010195035461112E-2</c:v>
                </c:pt>
                <c:pt idx="1296">
                  <c:v>-6.6596950850349931E-3</c:v>
                </c:pt>
                <c:pt idx="1297">
                  <c:v>-1.426866319444442E-2</c:v>
                </c:pt>
                <c:pt idx="1298">
                  <c:v>1.74431441819386E-2</c:v>
                </c:pt>
                <c:pt idx="1299">
                  <c:v>-1.0216904332623093E-2</c:v>
                </c:pt>
                <c:pt idx="1300">
                  <c:v>2.5195815303719559E-3</c:v>
                </c:pt>
                <c:pt idx="1301">
                  <c:v>-7.7178107505843571E-3</c:v>
                </c:pt>
                <c:pt idx="1302">
                  <c:v>2.3076067615658395E-2</c:v>
                </c:pt>
                <c:pt idx="1303">
                  <c:v>-2.7681660899654004E-2</c:v>
                </c:pt>
                <c:pt idx="1304">
                  <c:v>1.0489510489510577E-2</c:v>
                </c:pt>
                <c:pt idx="1305">
                  <c:v>-1.2249743672764612E-2</c:v>
                </c:pt>
                <c:pt idx="1306">
                  <c:v>7.1195652173913163E-3</c:v>
                </c:pt>
                <c:pt idx="1307">
                  <c:v>-8.6206896551723842E-3</c:v>
                </c:pt>
                <c:pt idx="1308">
                  <c:v>2.6208116775406284E-2</c:v>
                </c:pt>
                <c:pt idx="1309">
                  <c:v>9.6014290499052551E-3</c:v>
                </c:pt>
                <c:pt idx="1310">
                  <c:v>-4.7224845824769303E-3</c:v>
                </c:pt>
                <c:pt idx="1311">
                  <c:v>-9.7925950376849917E-3</c:v>
                </c:pt>
                <c:pt idx="1312">
                  <c:v>1.7977150537634452E-2</c:v>
                </c:pt>
                <c:pt idx="1313">
                  <c:v>-1.413427561837457E-2</c:v>
                </c:pt>
                <c:pt idx="1314">
                  <c:v>-1.7041137523065162E-2</c:v>
                </c:pt>
                <c:pt idx="1315">
                  <c:v>-2.9904180267452916E-2</c:v>
                </c:pt>
                <c:pt idx="1316">
                  <c:v>7.4990095647744642E-2</c:v>
                </c:pt>
                <c:pt idx="1317">
                  <c:v>7.8430175781249958E-2</c:v>
                </c:pt>
                <c:pt idx="1318">
                  <c:v>1.5054829316647091E-2</c:v>
                </c:pt>
                <c:pt idx="1319">
                  <c:v>4.3386636915825695E-4</c:v>
                </c:pt>
                <c:pt idx="1320">
                  <c:v>5.0390625000000064E-2</c:v>
                </c:pt>
                <c:pt idx="1321">
                  <c:v>-8.2644628099173625E-3</c:v>
                </c:pt>
                <c:pt idx="1322">
                  <c:v>8.4006462035538258E-4</c:v>
                </c:pt>
                <c:pt idx="1323">
                  <c:v>3.3715878882189603E-3</c:v>
                </c:pt>
                <c:pt idx="1324">
                  <c:v>6.1978079331940807E-3</c:v>
                </c:pt>
                <c:pt idx="1325">
                  <c:v>-3.427419354838708E-2</c:v>
                </c:pt>
                <c:pt idx="1326">
                  <c:v>5.9121847057253332E-2</c:v>
                </c:pt>
                <c:pt idx="1327">
                  <c:v>1.7932346148621211E-2</c:v>
                </c:pt>
                <c:pt idx="1328">
                  <c:v>-3.3482142857142821E-2</c:v>
                </c:pt>
                <c:pt idx="1329">
                  <c:v>-4.3793712007321774E-3</c:v>
                </c:pt>
                <c:pt idx="1330">
                  <c:v>-2.8264735772357653E-2</c:v>
                </c:pt>
                <c:pt idx="1331">
                  <c:v>-3.2288698955365049E-3</c:v>
                </c:pt>
                <c:pt idx="1332">
                  <c:v>7.7197907362509853E-3</c:v>
                </c:pt>
                <c:pt idx="1333">
                  <c:v>7.4559712045249808E-3</c:v>
                </c:pt>
                <c:pt idx="1334">
                  <c:v>2.0610588689940848E-3</c:v>
                </c:pt>
                <c:pt idx="1335">
                  <c:v>3.8659793814434457E-4</c:v>
                </c:pt>
                <c:pt idx="1336">
                  <c:v>-9.3827790898065935E-3</c:v>
                </c:pt>
                <c:pt idx="1337">
                  <c:v>7.3945473251027342E-3</c:v>
                </c:pt>
                <c:pt idx="1338">
                  <c:v>-8.1632653061224549E-3</c:v>
                </c:pt>
                <c:pt idx="1339">
                  <c:v>-4.0650406504064178E-3</c:v>
                </c:pt>
                <c:pt idx="1340">
                  <c:v>-1.4028056112224505E-2</c:v>
                </c:pt>
                <c:pt idx="1341">
                  <c:v>-1.9999999999999575E-3</c:v>
                </c:pt>
                <c:pt idx="1342">
                  <c:v>0</c:v>
                </c:pt>
                <c:pt idx="1343">
                  <c:v>-1.9607843137254832E-2</c:v>
                </c:pt>
                <c:pt idx="1344">
                  <c:v>1.5936254980079698E-2</c:v>
                </c:pt>
                <c:pt idx="1345">
                  <c:v>-9.8008999568514055E-3</c:v>
                </c:pt>
                <c:pt idx="1346">
                  <c:v>5.8903769841269138E-3</c:v>
                </c:pt>
                <c:pt idx="1347">
                  <c:v>-1.1764705882352865E-2</c:v>
                </c:pt>
                <c:pt idx="1348">
                  <c:v>-1.9407558733401539E-2</c:v>
                </c:pt>
                <c:pt idx="1349">
                  <c:v>1.979166666666678E-2</c:v>
                </c:pt>
                <c:pt idx="1350">
                  <c:v>3.9370078740156638E-3</c:v>
                </c:pt>
                <c:pt idx="1351">
                  <c:v>-7.8125000000000069E-3</c:v>
                </c:pt>
                <c:pt idx="1352">
                  <c:v>2.7725504955463658E-2</c:v>
                </c:pt>
                <c:pt idx="1353">
                  <c:v>1.2576219512195057E-2</c:v>
                </c:pt>
                <c:pt idx="1354">
                  <c:v>-1.6798850933616424E-2</c:v>
                </c:pt>
                <c:pt idx="1355">
                  <c:v>2.8181362725450188E-3</c:v>
                </c:pt>
                <c:pt idx="1356">
                  <c:v>-1.9999999999999575E-3</c:v>
                </c:pt>
                <c:pt idx="1357">
                  <c:v>2.047324446712168E-2</c:v>
                </c:pt>
                <c:pt idx="1358">
                  <c:v>-6.3775510204204885E-5</c:v>
                </c:pt>
                <c:pt idx="1359">
                  <c:v>-1.6064257028112462E-2</c:v>
                </c:pt>
                <c:pt idx="1360">
                  <c:v>-3.2524393294970093E-3</c:v>
                </c:pt>
                <c:pt idx="1361">
                  <c:v>1.1770661941526294E-2</c:v>
                </c:pt>
                <c:pt idx="1362">
                  <c:v>7.780612244897951E-3</c:v>
                </c:pt>
                <c:pt idx="1363">
                  <c:v>-8.0344151325361032E-3</c:v>
                </c:pt>
                <c:pt idx="1364">
                  <c:v>-8.0948795180724176E-3</c:v>
                </c:pt>
                <c:pt idx="1365">
                  <c:v>-3.8132149778082468E-3</c:v>
                </c:pt>
                <c:pt idx="1366">
                  <c:v>2.1927076807417259E-3</c:v>
                </c:pt>
                <c:pt idx="1367">
                  <c:v>-2.0007502813554658E-3</c:v>
                </c:pt>
                <c:pt idx="1368">
                  <c:v>-4.3575697211154672E-3</c:v>
                </c:pt>
                <c:pt idx="1369">
                  <c:v>-1.988071570576675E-3</c:v>
                </c:pt>
                <c:pt idx="1370">
                  <c:v>1.0040160642570245E-2</c:v>
                </c:pt>
                <c:pt idx="1371">
                  <c:v>1.632653061224491E-2</c:v>
                </c:pt>
                <c:pt idx="1372">
                  <c:v>8.2304526748971252E-3</c:v>
                </c:pt>
                <c:pt idx="1373">
                  <c:v>3.7433845359494808E-3</c:v>
                </c:pt>
                <c:pt idx="1374">
                  <c:v>4.538381742738515E-3</c:v>
                </c:pt>
                <c:pt idx="1375">
                  <c:v>-4.1322314049585893E-3</c:v>
                </c:pt>
                <c:pt idx="1376">
                  <c:v>-3.585657370517923E-2</c:v>
                </c:pt>
                <c:pt idx="1377">
                  <c:v>3.9999999999999151E-3</c:v>
                </c:pt>
                <c:pt idx="1378">
                  <c:v>2.0408163265306048E-2</c:v>
                </c:pt>
                <c:pt idx="1379">
                  <c:v>0</c:v>
                </c:pt>
                <c:pt idx="1380">
                  <c:v>3.827995406405657E-4</c:v>
                </c:pt>
                <c:pt idx="1381">
                  <c:v>3.7141393442623751E-3</c:v>
                </c:pt>
                <c:pt idx="1382">
                  <c:v>1.6666666666666684E-2</c:v>
                </c:pt>
                <c:pt idx="1383">
                  <c:v>1.5000330403753264E-2</c:v>
                </c:pt>
                <c:pt idx="1384">
                  <c:v>-2.3110193015299103E-2</c:v>
                </c:pt>
                <c:pt idx="1385">
                  <c:v>-2.0053137651821963E-2</c:v>
                </c:pt>
                <c:pt idx="1386">
                  <c:v>1.2295081967213217E-2</c:v>
                </c:pt>
                <c:pt idx="1387">
                  <c:v>-2.3389618511569787E-2</c:v>
                </c:pt>
                <c:pt idx="1388">
                  <c:v>-6.2499999999996445E-4</c:v>
                </c:pt>
                <c:pt idx="1389">
                  <c:v>-7.936507936507943E-3</c:v>
                </c:pt>
                <c:pt idx="1390">
                  <c:v>-3.9525691699603908E-3</c:v>
                </c:pt>
                <c:pt idx="1391">
                  <c:v>-3.937007874015839E-3</c:v>
                </c:pt>
                <c:pt idx="1392">
                  <c:v>0</c:v>
                </c:pt>
                <c:pt idx="1393">
                  <c:v>7.936507936507943E-3</c:v>
                </c:pt>
                <c:pt idx="1394">
                  <c:v>0</c:v>
                </c:pt>
                <c:pt idx="1395">
                  <c:v>8.0000000000000071E-3</c:v>
                </c:pt>
                <c:pt idx="1396">
                  <c:v>-2.3437500000000021E-2</c:v>
                </c:pt>
                <c:pt idx="1397">
                  <c:v>3.6634509708146463E-4</c:v>
                </c:pt>
                <c:pt idx="1398">
                  <c:v>-4.2558365758754175E-3</c:v>
                </c:pt>
                <c:pt idx="1399">
                  <c:v>-1.9083969465648956E-2</c:v>
                </c:pt>
                <c:pt idx="1400">
                  <c:v>1.5503875968992262E-2</c:v>
                </c:pt>
                <c:pt idx="1401">
                  <c:v>5.113221329437566E-3</c:v>
                </c:pt>
                <c:pt idx="1402">
                  <c:v>8.7658898305084818E-2</c:v>
                </c:pt>
                <c:pt idx="1403">
                  <c:v>2.6505369036292008E-2</c:v>
                </c:pt>
                <c:pt idx="1404">
                  <c:v>1.7284292035398233E-2</c:v>
                </c:pt>
                <c:pt idx="1405">
                  <c:v>-1.7391304347826105E-2</c:v>
                </c:pt>
                <c:pt idx="1406">
                  <c:v>-1.5252876639015261E-2</c:v>
                </c:pt>
                <c:pt idx="1407">
                  <c:v>6.1647727272727111E-2</c:v>
                </c:pt>
                <c:pt idx="1408">
                  <c:v>4.2631803325282272E-4</c:v>
                </c:pt>
                <c:pt idx="1409">
                  <c:v>2.7599299065420569E-2</c:v>
                </c:pt>
                <c:pt idx="1410">
                  <c:v>3.381642512077309E-2</c:v>
                </c:pt>
                <c:pt idx="1411">
                  <c:v>2.2222222222222188E-2</c:v>
                </c:pt>
                <c:pt idx="1412">
                  <c:v>1.2499999999999956E-2</c:v>
                </c:pt>
                <c:pt idx="1413">
                  <c:v>5.0251256281407079E-3</c:v>
                </c:pt>
                <c:pt idx="1414">
                  <c:v>-2.9268292682926751E-2</c:v>
                </c:pt>
                <c:pt idx="1415">
                  <c:v>-9.2131098021446828E-3</c:v>
                </c:pt>
                <c:pt idx="1416">
                  <c:v>9.2987804878048707E-3</c:v>
                </c:pt>
                <c:pt idx="1417">
                  <c:v>1.5087040618955425E-2</c:v>
                </c:pt>
                <c:pt idx="1418">
                  <c:v>9.8445191030549668E-3</c:v>
                </c:pt>
                <c:pt idx="1419">
                  <c:v>-3.389190821256035E-2</c:v>
                </c:pt>
                <c:pt idx="1420">
                  <c:v>9.7560975609756184E-3</c:v>
                </c:pt>
                <c:pt idx="1421">
                  <c:v>1.4851485148514755E-2</c:v>
                </c:pt>
                <c:pt idx="1422">
                  <c:v>1.53145370297652E-2</c:v>
                </c:pt>
                <c:pt idx="1423">
                  <c:v>1.5552719732014698E-2</c:v>
                </c:pt>
                <c:pt idx="1424">
                  <c:v>-2.3921537357468413E-4</c:v>
                </c:pt>
                <c:pt idx="1425">
                  <c:v>-2.391581632653152E-4</c:v>
                </c:pt>
                <c:pt idx="1426">
                  <c:v>4.7854522252354661E-4</c:v>
                </c:pt>
                <c:pt idx="1427">
                  <c:v>-2.0468750000000036E-2</c:v>
                </c:pt>
                <c:pt idx="1428">
                  <c:v>-4.0767386091127081E-2</c:v>
                </c:pt>
                <c:pt idx="1429">
                  <c:v>-2.5273922571219926E-2</c:v>
                </c:pt>
                <c:pt idx="1430">
                  <c:v>-3.421516754850084E-2</c:v>
                </c:pt>
                <c:pt idx="1431">
                  <c:v>6.997282608695661E-2</c:v>
                </c:pt>
                <c:pt idx="1432">
                  <c:v>-4.1389290882778575E-2</c:v>
                </c:pt>
                <c:pt idx="1433">
                  <c:v>-9.6495815899581713E-2</c:v>
                </c:pt>
                <c:pt idx="1434">
                  <c:v>5.2573630608312792E-2</c:v>
                </c:pt>
                <c:pt idx="1435">
                  <c:v>-7.2859512568585014E-2</c:v>
                </c:pt>
                <c:pt idx="1436">
                  <c:v>-3.8265306122450425E-4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2.6178010471204185E-2</c:v>
                </c:pt>
                <c:pt idx="1441">
                  <c:v>1.0482180293502688E-3</c:v>
                </c:pt>
                <c:pt idx="1442">
                  <c:v>-3.7854066048819508E-3</c:v>
                </c:pt>
                <c:pt idx="1443">
                  <c:v>4.5442139737991244E-2</c:v>
                </c:pt>
                <c:pt idx="1444">
                  <c:v>3.2039997183297031E-2</c:v>
                </c:pt>
                <c:pt idx="1445">
                  <c:v>-8.3037386194873206E-2</c:v>
                </c:pt>
                <c:pt idx="1446">
                  <c:v>2.9173312068049011E-2</c:v>
                </c:pt>
                <c:pt idx="1447">
                  <c:v>-3.2407407407407537E-2</c:v>
                </c:pt>
                <c:pt idx="1448">
                  <c:v>-8.2265161660607863E-3</c:v>
                </c:pt>
                <c:pt idx="1449">
                  <c:v>-2.7715773809523801E-2</c:v>
                </c:pt>
                <c:pt idx="1450">
                  <c:v>-1.1764705882352865E-2</c:v>
                </c:pt>
                <c:pt idx="1451">
                  <c:v>4.0816326530612096E-2</c:v>
                </c:pt>
                <c:pt idx="1452">
                  <c:v>6.3779577779318367E-5</c:v>
                </c:pt>
                <c:pt idx="1453">
                  <c:v>-1.2097536387121265E-2</c:v>
                </c:pt>
                <c:pt idx="1454">
                  <c:v>4.1951155462184975E-2</c:v>
                </c:pt>
                <c:pt idx="1455">
                  <c:v>-3.2520325203252064E-2</c:v>
                </c:pt>
                <c:pt idx="1456">
                  <c:v>3.3613445378151294E-2</c:v>
                </c:pt>
                <c:pt idx="1457">
                  <c:v>4.8458149779735629E-2</c:v>
                </c:pt>
                <c:pt idx="1458">
                  <c:v>-8.467741935483869E-2</c:v>
                </c:pt>
                <c:pt idx="1459">
                  <c:v>4.6413502109704588E-2</c:v>
                </c:pt>
                <c:pt idx="1460">
                  <c:v>-3.1545741324920462E-3</c:v>
                </c:pt>
                <c:pt idx="1461">
                  <c:v>2.8177579566186817E-2</c:v>
                </c:pt>
                <c:pt idx="1462">
                  <c:v>-6.0022865853658465E-2</c:v>
                </c:pt>
                <c:pt idx="1463">
                  <c:v>-1.6000000000000014E-2</c:v>
                </c:pt>
                <c:pt idx="1464">
                  <c:v>-8.9197224975222852E-3</c:v>
                </c:pt>
                <c:pt idx="1465">
                  <c:v>-2.9807692307692354E-2</c:v>
                </c:pt>
                <c:pt idx="1466">
                  <c:v>-1.3458232050749879E-2</c:v>
                </c:pt>
                <c:pt idx="1467">
                  <c:v>-1.2933052434456976E-2</c:v>
                </c:pt>
                <c:pt idx="1468">
                  <c:v>9.4517958412097969E-3</c:v>
                </c:pt>
                <c:pt idx="1469">
                  <c:v>1.8103085343116561E-2</c:v>
                </c:pt>
                <c:pt idx="1470">
                  <c:v>3.0767374517375683E-3</c:v>
                </c:pt>
                <c:pt idx="1471">
                  <c:v>4.4354838709677366E-2</c:v>
                </c:pt>
                <c:pt idx="1472">
                  <c:v>2.0444901633020488E-2</c:v>
                </c:pt>
                <c:pt idx="1473">
                  <c:v>5.2083333333333252E-2</c:v>
                </c:pt>
                <c:pt idx="1474">
                  <c:v>-5.7834566240752205E-3</c:v>
                </c:pt>
                <c:pt idx="1475">
                  <c:v>1.2391067538126315E-2</c:v>
                </c:pt>
                <c:pt idx="1476">
                  <c:v>-2.1321961620469194E-2</c:v>
                </c:pt>
                <c:pt idx="1477">
                  <c:v>-1.0483286081624415E-2</c:v>
                </c:pt>
                <c:pt idx="1478">
                  <c:v>-1.0697280020872838E-2</c:v>
                </c:pt>
                <c:pt idx="1479">
                  <c:v>4.9996575577015354E-2</c:v>
                </c:pt>
                <c:pt idx="1480">
                  <c:v>4.6591642176188088E-2</c:v>
                </c:pt>
                <c:pt idx="1481">
                  <c:v>1.3880813953488348E-2</c:v>
                </c:pt>
                <c:pt idx="1482">
                  <c:v>-3.5671735931039339E-2</c:v>
                </c:pt>
                <c:pt idx="1483">
                  <c:v>-2.1020179372198107E-4</c:v>
                </c:pt>
                <c:pt idx="1484">
                  <c:v>4.9288832558793735E-3</c:v>
                </c:pt>
                <c:pt idx="1485">
                  <c:v>-9.3470982142857366E-3</c:v>
                </c:pt>
                <c:pt idx="1486">
                  <c:v>0</c:v>
                </c:pt>
                <c:pt idx="1487">
                  <c:v>-4.4444444444443499E-3</c:v>
                </c:pt>
                <c:pt idx="1488">
                  <c:v>0</c:v>
                </c:pt>
                <c:pt idx="1489">
                  <c:v>1.3513513513513424E-2</c:v>
                </c:pt>
                <c:pt idx="1490">
                  <c:v>9.0909090909090974E-3</c:v>
                </c:pt>
                <c:pt idx="1491">
                  <c:v>-1.345291479820619E-2</c:v>
                </c:pt>
                <c:pt idx="1492">
                  <c:v>1.370835996874783E-2</c:v>
                </c:pt>
                <c:pt idx="1493">
                  <c:v>-3.4759358288770199E-2</c:v>
                </c:pt>
                <c:pt idx="1494">
                  <c:v>-4.1118421052613666E-4</c:v>
                </c:pt>
                <c:pt idx="1495">
                  <c:v>-2.1459227467811273E-2</c:v>
                </c:pt>
                <c:pt idx="1496">
                  <c:v>-1.4734060125536769E-2</c:v>
                </c:pt>
                <c:pt idx="1497">
                  <c:v>1.9741274760813953E-2</c:v>
                </c:pt>
                <c:pt idx="1498">
                  <c:v>-1.3099275217767133E-2</c:v>
                </c:pt>
                <c:pt idx="1499">
                  <c:v>-6.6489361702256166E-5</c:v>
                </c:pt>
                <c:pt idx="1500">
                  <c:v>-2.0833333333333259E-2</c:v>
                </c:pt>
                <c:pt idx="1501">
                  <c:v>1.553719008264459E-2</c:v>
                </c:pt>
                <c:pt idx="1502">
                  <c:v>3.249368557580716E-2</c:v>
                </c:pt>
                <c:pt idx="1503">
                  <c:v>-4.0941658137156104E-4</c:v>
                </c:pt>
                <c:pt idx="1504">
                  <c:v>-4.4157608695650635E-3</c:v>
                </c:pt>
                <c:pt idx="1505">
                  <c:v>-5.3497942386831414E-2</c:v>
                </c:pt>
                <c:pt idx="1506">
                  <c:v>2.5586916380902297E-2</c:v>
                </c:pt>
                <c:pt idx="1507">
                  <c:v>4.999307575128098E-2</c:v>
                </c:pt>
                <c:pt idx="1508">
                  <c:v>4.9563953488372045E-2</c:v>
                </c:pt>
                <c:pt idx="1509">
                  <c:v>2.3809523809523725E-2</c:v>
                </c:pt>
                <c:pt idx="1510">
                  <c:v>-1.7328361482781343E-2</c:v>
                </c:pt>
                <c:pt idx="1511">
                  <c:v>-1.4620951823950443E-4</c:v>
                </c:pt>
                <c:pt idx="1512">
                  <c:v>4.2606707317073202E-2</c:v>
                </c:pt>
                <c:pt idx="1513">
                  <c:v>-7.0385226670703618E-3</c:v>
                </c:pt>
                <c:pt idx="1514">
                  <c:v>5.3332270408163247E-2</c:v>
                </c:pt>
                <c:pt idx="1515">
                  <c:v>1.3656565656565638E-2</c:v>
                </c:pt>
                <c:pt idx="1516">
                  <c:v>4.0090771558245052E-2</c:v>
                </c:pt>
                <c:pt idx="1517">
                  <c:v>4.4417134831460696E-2</c:v>
                </c:pt>
                <c:pt idx="1518">
                  <c:v>1.7142857142857158E-2</c:v>
                </c:pt>
                <c:pt idx="1519">
                  <c:v>9.3727469358327892E-3</c:v>
                </c:pt>
                <c:pt idx="1520">
                  <c:v>4.9962149886449529E-2</c:v>
                </c:pt>
                <c:pt idx="1521">
                  <c:v>5.0079491255961908E-2</c:v>
                </c:pt>
                <c:pt idx="1522">
                  <c:v>-2.1812413246083567E-3</c:v>
                </c:pt>
                <c:pt idx="1523">
                  <c:v>1.3464630225080421E-2</c:v>
                </c:pt>
                <c:pt idx="1524">
                  <c:v>1.9672131147541003E-2</c:v>
                </c:pt>
                <c:pt idx="1525">
                  <c:v>-6.5146579804560324E-3</c:v>
                </c:pt>
                <c:pt idx="1526">
                  <c:v>2.3333333333333279E-2</c:v>
                </c:pt>
                <c:pt idx="1527">
                  <c:v>-1.3157894736842117E-2</c:v>
                </c:pt>
                <c:pt idx="1528">
                  <c:v>-6.5359477124183061E-3</c:v>
                </c:pt>
                <c:pt idx="1529">
                  <c:v>2.0000000000000018E-2</c:v>
                </c:pt>
                <c:pt idx="1530">
                  <c:v>-1.7701831576793246E-2</c:v>
                </c:pt>
                <c:pt idx="1531">
                  <c:v>3.0798438983229634E-2</c:v>
                </c:pt>
                <c:pt idx="1532">
                  <c:v>-9.0928093645485427E-3</c:v>
                </c:pt>
                <c:pt idx="1533">
                  <c:v>6.2748379000211534E-4</c:v>
                </c:pt>
                <c:pt idx="1534">
                  <c:v>9.50168918918925E-3</c:v>
                </c:pt>
                <c:pt idx="1535">
                  <c:v>3.4965034965034995E-2</c:v>
                </c:pt>
                <c:pt idx="1536">
                  <c:v>-3.3783783783783813E-2</c:v>
                </c:pt>
                <c:pt idx="1537">
                  <c:v>-6.7114093959731603E-3</c:v>
                </c:pt>
                <c:pt idx="1538">
                  <c:v>-3.4486362211307168E-3</c:v>
                </c:pt>
                <c:pt idx="1539">
                  <c:v>2.0944601528956209E-3</c:v>
                </c:pt>
                <c:pt idx="1540">
                  <c:v>-2.1618852459016388E-2</c:v>
                </c:pt>
                <c:pt idx="1541">
                  <c:v>-2.3120808727855092E-2</c:v>
                </c:pt>
                <c:pt idx="1542">
                  <c:v>-5.5738031253110606E-3</c:v>
                </c:pt>
                <c:pt idx="1543">
                  <c:v>3.2473538176960193E-2</c:v>
                </c:pt>
                <c:pt idx="1544">
                  <c:v>6.8287635799275381E-3</c:v>
                </c:pt>
                <c:pt idx="1545">
                  <c:v>-6.5190057065480173E-2</c:v>
                </c:pt>
                <c:pt idx="1546">
                  <c:v>4.7836221749265218E-2</c:v>
                </c:pt>
                <c:pt idx="1547">
                  <c:v>2.7439024390243497E-3</c:v>
                </c:pt>
                <c:pt idx="1548">
                  <c:v>-2.7363940407418266E-3</c:v>
                </c:pt>
                <c:pt idx="1549">
                  <c:v>5.5029043106084403E-3</c:v>
                </c:pt>
                <c:pt idx="1550">
                  <c:v>-1.6043316955780693E-2</c:v>
                </c:pt>
                <c:pt idx="1551">
                  <c:v>-6.7722338412507981E-3</c:v>
                </c:pt>
                <c:pt idx="1552">
                  <c:v>1.2197580645161228E-2</c:v>
                </c:pt>
                <c:pt idx="1553">
                  <c:v>3.3333333333333361E-2</c:v>
                </c:pt>
                <c:pt idx="1554">
                  <c:v>8.4033613445377853E-3</c:v>
                </c:pt>
                <c:pt idx="1555">
                  <c:v>2.5862068965517303E-2</c:v>
                </c:pt>
                <c:pt idx="1556">
                  <c:v>2.2927689594356242E-2</c:v>
                </c:pt>
                <c:pt idx="1557">
                  <c:v>-3.0769230769230722E-2</c:v>
                </c:pt>
                <c:pt idx="1558">
                  <c:v>3.3226625455348172E-2</c:v>
                </c:pt>
                <c:pt idx="1559">
                  <c:v>4.0905434907503188E-2</c:v>
                </c:pt>
                <c:pt idx="1560">
                  <c:v>5.2739808878674237E-2</c:v>
                </c:pt>
                <c:pt idx="1561">
                  <c:v>0</c:v>
                </c:pt>
                <c:pt idx="1562">
                  <c:v>1.9736030590847522E-2</c:v>
                </c:pt>
                <c:pt idx="1563">
                  <c:v>-1.2906367953244884E-2</c:v>
                </c:pt>
                <c:pt idx="1564">
                  <c:v>-6.892382103990416E-3</c:v>
                </c:pt>
                <c:pt idx="1565">
                  <c:v>4.8602673147023776E-3</c:v>
                </c:pt>
                <c:pt idx="1566">
                  <c:v>-9.0307043949428064E-3</c:v>
                </c:pt>
                <c:pt idx="1567">
                  <c:v>-8.1213424101278728E-3</c:v>
                </c:pt>
                <c:pt idx="1568">
                  <c:v>-6.4079743681024334E-3</c:v>
                </c:pt>
                <c:pt idx="1569">
                  <c:v>1.9600725952812949E-2</c:v>
                </c:pt>
                <c:pt idx="1570">
                  <c:v>7.5582104108253634E-3</c:v>
                </c:pt>
                <c:pt idx="1571">
                  <c:v>3.3774417139256545E-2</c:v>
                </c:pt>
                <c:pt idx="1572">
                  <c:v>2.255154639175258E-2</c:v>
                </c:pt>
                <c:pt idx="1573">
                  <c:v>-1.8715225088518007E-2</c:v>
                </c:pt>
                <c:pt idx="1574">
                  <c:v>-3.0882352941176423E-2</c:v>
                </c:pt>
                <c:pt idx="1575">
                  <c:v>0</c:v>
                </c:pt>
                <c:pt idx="1576">
                  <c:v>-6.4531839766224421E-3</c:v>
                </c:pt>
                <c:pt idx="1577">
                  <c:v>3.3471750346042488E-2</c:v>
                </c:pt>
                <c:pt idx="1578">
                  <c:v>-6.6250000000000146E-3</c:v>
                </c:pt>
                <c:pt idx="1579">
                  <c:v>2.0408163265306048E-2</c:v>
                </c:pt>
                <c:pt idx="1580">
                  <c:v>2.0449897750512628E-3</c:v>
                </c:pt>
                <c:pt idx="1581">
                  <c:v>3.246239113222478E-2</c:v>
                </c:pt>
                <c:pt idx="1582">
                  <c:v>1.8822264049475745E-2</c:v>
                </c:pt>
                <c:pt idx="1583">
                  <c:v>-3.8837551895005524E-3</c:v>
                </c:pt>
                <c:pt idx="1584">
                  <c:v>2.4982841455044716E-2</c:v>
                </c:pt>
                <c:pt idx="1585">
                  <c:v>-6.6812107990183948E-3</c:v>
                </c:pt>
                <c:pt idx="1586">
                  <c:v>-1.7811704834605573E-2</c:v>
                </c:pt>
                <c:pt idx="1587">
                  <c:v>-4.7576530612244948E-2</c:v>
                </c:pt>
                <c:pt idx="1588">
                  <c:v>-4.238426774154145E-2</c:v>
                </c:pt>
                <c:pt idx="1589">
                  <c:v>-5.0011603620329567E-2</c:v>
                </c:pt>
                <c:pt idx="1590">
                  <c:v>-4.9939367214198956E-2</c:v>
                </c:pt>
                <c:pt idx="1591">
                  <c:v>0</c:v>
                </c:pt>
                <c:pt idx="1592">
                  <c:v>-2.7655697288026717E-2</c:v>
                </c:pt>
                <c:pt idx="1593">
                  <c:v>-3.6956746154640223E-2</c:v>
                </c:pt>
                <c:pt idx="1594">
                  <c:v>3.6708047945205553E-2</c:v>
                </c:pt>
                <c:pt idx="1595">
                  <c:v>-4.9923741738688326E-2</c:v>
                </c:pt>
                <c:pt idx="1596">
                  <c:v>3.0166544464229554E-2</c:v>
                </c:pt>
                <c:pt idx="1597">
                  <c:v>-2.7998371003868865E-2</c:v>
                </c:pt>
                <c:pt idx="1598">
                  <c:v>3.9255105279864498E-2</c:v>
                </c:pt>
                <c:pt idx="1599">
                  <c:v>4.8480142001331314E-2</c:v>
                </c:pt>
                <c:pt idx="1600">
                  <c:v>4.5707656612528971E-2</c:v>
                </c:pt>
                <c:pt idx="1601">
                  <c:v>4.3078412391093931E-2</c:v>
                </c:pt>
                <c:pt idx="1602">
                  <c:v>2.6201415621507504E-2</c:v>
                </c:pt>
                <c:pt idx="1603">
                  <c:v>0</c:v>
                </c:pt>
                <c:pt idx="1604">
                  <c:v>2.3773201118738936E-2</c:v>
                </c:pt>
                <c:pt idx="1605">
                  <c:v>-3.4207525655645535E-3</c:v>
                </c:pt>
                <c:pt idx="1606">
                  <c:v>-3.3904528763769842E-2</c:v>
                </c:pt>
                <c:pt idx="1607">
                  <c:v>-1.1733397846860999E-2</c:v>
                </c:pt>
                <c:pt idx="1608">
                  <c:v>0</c:v>
                </c:pt>
                <c:pt idx="1609">
                  <c:v>1.4480304331819939E-2</c:v>
                </c:pt>
                <c:pt idx="1610">
                  <c:v>-7.7925240472421844E-3</c:v>
                </c:pt>
                <c:pt idx="1611">
                  <c:v>0</c:v>
                </c:pt>
                <c:pt idx="1612">
                  <c:v>-6.5319946776340419E-3</c:v>
                </c:pt>
                <c:pt idx="1613">
                  <c:v>0</c:v>
                </c:pt>
                <c:pt idx="1614">
                  <c:v>7.5563680682511217E-3</c:v>
                </c:pt>
                <c:pt idx="1615">
                  <c:v>-4.4485850704553478E-2</c:v>
                </c:pt>
                <c:pt idx="1616">
                  <c:v>4.9627184940716322E-2</c:v>
                </c:pt>
                <c:pt idx="1617">
                  <c:v>-4.4610533691463193E-2</c:v>
                </c:pt>
                <c:pt idx="1618">
                  <c:v>-4.9927881948296907E-2</c:v>
                </c:pt>
                <c:pt idx="1619">
                  <c:v>2.4204545454545402E-2</c:v>
                </c:pt>
                <c:pt idx="1620">
                  <c:v>-1.2013023464690617E-2</c:v>
                </c:pt>
                <c:pt idx="1621">
                  <c:v>0</c:v>
                </c:pt>
                <c:pt idx="1622">
                  <c:v>2.4617508340043556E-2</c:v>
                </c:pt>
                <c:pt idx="1623">
                  <c:v>-4.1459918403351982E-2</c:v>
                </c:pt>
                <c:pt idx="1624">
                  <c:v>0</c:v>
                </c:pt>
                <c:pt idx="1625">
                  <c:v>-5.0068084214936644E-2</c:v>
                </c:pt>
                <c:pt idx="1626">
                  <c:v>0</c:v>
                </c:pt>
                <c:pt idx="1627">
                  <c:v>2.7000860585197992E-2</c:v>
                </c:pt>
                <c:pt idx="1628">
                  <c:v>0</c:v>
                </c:pt>
                <c:pt idx="1629">
                  <c:v>0</c:v>
                </c:pt>
                <c:pt idx="1630">
                  <c:v>-4.6043473605311795E-3</c:v>
                </c:pt>
                <c:pt idx="1631">
                  <c:v>-3.4329438527556544E-2</c:v>
                </c:pt>
                <c:pt idx="1632">
                  <c:v>4.5704788615352418E-3</c:v>
                </c:pt>
                <c:pt idx="1633">
                  <c:v>5.8510082541009542E-3</c:v>
                </c:pt>
                <c:pt idx="1634">
                  <c:v>-5.1969649724560862E-3</c:v>
                </c:pt>
                <c:pt idx="1635">
                  <c:v>2.7097446586762989E-3</c:v>
                </c:pt>
                <c:pt idx="1636">
                  <c:v>-1.5796491947892011E-2</c:v>
                </c:pt>
                <c:pt idx="1637">
                  <c:v>-1.1270491803278631E-3</c:v>
                </c:pt>
                <c:pt idx="1638">
                  <c:v>1.6666666666666607E-2</c:v>
                </c:pt>
                <c:pt idx="1639">
                  <c:v>-5.2056220718372885E-4</c:v>
                </c:pt>
                <c:pt idx="1640">
                  <c:v>-1.98979591836735E-2</c:v>
                </c:pt>
                <c:pt idx="1641">
                  <c:v>2.0833333333333332E-2</c:v>
                </c:pt>
                <c:pt idx="1642">
                  <c:v>-1.0415581710243845E-4</c:v>
                </c:pt>
                <c:pt idx="1643">
                  <c:v>-2.7007375090889259E-3</c:v>
                </c:pt>
                <c:pt idx="1644">
                  <c:v>-4.8715415019762912E-2</c:v>
                </c:pt>
                <c:pt idx="1645">
                  <c:v>1.2862372613041424E-3</c:v>
                </c:pt>
                <c:pt idx="1646">
                  <c:v>2.4796667327911131E-3</c:v>
                </c:pt>
                <c:pt idx="1647">
                  <c:v>0</c:v>
                </c:pt>
                <c:pt idx="1648">
                  <c:v>-8.8478175383405987E-3</c:v>
                </c:pt>
                <c:pt idx="1649">
                  <c:v>2.1798091411351098E-2</c:v>
                </c:pt>
                <c:pt idx="1650">
                  <c:v>4.8667439165700939E-2</c:v>
                </c:pt>
                <c:pt idx="1651">
                  <c:v>-1.3714285714285644E-2</c:v>
                </c:pt>
                <c:pt idx="1652">
                  <c:v>-2.9737903225806481E-2</c:v>
                </c:pt>
                <c:pt idx="1653">
                  <c:v>-5.3143487416023377E-3</c:v>
                </c:pt>
                <c:pt idx="1654">
                  <c:v>-1.4018223690798093E-3</c:v>
                </c:pt>
                <c:pt idx="1655">
                  <c:v>1.4037902336308087E-3</c:v>
                </c:pt>
                <c:pt idx="1656">
                  <c:v>1.0742880308097722E-2</c:v>
                </c:pt>
                <c:pt idx="1657">
                  <c:v>-2.9698102074933584E-2</c:v>
                </c:pt>
                <c:pt idx="1658">
                  <c:v>8.8293650793650844E-3</c:v>
                </c:pt>
                <c:pt idx="1659">
                  <c:v>-5.2304352116846059E-3</c:v>
                </c:pt>
                <c:pt idx="1660">
                  <c:v>8.8610115491835981E-3</c:v>
                </c:pt>
                <c:pt idx="1661">
                  <c:v>-1.3843888070692161E-2</c:v>
                </c:pt>
                <c:pt idx="1662">
                  <c:v>-4.2763157894736947E-2</c:v>
                </c:pt>
                <c:pt idx="1663">
                  <c:v>5.8612214029117463E-3</c:v>
                </c:pt>
                <c:pt idx="1664">
                  <c:v>-1.8100807574491812E-2</c:v>
                </c:pt>
                <c:pt idx="1665">
                  <c:v>1.2785559838300266E-2</c:v>
                </c:pt>
                <c:pt idx="1666">
                  <c:v>2.5450689289501595E-2</c:v>
                </c:pt>
                <c:pt idx="1667">
                  <c:v>2.1065065459198746E-2</c:v>
                </c:pt>
                <c:pt idx="1668">
                  <c:v>-6.1631774603795294E-3</c:v>
                </c:pt>
                <c:pt idx="1669">
                  <c:v>-2.7864954826438484E-2</c:v>
                </c:pt>
                <c:pt idx="1670">
                  <c:v>-1.5193239008640831E-3</c:v>
                </c:pt>
                <c:pt idx="1671">
                  <c:v>-1.2749601574950777E-2</c:v>
                </c:pt>
                <c:pt idx="1672">
                  <c:v>9.367903103709262E-3</c:v>
                </c:pt>
                <c:pt idx="1673">
                  <c:v>-2.5451862781261443E-2</c:v>
                </c:pt>
                <c:pt idx="1674">
                  <c:v>-3.3088235294117595E-3</c:v>
                </c:pt>
                <c:pt idx="1675">
                  <c:v>-2.0613916644162445E-2</c:v>
                </c:pt>
                <c:pt idx="1676">
                  <c:v>-2.2095070422535133E-2</c:v>
                </c:pt>
                <c:pt idx="1677">
                  <c:v>-9.3311240952298549E-3</c:v>
                </c:pt>
                <c:pt idx="1678">
                  <c:v>7.7335442481764249E-3</c:v>
                </c:pt>
                <c:pt idx="1679">
                  <c:v>1.5982142857142913E-2</c:v>
                </c:pt>
                <c:pt idx="1680">
                  <c:v>-1.8662928239726588E-2</c:v>
                </c:pt>
                <c:pt idx="1681">
                  <c:v>-1.1775911334314654E-2</c:v>
                </c:pt>
                <c:pt idx="1682">
                  <c:v>5.9228290218621424E-3</c:v>
                </c:pt>
                <c:pt idx="1683">
                  <c:v>2.0987105380168958E-2</c:v>
                </c:pt>
                <c:pt idx="1684">
                  <c:v>3.122212310437186E-3</c:v>
                </c:pt>
                <c:pt idx="1685">
                  <c:v>3.6235903124422139E-2</c:v>
                </c:pt>
                <c:pt idx="1686">
                  <c:v>0</c:v>
                </c:pt>
                <c:pt idx="1687">
                  <c:v>1.282651437131359E-2</c:v>
                </c:pt>
                <c:pt idx="1688">
                  <c:v>-1.3484806502262804E-2</c:v>
                </c:pt>
                <c:pt idx="1689">
                  <c:v>-4.0474657345230224E-3</c:v>
                </c:pt>
                <c:pt idx="1690">
                  <c:v>-5.6709046007500643E-3</c:v>
                </c:pt>
                <c:pt idx="1691">
                  <c:v>2.4936720727477234E-2</c:v>
                </c:pt>
                <c:pt idx="1692">
                  <c:v>1.522794327591138E-2</c:v>
                </c:pt>
                <c:pt idx="1693">
                  <c:v>1.3993437560316431E-2</c:v>
                </c:pt>
                <c:pt idx="1694">
                  <c:v>1.4496955639316292E-3</c:v>
                </c:pt>
                <c:pt idx="1695">
                  <c:v>1.3120532654460035E-2</c:v>
                </c:pt>
                <c:pt idx="1696">
                  <c:v>-1.0368217054263638E-2</c:v>
                </c:pt>
                <c:pt idx="1697">
                  <c:v>7.7140904208573991E-3</c:v>
                </c:pt>
                <c:pt idx="1698">
                  <c:v>1.3258137924210978E-2</c:v>
                </c:pt>
                <c:pt idx="1699">
                  <c:v>-2.5658738774302294E-3</c:v>
                </c:pt>
                <c:pt idx="1700">
                  <c:v>2.4363121714516746E-2</c:v>
                </c:pt>
                <c:pt idx="1701">
                  <c:v>-2.3783677094641239E-2</c:v>
                </c:pt>
                <c:pt idx="1702">
                  <c:v>0</c:v>
                </c:pt>
                <c:pt idx="1703">
                  <c:v>1.1856535915423826E-3</c:v>
                </c:pt>
                <c:pt idx="1704">
                  <c:v>-2.5984024636704867E-2</c:v>
                </c:pt>
                <c:pt idx="1705">
                  <c:v>0</c:v>
                </c:pt>
                <c:pt idx="1706">
                  <c:v>0</c:v>
                </c:pt>
                <c:pt idx="1707">
                  <c:v>-3.4525750455548041E-3</c:v>
                </c:pt>
                <c:pt idx="1708">
                  <c:v>0</c:v>
                </c:pt>
              </c:numCache>
            </c:numRef>
          </c:xVal>
          <c:yVal>
            <c:numRef>
              <c:f>sheet3!$E$4:$E$1712</c:f>
              <c:numCache>
                <c:formatCode>0.0000%</c:formatCode>
                <c:ptCount val="1709"/>
                <c:pt idx="0">
                  <c:v>-2.3985973744904119E-3</c:v>
                </c:pt>
                <c:pt idx="1">
                  <c:v>3.3149633856583288E-3</c:v>
                </c:pt>
                <c:pt idx="2">
                  <c:v>8.6751952848458692E-3</c:v>
                </c:pt>
                <c:pt idx="3">
                  <c:v>9.1933968123439121E-3</c:v>
                </c:pt>
                <c:pt idx="4">
                  <c:v>-1.4234213517178196E-3</c:v>
                </c:pt>
                <c:pt idx="5">
                  <c:v>-7.6201406052031704E-4</c:v>
                </c:pt>
                <c:pt idx="6">
                  <c:v>-1.1685225497023656E-3</c:v>
                </c:pt>
                <c:pt idx="7">
                  <c:v>-3.2343444134256814E-3</c:v>
                </c:pt>
                <c:pt idx="8">
                  <c:v>9.6692071919456096E-3</c:v>
                </c:pt>
                <c:pt idx="9">
                  <c:v>-7.8288127767352331E-4</c:v>
                </c:pt>
                <c:pt idx="10">
                  <c:v>-1.7221371227378686E-3</c:v>
                </c:pt>
                <c:pt idx="11">
                  <c:v>5.1618192450183552E-3</c:v>
                </c:pt>
                <c:pt idx="12">
                  <c:v>7.6514451843274723E-3</c:v>
                </c:pt>
                <c:pt idx="13">
                  <c:v>-5.1765144389679984E-3</c:v>
                </c:pt>
                <c:pt idx="14">
                  <c:v>-2.6732541629312057E-5</c:v>
                </c:pt>
                <c:pt idx="15">
                  <c:v>6.8515610958196829E-3</c:v>
                </c:pt>
                <c:pt idx="16">
                  <c:v>7.2877025055065369E-3</c:v>
                </c:pt>
                <c:pt idx="17">
                  <c:v>4.8232672444147298E-3</c:v>
                </c:pt>
                <c:pt idx="18">
                  <c:v>8.3186203115893508E-4</c:v>
                </c:pt>
                <c:pt idx="19">
                  <c:v>-8.9293703235246054E-3</c:v>
                </c:pt>
                <c:pt idx="20">
                  <c:v>-2.4985393799759688E-3</c:v>
                </c:pt>
                <c:pt idx="21">
                  <c:v>8.3063901169741997E-3</c:v>
                </c:pt>
                <c:pt idx="22">
                  <c:v>7.8875484804652816E-3</c:v>
                </c:pt>
                <c:pt idx="23">
                  <c:v>1.3388073291670676E-2</c:v>
                </c:pt>
                <c:pt idx="24">
                  <c:v>9.2524401876944943E-3</c:v>
                </c:pt>
                <c:pt idx="25">
                  <c:v>-1.8002385295987158E-3</c:v>
                </c:pt>
                <c:pt idx="26">
                  <c:v>-7.3305280373738046E-4</c:v>
                </c:pt>
                <c:pt idx="27">
                  <c:v>-5.118667381380732E-3</c:v>
                </c:pt>
                <c:pt idx="28">
                  <c:v>4.3806712451275069E-3</c:v>
                </c:pt>
                <c:pt idx="29">
                  <c:v>8.0227977570838278E-3</c:v>
                </c:pt>
                <c:pt idx="30">
                  <c:v>-4.6513270469973386E-3</c:v>
                </c:pt>
                <c:pt idx="31">
                  <c:v>-1.5314768828196021E-3</c:v>
                </c:pt>
                <c:pt idx="32">
                  <c:v>7.952881129110077E-3</c:v>
                </c:pt>
                <c:pt idx="33">
                  <c:v>1.5637174315093209E-2</c:v>
                </c:pt>
                <c:pt idx="34">
                  <c:v>1.985488105757641E-3</c:v>
                </c:pt>
                <c:pt idx="35">
                  <c:v>-2.2706116768142038E-2</c:v>
                </c:pt>
                <c:pt idx="36">
                  <c:v>1.2190391164620031E-2</c:v>
                </c:pt>
                <c:pt idx="37">
                  <c:v>3.1182902484526097E-3</c:v>
                </c:pt>
                <c:pt idx="38">
                  <c:v>-3.0166403065482444E-3</c:v>
                </c:pt>
                <c:pt idx="39">
                  <c:v>-1.0562756100704918E-2</c:v>
                </c:pt>
                <c:pt idx="40">
                  <c:v>-9.3449660313719585E-3</c:v>
                </c:pt>
                <c:pt idx="41">
                  <c:v>7.2475249754487747E-3</c:v>
                </c:pt>
                <c:pt idx="42">
                  <c:v>3.1256045317357824E-2</c:v>
                </c:pt>
                <c:pt idx="43">
                  <c:v>-1.0930990087026081E-2</c:v>
                </c:pt>
                <c:pt idx="44">
                  <c:v>-1.0218360244153339E-2</c:v>
                </c:pt>
                <c:pt idx="45">
                  <c:v>-1.2720347406736427E-2</c:v>
                </c:pt>
                <c:pt idx="46">
                  <c:v>-6.9827995164605267E-3</c:v>
                </c:pt>
                <c:pt idx="47">
                  <c:v>-7.8150361251302473E-3</c:v>
                </c:pt>
                <c:pt idx="48">
                  <c:v>-1.1785237732934443E-2</c:v>
                </c:pt>
                <c:pt idx="49">
                  <c:v>-4.7419482042174834E-3</c:v>
                </c:pt>
                <c:pt idx="50">
                  <c:v>6.6404034914931635E-3</c:v>
                </c:pt>
                <c:pt idx="51">
                  <c:v>1.4875442458778441E-2</c:v>
                </c:pt>
                <c:pt idx="52">
                  <c:v>-3.8827637640174765E-3</c:v>
                </c:pt>
                <c:pt idx="53">
                  <c:v>-7.494037832198419E-3</c:v>
                </c:pt>
                <c:pt idx="54">
                  <c:v>1.2712415974230897E-3</c:v>
                </c:pt>
                <c:pt idx="55">
                  <c:v>4.4385560473259013E-2</c:v>
                </c:pt>
                <c:pt idx="56">
                  <c:v>-2.8539679073078552E-2</c:v>
                </c:pt>
                <c:pt idx="57">
                  <c:v>-8.7073053369152893E-3</c:v>
                </c:pt>
                <c:pt idx="58">
                  <c:v>-4.4530433375134584E-3</c:v>
                </c:pt>
                <c:pt idx="59">
                  <c:v>-5.4581424563145504E-3</c:v>
                </c:pt>
                <c:pt idx="60">
                  <c:v>-9.4106546666006367E-3</c:v>
                </c:pt>
                <c:pt idx="61">
                  <c:v>-7.3238035420544511E-3</c:v>
                </c:pt>
                <c:pt idx="62">
                  <c:v>2.970093767788516E-3</c:v>
                </c:pt>
                <c:pt idx="63">
                  <c:v>1.7201667178418062E-2</c:v>
                </c:pt>
                <c:pt idx="64">
                  <c:v>8.8674129312198743E-4</c:v>
                </c:pt>
                <c:pt idx="65">
                  <c:v>1.0045304880404442E-2</c:v>
                </c:pt>
                <c:pt idx="66">
                  <c:v>9.8033971041746795E-3</c:v>
                </c:pt>
                <c:pt idx="67">
                  <c:v>1.8689906566476656E-2</c:v>
                </c:pt>
                <c:pt idx="68">
                  <c:v>6.5939195265016862E-3</c:v>
                </c:pt>
                <c:pt idx="69">
                  <c:v>1.8465918174190318E-3</c:v>
                </c:pt>
                <c:pt idx="70">
                  <c:v>2.4776798096609477E-3</c:v>
                </c:pt>
                <c:pt idx="71">
                  <c:v>-3.0544672405984023E-3</c:v>
                </c:pt>
                <c:pt idx="72">
                  <c:v>5.3123239394489718E-4</c:v>
                </c:pt>
                <c:pt idx="73">
                  <c:v>1.1369476880230319E-2</c:v>
                </c:pt>
                <c:pt idx="74">
                  <c:v>-2.0040857738496492E-5</c:v>
                </c:pt>
                <c:pt idx="75">
                  <c:v>5.1254783938581069E-3</c:v>
                </c:pt>
                <c:pt idx="76">
                  <c:v>6.1177926477318572E-3</c:v>
                </c:pt>
                <c:pt idx="77">
                  <c:v>-1.0897568707820628E-2</c:v>
                </c:pt>
                <c:pt idx="78">
                  <c:v>-5.6014871915057649E-3</c:v>
                </c:pt>
                <c:pt idx="79">
                  <c:v>2.9206674121360801E-3</c:v>
                </c:pt>
                <c:pt idx="80">
                  <c:v>3.0509847341209299E-3</c:v>
                </c:pt>
                <c:pt idx="81">
                  <c:v>1.1732907502398736E-2</c:v>
                </c:pt>
                <c:pt idx="82">
                  <c:v>1.0555545802947781E-2</c:v>
                </c:pt>
                <c:pt idx="83">
                  <c:v>3.0475313445536712E-3</c:v>
                </c:pt>
                <c:pt idx="84">
                  <c:v>8.1231733788824124E-3</c:v>
                </c:pt>
                <c:pt idx="85">
                  <c:v>6.6969556073892744E-3</c:v>
                </c:pt>
                <c:pt idx="86">
                  <c:v>9.1062455649654154E-3</c:v>
                </c:pt>
                <c:pt idx="87">
                  <c:v>8.6482255887466875E-3</c:v>
                </c:pt>
                <c:pt idx="88">
                  <c:v>-1.0204480818648003E-3</c:v>
                </c:pt>
                <c:pt idx="89">
                  <c:v>-6.3396747372217784E-3</c:v>
                </c:pt>
                <c:pt idx="90">
                  <c:v>-2.55518064639989E-3</c:v>
                </c:pt>
                <c:pt idx="91">
                  <c:v>-4.5336552746997084E-3</c:v>
                </c:pt>
                <c:pt idx="92">
                  <c:v>1.7274066646578129E-3</c:v>
                </c:pt>
                <c:pt idx="93">
                  <c:v>-9.0027292467678051E-3</c:v>
                </c:pt>
                <c:pt idx="94">
                  <c:v>5.4767035619438372E-3</c:v>
                </c:pt>
                <c:pt idx="95">
                  <c:v>1.0623266068100613E-2</c:v>
                </c:pt>
                <c:pt idx="96">
                  <c:v>1.1637456692918279E-2</c:v>
                </c:pt>
                <c:pt idx="97">
                  <c:v>-2.5714991765123996E-4</c:v>
                </c:pt>
                <c:pt idx="98">
                  <c:v>-3.2379782743902244E-3</c:v>
                </c:pt>
                <c:pt idx="99">
                  <c:v>5.1364651319297128E-4</c:v>
                </c:pt>
                <c:pt idx="100">
                  <c:v>1.0641148746619327E-2</c:v>
                </c:pt>
                <c:pt idx="101">
                  <c:v>-1.8149343680900674E-3</c:v>
                </c:pt>
                <c:pt idx="102">
                  <c:v>3.8503396203008093E-3</c:v>
                </c:pt>
                <c:pt idx="103">
                  <c:v>1.4341237316146475E-2</c:v>
                </c:pt>
                <c:pt idx="104">
                  <c:v>6.9305988356712879E-3</c:v>
                </c:pt>
                <c:pt idx="105">
                  <c:v>7.2157985203386635E-3</c:v>
                </c:pt>
                <c:pt idx="106">
                  <c:v>1.1798228314399207E-2</c:v>
                </c:pt>
                <c:pt idx="107">
                  <c:v>7.0670767941422297E-3</c:v>
                </c:pt>
                <c:pt idx="108">
                  <c:v>3.2431458427696334E-3</c:v>
                </c:pt>
                <c:pt idx="109">
                  <c:v>-1.0153891453339883E-2</c:v>
                </c:pt>
                <c:pt idx="110">
                  <c:v>1.2410268714356885E-3</c:v>
                </c:pt>
                <c:pt idx="111">
                  <c:v>3.7105782158492985E-3</c:v>
                </c:pt>
                <c:pt idx="112">
                  <c:v>-4.0335541379097452E-3</c:v>
                </c:pt>
                <c:pt idx="113">
                  <c:v>-1.185414134293848E-3</c:v>
                </c:pt>
                <c:pt idx="114">
                  <c:v>8.6967952991219896E-3</c:v>
                </c:pt>
                <c:pt idx="115">
                  <c:v>-2.7401676337846471E-3</c:v>
                </c:pt>
                <c:pt idx="116">
                  <c:v>-4.9139836513057659E-4</c:v>
                </c:pt>
                <c:pt idx="117">
                  <c:v>1.675854599469408E-2</c:v>
                </c:pt>
                <c:pt idx="118">
                  <c:v>3.23738699784049E-3</c:v>
                </c:pt>
                <c:pt idx="119">
                  <c:v>-4.1220475368407682E-3</c:v>
                </c:pt>
                <c:pt idx="120">
                  <c:v>1.640196405399651E-2</c:v>
                </c:pt>
                <c:pt idx="121">
                  <c:v>3.8677003257679078E-3</c:v>
                </c:pt>
                <c:pt idx="122">
                  <c:v>9.0917744543584107E-3</c:v>
                </c:pt>
                <c:pt idx="123">
                  <c:v>-6.193330159496125E-3</c:v>
                </c:pt>
                <c:pt idx="124">
                  <c:v>2.4765659724783139E-4</c:v>
                </c:pt>
                <c:pt idx="125">
                  <c:v>1.0770065357040103E-2</c:v>
                </c:pt>
                <c:pt idx="126">
                  <c:v>9.6597464500201794E-3</c:v>
                </c:pt>
                <c:pt idx="127">
                  <c:v>2.6286589420321336E-3</c:v>
                </c:pt>
                <c:pt idx="128">
                  <c:v>1.6728623520401033E-2</c:v>
                </c:pt>
                <c:pt idx="129">
                  <c:v>2.0474210583670025E-2</c:v>
                </c:pt>
                <c:pt idx="130">
                  <c:v>1.0035772095739184E-2</c:v>
                </c:pt>
                <c:pt idx="131">
                  <c:v>1.9112475691634156E-2</c:v>
                </c:pt>
                <c:pt idx="132">
                  <c:v>-5.825761206839474E-3</c:v>
                </c:pt>
                <c:pt idx="133">
                  <c:v>4.2127947238468069E-3</c:v>
                </c:pt>
                <c:pt idx="134">
                  <c:v>5.2331087179569274E-2</c:v>
                </c:pt>
                <c:pt idx="135">
                  <c:v>-3.2125195087218145E-2</c:v>
                </c:pt>
                <c:pt idx="136">
                  <c:v>1.7207961928162327E-4</c:v>
                </c:pt>
                <c:pt idx="137">
                  <c:v>-3.8462327066249896E-3</c:v>
                </c:pt>
                <c:pt idx="138">
                  <c:v>-1.2339896421314441E-2</c:v>
                </c:pt>
                <c:pt idx="139">
                  <c:v>-2.080746581560545E-3</c:v>
                </c:pt>
                <c:pt idx="140">
                  <c:v>6.696218229088407E-4</c:v>
                </c:pt>
                <c:pt idx="141">
                  <c:v>-1.5710379431188356E-2</c:v>
                </c:pt>
                <c:pt idx="142">
                  <c:v>-2.0872891521115404E-3</c:v>
                </c:pt>
                <c:pt idx="143">
                  <c:v>1.9080112148025352E-2</c:v>
                </c:pt>
                <c:pt idx="144">
                  <c:v>3.152226634111873E-3</c:v>
                </c:pt>
                <c:pt idx="145">
                  <c:v>-1.2961532401737008E-3</c:v>
                </c:pt>
                <c:pt idx="146">
                  <c:v>1.1191284878224624E-2</c:v>
                </c:pt>
                <c:pt idx="147">
                  <c:v>1.3232578897609214E-2</c:v>
                </c:pt>
                <c:pt idx="148">
                  <c:v>-6.7948249113613957E-3</c:v>
                </c:pt>
                <c:pt idx="149">
                  <c:v>6.0491844217026008E-3</c:v>
                </c:pt>
                <c:pt idx="150">
                  <c:v>5.395793951150191E-3</c:v>
                </c:pt>
                <c:pt idx="151">
                  <c:v>9.4560092139211798E-4</c:v>
                </c:pt>
                <c:pt idx="152">
                  <c:v>-7.4015972941664778E-3</c:v>
                </c:pt>
                <c:pt idx="153">
                  <c:v>-4.2273365413081652E-4</c:v>
                </c:pt>
                <c:pt idx="154">
                  <c:v>-6.4905405137235285E-3</c:v>
                </c:pt>
                <c:pt idx="155">
                  <c:v>8.0719582977820063E-3</c:v>
                </c:pt>
                <c:pt idx="156">
                  <c:v>-6.0030263273434794E-3</c:v>
                </c:pt>
                <c:pt idx="157">
                  <c:v>3.3840610973054412E-4</c:v>
                </c:pt>
                <c:pt idx="158">
                  <c:v>-2.6072442494455453E-3</c:v>
                </c:pt>
                <c:pt idx="159">
                  <c:v>1.2024816316117948E-2</c:v>
                </c:pt>
                <c:pt idx="160">
                  <c:v>-3.3193931751219059E-4</c:v>
                </c:pt>
                <c:pt idx="161">
                  <c:v>1.0896715563037781E-2</c:v>
                </c:pt>
                <c:pt idx="162">
                  <c:v>9.4454154452956379E-2</c:v>
                </c:pt>
                <c:pt idx="163">
                  <c:v>3.5235507088887619E-2</c:v>
                </c:pt>
                <c:pt idx="164">
                  <c:v>-5.8924344665160597E-2</c:v>
                </c:pt>
                <c:pt idx="165">
                  <c:v>-3.1342138767163505E-2</c:v>
                </c:pt>
                <c:pt idx="166">
                  <c:v>-4.6776469944850374E-3</c:v>
                </c:pt>
                <c:pt idx="167">
                  <c:v>-1.0252910380622287E-4</c:v>
                </c:pt>
                <c:pt idx="168">
                  <c:v>2.5037686417744984E-2</c:v>
                </c:pt>
                <c:pt idx="169">
                  <c:v>-3.0865610803242276E-2</c:v>
                </c:pt>
                <c:pt idx="170">
                  <c:v>7.0862034350920745E-3</c:v>
                </c:pt>
                <c:pt idx="171">
                  <c:v>-1.2171628228616612E-2</c:v>
                </c:pt>
                <c:pt idx="172">
                  <c:v>3.9082829376710796E-3</c:v>
                </c:pt>
                <c:pt idx="173">
                  <c:v>-1.8821141869796009E-2</c:v>
                </c:pt>
                <c:pt idx="174">
                  <c:v>-1.0168001698888939E-2</c:v>
                </c:pt>
                <c:pt idx="175">
                  <c:v>3.9676177517486969E-4</c:v>
                </c:pt>
                <c:pt idx="176">
                  <c:v>9.1018593521969941E-3</c:v>
                </c:pt>
                <c:pt idx="177">
                  <c:v>3.5453891677522009E-3</c:v>
                </c:pt>
                <c:pt idx="178">
                  <c:v>7.5936835433098974E-3</c:v>
                </c:pt>
                <c:pt idx="179">
                  <c:v>-6.4687370210360856E-3</c:v>
                </c:pt>
                <c:pt idx="180">
                  <c:v>3.3117954079232761E-3</c:v>
                </c:pt>
                <c:pt idx="181">
                  <c:v>1.3379760081836476E-2</c:v>
                </c:pt>
                <c:pt idx="182">
                  <c:v>-1.1497453162819547E-2</c:v>
                </c:pt>
                <c:pt idx="183">
                  <c:v>1.7836124729267266E-2</c:v>
                </c:pt>
                <c:pt idx="184">
                  <c:v>-1.1938379552823303E-2</c:v>
                </c:pt>
                <c:pt idx="185">
                  <c:v>5.4211362351359125E-3</c:v>
                </c:pt>
                <c:pt idx="186">
                  <c:v>-3.2680492889820702E-2</c:v>
                </c:pt>
                <c:pt idx="187">
                  <c:v>-1.2313126549597694E-3</c:v>
                </c:pt>
                <c:pt idx="188">
                  <c:v>9.6035244160457747E-3</c:v>
                </c:pt>
                <c:pt idx="189">
                  <c:v>2.9242867020271853E-4</c:v>
                </c:pt>
                <c:pt idx="190">
                  <c:v>9.7668613482768188E-3</c:v>
                </c:pt>
                <c:pt idx="191">
                  <c:v>1.6622348990833439E-3</c:v>
                </c:pt>
                <c:pt idx="192">
                  <c:v>-1.6907490220122577E-2</c:v>
                </c:pt>
                <c:pt idx="193">
                  <c:v>-2.7581934359223819E-3</c:v>
                </c:pt>
                <c:pt idx="194">
                  <c:v>6.7450438032845474E-3</c:v>
                </c:pt>
                <c:pt idx="195">
                  <c:v>8.3156490251501281E-3</c:v>
                </c:pt>
                <c:pt idx="196">
                  <c:v>6.8976146989847388E-3</c:v>
                </c:pt>
                <c:pt idx="197">
                  <c:v>5.7420979075210668E-3</c:v>
                </c:pt>
                <c:pt idx="198">
                  <c:v>3.8397229956945978E-3</c:v>
                </c:pt>
                <c:pt idx="199">
                  <c:v>8.8504542333256702E-3</c:v>
                </c:pt>
                <c:pt idx="200">
                  <c:v>-8.1557110208783305E-4</c:v>
                </c:pt>
                <c:pt idx="201">
                  <c:v>-1.5624844236882102E-3</c:v>
                </c:pt>
                <c:pt idx="202">
                  <c:v>-3.7028392805163506E-4</c:v>
                </c:pt>
                <c:pt idx="203">
                  <c:v>6.0285008298950407E-3</c:v>
                </c:pt>
                <c:pt idx="204">
                  <c:v>1.3001078983902173E-2</c:v>
                </c:pt>
                <c:pt idx="205">
                  <c:v>-4.3464917804793531E-3</c:v>
                </c:pt>
                <c:pt idx="206">
                  <c:v>6.7589161552749927E-3</c:v>
                </c:pt>
                <c:pt idx="207">
                  <c:v>-1.1167870637139381E-2</c:v>
                </c:pt>
                <c:pt idx="208">
                  <c:v>-4.6811374960220743E-3</c:v>
                </c:pt>
                <c:pt idx="209">
                  <c:v>-6.8521345031323413E-4</c:v>
                </c:pt>
                <c:pt idx="210">
                  <c:v>-5.8130717101804001E-3</c:v>
                </c:pt>
                <c:pt idx="211">
                  <c:v>1.7317399355024677E-3</c:v>
                </c:pt>
                <c:pt idx="212">
                  <c:v>1.3556359863345213E-2</c:v>
                </c:pt>
                <c:pt idx="213">
                  <c:v>-8.2489619230528034E-3</c:v>
                </c:pt>
                <c:pt idx="214">
                  <c:v>3.5001893377273434E-3</c:v>
                </c:pt>
                <c:pt idx="215">
                  <c:v>2.2456752447287858E-3</c:v>
                </c:pt>
                <c:pt idx="216">
                  <c:v>1.2036043608072854E-2</c:v>
                </c:pt>
                <c:pt idx="217">
                  <c:v>-3.0491955680183223E-3</c:v>
                </c:pt>
                <c:pt idx="218">
                  <c:v>-4.2533994858750578E-3</c:v>
                </c:pt>
                <c:pt idx="219">
                  <c:v>-3.1955739803802472E-3</c:v>
                </c:pt>
                <c:pt idx="220">
                  <c:v>-7.5603674635907185E-4</c:v>
                </c:pt>
                <c:pt idx="221">
                  <c:v>1.4656489070504729E-2</c:v>
                </c:pt>
                <c:pt idx="222">
                  <c:v>9.563106276899427E-3</c:v>
                </c:pt>
                <c:pt idx="223">
                  <c:v>1.9745939208616514E-4</c:v>
                </c:pt>
                <c:pt idx="224">
                  <c:v>-1.4599673490186937E-2</c:v>
                </c:pt>
                <c:pt idx="225">
                  <c:v>-7.1810716944367657E-3</c:v>
                </c:pt>
                <c:pt idx="226">
                  <c:v>-1.3222269027557753E-2</c:v>
                </c:pt>
                <c:pt idx="227">
                  <c:v>9.2691755943127042E-3</c:v>
                </c:pt>
                <c:pt idx="228">
                  <c:v>1.5419147067434313E-2</c:v>
                </c:pt>
                <c:pt idx="229">
                  <c:v>-4.8469004294907202E-3</c:v>
                </c:pt>
                <c:pt idx="230">
                  <c:v>-1.3125051092174567E-2</c:v>
                </c:pt>
                <c:pt idx="231">
                  <c:v>-1.1839869415598751E-2</c:v>
                </c:pt>
                <c:pt idx="232">
                  <c:v>7.3896556571292002E-3</c:v>
                </c:pt>
                <c:pt idx="233">
                  <c:v>5.2392633050675624E-3</c:v>
                </c:pt>
                <c:pt idx="234">
                  <c:v>-1.3897676723117003E-2</c:v>
                </c:pt>
                <c:pt idx="235">
                  <c:v>-6.9279748546374961E-3</c:v>
                </c:pt>
                <c:pt idx="236">
                  <c:v>4.9685925681223521E-3</c:v>
                </c:pt>
                <c:pt idx="237">
                  <c:v>1.2608758824260045E-2</c:v>
                </c:pt>
                <c:pt idx="238">
                  <c:v>-5.7554121460096728E-3</c:v>
                </c:pt>
                <c:pt idx="239">
                  <c:v>-2.6868362011588241E-3</c:v>
                </c:pt>
                <c:pt idx="240">
                  <c:v>5.0259099925186118E-3</c:v>
                </c:pt>
                <c:pt idx="241">
                  <c:v>8.6780884558032619E-3</c:v>
                </c:pt>
                <c:pt idx="242">
                  <c:v>5.4069549724933509E-3</c:v>
                </c:pt>
                <c:pt idx="243">
                  <c:v>-1.3230139066265209E-2</c:v>
                </c:pt>
                <c:pt idx="244">
                  <c:v>-1.6408238051891493E-2</c:v>
                </c:pt>
                <c:pt idx="245">
                  <c:v>-1.7414285287884641E-3</c:v>
                </c:pt>
                <c:pt idx="246">
                  <c:v>-1.1326509108406315E-2</c:v>
                </c:pt>
                <c:pt idx="247">
                  <c:v>3.9901072117182754E-3</c:v>
                </c:pt>
                <c:pt idx="248">
                  <c:v>9.5360935757600452E-4</c:v>
                </c:pt>
                <c:pt idx="249">
                  <c:v>1.6340056059878341E-2</c:v>
                </c:pt>
                <c:pt idx="250">
                  <c:v>-1.1461144032136824E-3</c:v>
                </c:pt>
                <c:pt idx="251">
                  <c:v>3.5094554004726372E-2</c:v>
                </c:pt>
                <c:pt idx="252">
                  <c:v>8.4027540559366079E-3</c:v>
                </c:pt>
                <c:pt idx="253">
                  <c:v>-1.7715548333889376E-2</c:v>
                </c:pt>
                <c:pt idx="254">
                  <c:v>-1.3250978148495298E-2</c:v>
                </c:pt>
                <c:pt idx="255">
                  <c:v>4.02807334096408E-2</c:v>
                </c:pt>
                <c:pt idx="256">
                  <c:v>3.0469730504771662E-2</c:v>
                </c:pt>
                <c:pt idx="257">
                  <c:v>-4.3173651567849497E-2</c:v>
                </c:pt>
                <c:pt idx="258">
                  <c:v>-3.2999975883829434E-2</c:v>
                </c:pt>
                <c:pt idx="259">
                  <c:v>-1.1265616309835792E-2</c:v>
                </c:pt>
                <c:pt idx="260">
                  <c:v>1.6339287745249859E-2</c:v>
                </c:pt>
                <c:pt idx="261">
                  <c:v>1.0622653550943866E-3</c:v>
                </c:pt>
                <c:pt idx="262">
                  <c:v>3.0414974358863232E-2</c:v>
                </c:pt>
                <c:pt idx="263">
                  <c:v>1.7572349562635831E-2</c:v>
                </c:pt>
                <c:pt idx="264">
                  <c:v>-9.7639009918943209E-3</c:v>
                </c:pt>
                <c:pt idx="265">
                  <c:v>8.403547051711582E-3</c:v>
                </c:pt>
                <c:pt idx="266">
                  <c:v>7.5294508068581576E-3</c:v>
                </c:pt>
                <c:pt idx="267">
                  <c:v>2.9823982530122018E-2</c:v>
                </c:pt>
                <c:pt idx="268">
                  <c:v>5.2149469194780473E-3</c:v>
                </c:pt>
                <c:pt idx="269">
                  <c:v>1.2433992947951172E-2</c:v>
                </c:pt>
                <c:pt idx="270">
                  <c:v>1.8919501817924841E-2</c:v>
                </c:pt>
                <c:pt idx="271">
                  <c:v>1.2734959274208766E-2</c:v>
                </c:pt>
                <c:pt idx="272">
                  <c:v>8.1950855879338678E-3</c:v>
                </c:pt>
                <c:pt idx="273">
                  <c:v>4.9644532925272572E-2</c:v>
                </c:pt>
                <c:pt idx="274">
                  <c:v>-3.5742535311559583E-2</c:v>
                </c:pt>
                <c:pt idx="275">
                  <c:v>2.8788864583745833E-3</c:v>
                </c:pt>
                <c:pt idx="276">
                  <c:v>4.8272652175521411E-3</c:v>
                </c:pt>
                <c:pt idx="277">
                  <c:v>1.8649984520619473E-2</c:v>
                </c:pt>
                <c:pt idx="278">
                  <c:v>-3.2361858595754667E-3</c:v>
                </c:pt>
                <c:pt idx="279">
                  <c:v>9.0635710027625466E-3</c:v>
                </c:pt>
                <c:pt idx="280">
                  <c:v>2.4485129528582783E-3</c:v>
                </c:pt>
                <c:pt idx="281">
                  <c:v>6.0700555005319462E-3</c:v>
                </c:pt>
                <c:pt idx="282">
                  <c:v>8.9599501603710302E-3</c:v>
                </c:pt>
                <c:pt idx="283">
                  <c:v>1.4038146170922701E-3</c:v>
                </c:pt>
                <c:pt idx="284">
                  <c:v>-4.5251207362694461E-3</c:v>
                </c:pt>
                <c:pt idx="285">
                  <c:v>3.8229561307075695E-3</c:v>
                </c:pt>
                <c:pt idx="286">
                  <c:v>8.3353427981195053E-3</c:v>
                </c:pt>
                <c:pt idx="287">
                  <c:v>5.423192682053257E-3</c:v>
                </c:pt>
                <c:pt idx="288">
                  <c:v>-3.0646452950414955E-3</c:v>
                </c:pt>
                <c:pt idx="289">
                  <c:v>3.9843150836091868E-3</c:v>
                </c:pt>
                <c:pt idx="290">
                  <c:v>1.1866187320361951E-2</c:v>
                </c:pt>
                <c:pt idx="291">
                  <c:v>2.1278506570486955E-2</c:v>
                </c:pt>
                <c:pt idx="292">
                  <c:v>-1.4617899428453233E-2</c:v>
                </c:pt>
                <c:pt idx="293">
                  <c:v>-6.3558662173361282E-3</c:v>
                </c:pt>
                <c:pt idx="294">
                  <c:v>7.4124524144879083E-3</c:v>
                </c:pt>
                <c:pt idx="295">
                  <c:v>2.239594497275794E-3</c:v>
                </c:pt>
                <c:pt idx="296">
                  <c:v>1.1782206257977407E-2</c:v>
                </c:pt>
                <c:pt idx="297">
                  <c:v>2.0086693501680401E-2</c:v>
                </c:pt>
                <c:pt idx="298">
                  <c:v>8.4189752850175395E-3</c:v>
                </c:pt>
                <c:pt idx="299">
                  <c:v>4.7533324223147221E-3</c:v>
                </c:pt>
                <c:pt idx="300">
                  <c:v>9.4713096490573519E-3</c:v>
                </c:pt>
                <c:pt idx="301">
                  <c:v>-3.9181902807521856E-3</c:v>
                </c:pt>
                <c:pt idx="302">
                  <c:v>-7.1947712017982396E-3</c:v>
                </c:pt>
                <c:pt idx="303">
                  <c:v>4.2558079336592449E-3</c:v>
                </c:pt>
                <c:pt idx="304">
                  <c:v>6.7902951148227477E-3</c:v>
                </c:pt>
                <c:pt idx="305">
                  <c:v>-2.5971124218268668E-3</c:v>
                </c:pt>
                <c:pt idx="306">
                  <c:v>3.5317569074627046E-4</c:v>
                </c:pt>
                <c:pt idx="307">
                  <c:v>-2.522024230856121E-3</c:v>
                </c:pt>
                <c:pt idx="308">
                  <c:v>6.1869644627799341E-5</c:v>
                </c:pt>
                <c:pt idx="309">
                  <c:v>8.8761905210556664E-3</c:v>
                </c:pt>
                <c:pt idx="310">
                  <c:v>1.6500750132045224E-2</c:v>
                </c:pt>
                <c:pt idx="311">
                  <c:v>9.7941569673860012E-3</c:v>
                </c:pt>
                <c:pt idx="312">
                  <c:v>9.2080948176590724E-3</c:v>
                </c:pt>
                <c:pt idx="313">
                  <c:v>1.9854631628860712E-3</c:v>
                </c:pt>
                <c:pt idx="314">
                  <c:v>8.5113334040155669E-3</c:v>
                </c:pt>
                <c:pt idx="315">
                  <c:v>-2.1887727631199668E-3</c:v>
                </c:pt>
                <c:pt idx="316">
                  <c:v>-4.4801505597064986E-3</c:v>
                </c:pt>
                <c:pt idx="317">
                  <c:v>-7.1728257687245717E-3</c:v>
                </c:pt>
                <c:pt idx="318">
                  <c:v>9.3795515271531665E-3</c:v>
                </c:pt>
                <c:pt idx="319">
                  <c:v>-4.4820740252044956E-3</c:v>
                </c:pt>
                <c:pt idx="320">
                  <c:v>-2.7286201735131589E-3</c:v>
                </c:pt>
                <c:pt idx="321">
                  <c:v>7.5517476275573179E-3</c:v>
                </c:pt>
                <c:pt idx="322">
                  <c:v>1.2402850859804188E-2</c:v>
                </c:pt>
                <c:pt idx="323">
                  <c:v>1.2205133804849158E-2</c:v>
                </c:pt>
                <c:pt idx="324">
                  <c:v>1.9926119073183581E-3</c:v>
                </c:pt>
                <c:pt idx="325">
                  <c:v>3.9920210201218713E-3</c:v>
                </c:pt>
                <c:pt idx="326">
                  <c:v>4.6511332226343511E-3</c:v>
                </c:pt>
                <c:pt idx="327">
                  <c:v>-8.0081486513381966E-3</c:v>
                </c:pt>
                <c:pt idx="328">
                  <c:v>8.5446797684920854E-3</c:v>
                </c:pt>
                <c:pt idx="329">
                  <c:v>-3.5834998041134507E-3</c:v>
                </c:pt>
                <c:pt idx="330">
                  <c:v>4.3607080298652606E-4</c:v>
                </c:pt>
                <c:pt idx="331">
                  <c:v>1.9442469125094909E-4</c:v>
                </c:pt>
                <c:pt idx="332">
                  <c:v>6.2750522229730512E-3</c:v>
                </c:pt>
                <c:pt idx="333">
                  <c:v>9.3276599223594391E-4</c:v>
                </c:pt>
                <c:pt idx="334">
                  <c:v>-2.6108376518157532E-3</c:v>
                </c:pt>
                <c:pt idx="335">
                  <c:v>1.7684824669309052E-3</c:v>
                </c:pt>
                <c:pt idx="336">
                  <c:v>4.5756793672852318E-3</c:v>
                </c:pt>
                <c:pt idx="337">
                  <c:v>-1.1711710327207082E-3</c:v>
                </c:pt>
                <c:pt idx="338">
                  <c:v>-6.1959199735881435E-3</c:v>
                </c:pt>
                <c:pt idx="339">
                  <c:v>-2.9234241053746786E-3</c:v>
                </c:pt>
                <c:pt idx="340">
                  <c:v>1.0178516198232216E-4</c:v>
                </c:pt>
                <c:pt idx="341">
                  <c:v>6.8048063872541515E-3</c:v>
                </c:pt>
                <c:pt idx="342">
                  <c:v>6.6285491434104043E-3</c:v>
                </c:pt>
                <c:pt idx="343">
                  <c:v>-1.0898063660006168E-3</c:v>
                </c:pt>
                <c:pt idx="344">
                  <c:v>-2.7544256022559352E-3</c:v>
                </c:pt>
                <c:pt idx="345">
                  <c:v>-7.7676510812614162E-4</c:v>
                </c:pt>
                <c:pt idx="346">
                  <c:v>2.9348686692496706E-3</c:v>
                </c:pt>
                <c:pt idx="347">
                  <c:v>-1.3191795003583001E-3</c:v>
                </c:pt>
                <c:pt idx="348">
                  <c:v>-7.5003573265432968E-3</c:v>
                </c:pt>
                <c:pt idx="349">
                  <c:v>8.9293992286535312E-3</c:v>
                </c:pt>
                <c:pt idx="350">
                  <c:v>9.8519746418603803E-3</c:v>
                </c:pt>
                <c:pt idx="351">
                  <c:v>-9.9557800136636145E-4</c:v>
                </c:pt>
                <c:pt idx="352">
                  <c:v>1.3861413625489546E-3</c:v>
                </c:pt>
                <c:pt idx="353">
                  <c:v>-1.4592210925321623E-2</c:v>
                </c:pt>
                <c:pt idx="354">
                  <c:v>6.2473380926831691E-3</c:v>
                </c:pt>
                <c:pt idx="355">
                  <c:v>-1.8832413474960011E-3</c:v>
                </c:pt>
                <c:pt idx="356">
                  <c:v>-9.4344553860091791E-3</c:v>
                </c:pt>
                <c:pt idx="357">
                  <c:v>-2.5236040003177506E-3</c:v>
                </c:pt>
                <c:pt idx="358">
                  <c:v>1.0229847656354762E-2</c:v>
                </c:pt>
                <c:pt idx="359">
                  <c:v>-5.6049924218800765E-3</c:v>
                </c:pt>
                <c:pt idx="360">
                  <c:v>-1.1684067195981222E-2</c:v>
                </c:pt>
                <c:pt idx="361">
                  <c:v>5.1897088498892453E-3</c:v>
                </c:pt>
                <c:pt idx="362">
                  <c:v>5.7028854002695237E-3</c:v>
                </c:pt>
                <c:pt idx="363">
                  <c:v>-1.9704712642831673E-2</c:v>
                </c:pt>
                <c:pt idx="364">
                  <c:v>-2.1040725142980464E-2</c:v>
                </c:pt>
                <c:pt idx="365">
                  <c:v>8.4313333360441743E-3</c:v>
                </c:pt>
                <c:pt idx="366">
                  <c:v>1.5154464181846999E-2</c:v>
                </c:pt>
                <c:pt idx="367">
                  <c:v>-6.0318267934371221E-4</c:v>
                </c:pt>
                <c:pt idx="368">
                  <c:v>1.888615402805358E-3</c:v>
                </c:pt>
                <c:pt idx="369">
                  <c:v>-1.0294766242488415E-2</c:v>
                </c:pt>
                <c:pt idx="370">
                  <c:v>1.3138262306243681E-3</c:v>
                </c:pt>
                <c:pt idx="371">
                  <c:v>4.4060305095984425E-3</c:v>
                </c:pt>
                <c:pt idx="372">
                  <c:v>-8.7204233036228566E-4</c:v>
                </c:pt>
                <c:pt idx="373">
                  <c:v>6.123364417956284E-4</c:v>
                </c:pt>
                <c:pt idx="374">
                  <c:v>8.5575772294381614E-3</c:v>
                </c:pt>
                <c:pt idx="375">
                  <c:v>9.2428314963158929E-3</c:v>
                </c:pt>
                <c:pt idx="376">
                  <c:v>4.8361296888926363E-3</c:v>
                </c:pt>
                <c:pt idx="377">
                  <c:v>-1.0606374139242069E-3</c:v>
                </c:pt>
                <c:pt idx="378">
                  <c:v>3.2270572010581304E-3</c:v>
                </c:pt>
                <c:pt idx="379">
                  <c:v>4.2990442206100139E-3</c:v>
                </c:pt>
                <c:pt idx="380">
                  <c:v>-3.7263476245684834E-3</c:v>
                </c:pt>
                <c:pt idx="381">
                  <c:v>-7.3389976385123271E-3</c:v>
                </c:pt>
                <c:pt idx="382">
                  <c:v>1.1370337606397239E-4</c:v>
                </c:pt>
                <c:pt idx="383">
                  <c:v>2.7308671711766701E-2</c:v>
                </c:pt>
                <c:pt idx="384">
                  <c:v>6.5427376805843439E-3</c:v>
                </c:pt>
                <c:pt idx="385">
                  <c:v>4.6852340803789513E-2</c:v>
                </c:pt>
                <c:pt idx="386">
                  <c:v>2.8646020243424737E-3</c:v>
                </c:pt>
                <c:pt idx="387">
                  <c:v>-9.0518338198691279E-3</c:v>
                </c:pt>
                <c:pt idx="388">
                  <c:v>-6.7990870192567998E-3</c:v>
                </c:pt>
                <c:pt idx="389">
                  <c:v>-1.4744879467953539E-3</c:v>
                </c:pt>
                <c:pt idx="390">
                  <c:v>-4.8034585008996204E-3</c:v>
                </c:pt>
                <c:pt idx="391">
                  <c:v>-5.9895541062102032E-3</c:v>
                </c:pt>
                <c:pt idx="392">
                  <c:v>-1.2022452850310953E-2</c:v>
                </c:pt>
                <c:pt idx="393">
                  <c:v>-3.996126437957128E-3</c:v>
                </c:pt>
                <c:pt idx="394">
                  <c:v>1.3359843970441574E-2</c:v>
                </c:pt>
                <c:pt idx="395">
                  <c:v>5.5881971716924045E-4</c:v>
                </c:pt>
                <c:pt idx="396">
                  <c:v>-9.0202945039619606E-3</c:v>
                </c:pt>
                <c:pt idx="397">
                  <c:v>-6.1270251887788167E-3</c:v>
                </c:pt>
                <c:pt idx="398">
                  <c:v>1.1563284677372981E-2</c:v>
                </c:pt>
                <c:pt idx="399">
                  <c:v>2.1052162536036208E-3</c:v>
                </c:pt>
                <c:pt idx="400">
                  <c:v>-3.3254984890323811E-3</c:v>
                </c:pt>
                <c:pt idx="401">
                  <c:v>1.635102019072027E-3</c:v>
                </c:pt>
                <c:pt idx="402">
                  <c:v>-3.429014359122138E-3</c:v>
                </c:pt>
                <c:pt idx="403">
                  <c:v>5.4937428850926088E-3</c:v>
                </c:pt>
                <c:pt idx="404">
                  <c:v>3.5722713951225368E-3</c:v>
                </c:pt>
                <c:pt idx="405">
                  <c:v>1.7816701974031756E-3</c:v>
                </c:pt>
                <c:pt idx="406">
                  <c:v>9.9199028280964607E-3</c:v>
                </c:pt>
                <c:pt idx="407">
                  <c:v>9.764043483317492E-3</c:v>
                </c:pt>
                <c:pt idx="408">
                  <c:v>5.8830370482004001E-3</c:v>
                </c:pt>
                <c:pt idx="409">
                  <c:v>7.744984905336522E-4</c:v>
                </c:pt>
                <c:pt idx="410">
                  <c:v>-2.1904531536037081E-3</c:v>
                </c:pt>
                <c:pt idx="411">
                  <c:v>-4.177876385444483E-5</c:v>
                </c:pt>
                <c:pt idx="412">
                  <c:v>1.1990611121318015E-2</c:v>
                </c:pt>
                <c:pt idx="413">
                  <c:v>1.7612391243183288E-2</c:v>
                </c:pt>
                <c:pt idx="414">
                  <c:v>-6.2573001952813713E-3</c:v>
                </c:pt>
                <c:pt idx="415">
                  <c:v>-8.2638922112173736E-3</c:v>
                </c:pt>
                <c:pt idx="416">
                  <c:v>-1.4403084843506758E-2</c:v>
                </c:pt>
                <c:pt idx="417">
                  <c:v>1.0717451654407248E-2</c:v>
                </c:pt>
                <c:pt idx="418">
                  <c:v>-1.1171115705640093E-3</c:v>
                </c:pt>
                <c:pt idx="419">
                  <c:v>9.7041161074621542E-3</c:v>
                </c:pt>
                <c:pt idx="420">
                  <c:v>-1.036629053107646E-3</c:v>
                </c:pt>
                <c:pt idx="421">
                  <c:v>7.3834542144328545E-3</c:v>
                </c:pt>
                <c:pt idx="422">
                  <c:v>8.8174554261679864E-3</c:v>
                </c:pt>
                <c:pt idx="423">
                  <c:v>-6.1421812591829362E-4</c:v>
                </c:pt>
                <c:pt idx="424">
                  <c:v>-2.1329766360032453E-3</c:v>
                </c:pt>
                <c:pt idx="425">
                  <c:v>-8.6356740659591783E-4</c:v>
                </c:pt>
                <c:pt idx="426">
                  <c:v>3.2690167862433439E-3</c:v>
                </c:pt>
                <c:pt idx="427">
                  <c:v>9.9788868111011769E-3</c:v>
                </c:pt>
                <c:pt idx="428">
                  <c:v>1.7586475130808646E-2</c:v>
                </c:pt>
                <c:pt idx="429">
                  <c:v>9.7517505450437376E-3</c:v>
                </c:pt>
                <c:pt idx="430">
                  <c:v>1.3003866563925071E-2</c:v>
                </c:pt>
                <c:pt idx="431">
                  <c:v>1.3464813630449666E-3</c:v>
                </c:pt>
                <c:pt idx="432">
                  <c:v>-3.1160310012175729E-3</c:v>
                </c:pt>
                <c:pt idx="433">
                  <c:v>-2.0405968712336573E-3</c:v>
                </c:pt>
                <c:pt idx="434">
                  <c:v>8.9308750899166119E-3</c:v>
                </c:pt>
                <c:pt idx="435">
                  <c:v>9.7336702966696765E-3</c:v>
                </c:pt>
                <c:pt idx="436">
                  <c:v>5.8088702668343982E-3</c:v>
                </c:pt>
                <c:pt idx="437">
                  <c:v>5.7376745979353105E-3</c:v>
                </c:pt>
                <c:pt idx="438">
                  <c:v>-4.0596232806562127E-3</c:v>
                </c:pt>
                <c:pt idx="439">
                  <c:v>-4.7829216274194297E-3</c:v>
                </c:pt>
                <c:pt idx="440">
                  <c:v>3.4989450800425488E-3</c:v>
                </c:pt>
                <c:pt idx="441">
                  <c:v>9.4326581806799866E-3</c:v>
                </c:pt>
                <c:pt idx="442">
                  <c:v>1.1423022574355078E-3</c:v>
                </c:pt>
                <c:pt idx="443">
                  <c:v>-3.8085419232398313E-3</c:v>
                </c:pt>
                <c:pt idx="444">
                  <c:v>1.5860339455574475E-2</c:v>
                </c:pt>
                <c:pt idx="445">
                  <c:v>-1.162407776339193E-2</c:v>
                </c:pt>
                <c:pt idx="446">
                  <c:v>-1.4502402923809509E-2</c:v>
                </c:pt>
                <c:pt idx="447">
                  <c:v>-5.8440192504573523E-4</c:v>
                </c:pt>
                <c:pt idx="448">
                  <c:v>2.9064179751288888E-3</c:v>
                </c:pt>
                <c:pt idx="449">
                  <c:v>-8.1530240210353261E-4</c:v>
                </c:pt>
                <c:pt idx="450">
                  <c:v>-1.05620238188697E-3</c:v>
                </c:pt>
                <c:pt idx="451">
                  <c:v>-3.4220482161726818E-3</c:v>
                </c:pt>
                <c:pt idx="452">
                  <c:v>9.5833660539979531E-3</c:v>
                </c:pt>
                <c:pt idx="453">
                  <c:v>1.1569946167858997E-2</c:v>
                </c:pt>
                <c:pt idx="454">
                  <c:v>1.3736618660370823E-2</c:v>
                </c:pt>
                <c:pt idx="455">
                  <c:v>7.6614504160925825E-3</c:v>
                </c:pt>
                <c:pt idx="456">
                  <c:v>-1.3715934668363887E-3</c:v>
                </c:pt>
                <c:pt idx="457">
                  <c:v>7.8023338706714419E-3</c:v>
                </c:pt>
                <c:pt idx="458">
                  <c:v>1.4560116444752592E-2</c:v>
                </c:pt>
                <c:pt idx="459">
                  <c:v>5.769734349851314E-3</c:v>
                </c:pt>
                <c:pt idx="460">
                  <c:v>1.8108554742439591E-2</c:v>
                </c:pt>
                <c:pt idx="461">
                  <c:v>7.4264283262798192E-5</c:v>
                </c:pt>
                <c:pt idx="462">
                  <c:v>9.8005844374489063E-3</c:v>
                </c:pt>
                <c:pt idx="463">
                  <c:v>-1.8798736022219556E-2</c:v>
                </c:pt>
                <c:pt idx="464">
                  <c:v>-1.8241511707080351E-2</c:v>
                </c:pt>
                <c:pt idx="465">
                  <c:v>1.5138926612848238E-2</c:v>
                </c:pt>
                <c:pt idx="466">
                  <c:v>2.6465103269744691E-3</c:v>
                </c:pt>
                <c:pt idx="467">
                  <c:v>-2.9842994737364716E-2</c:v>
                </c:pt>
                <c:pt idx="468">
                  <c:v>-1.8709815918497005E-2</c:v>
                </c:pt>
                <c:pt idx="469">
                  <c:v>5.4052554412278722E-3</c:v>
                </c:pt>
                <c:pt idx="470">
                  <c:v>1.2635922271539137E-2</c:v>
                </c:pt>
                <c:pt idx="471">
                  <c:v>9.7634794772680777E-3</c:v>
                </c:pt>
                <c:pt idx="472">
                  <c:v>6.6886977207507052E-3</c:v>
                </c:pt>
                <c:pt idx="473">
                  <c:v>2.2224471691773603E-3</c:v>
                </c:pt>
                <c:pt idx="474">
                  <c:v>-1.4846658761022976E-2</c:v>
                </c:pt>
                <c:pt idx="475">
                  <c:v>-1.6287261573101126E-2</c:v>
                </c:pt>
                <c:pt idx="476">
                  <c:v>-7.5422240906056716E-3</c:v>
                </c:pt>
                <c:pt idx="477">
                  <c:v>-8.0901009110580738E-3</c:v>
                </c:pt>
                <c:pt idx="478">
                  <c:v>5.7127368851876432E-3</c:v>
                </c:pt>
                <c:pt idx="479">
                  <c:v>8.0515287832652448E-3</c:v>
                </c:pt>
                <c:pt idx="480">
                  <c:v>1.038490584165571E-2</c:v>
                </c:pt>
                <c:pt idx="481">
                  <c:v>1.2630849461413133E-3</c:v>
                </c:pt>
                <c:pt idx="482">
                  <c:v>-5.7409984435402685E-3</c:v>
                </c:pt>
                <c:pt idx="483">
                  <c:v>-2.6690740421724153E-3</c:v>
                </c:pt>
                <c:pt idx="484">
                  <c:v>-8.2764140559625481E-3</c:v>
                </c:pt>
                <c:pt idx="485">
                  <c:v>-5.6972995920024621E-3</c:v>
                </c:pt>
                <c:pt idx="486">
                  <c:v>3.1059663803513054E-4</c:v>
                </c:pt>
                <c:pt idx="487">
                  <c:v>1.0915545014576868E-2</c:v>
                </c:pt>
                <c:pt idx="488">
                  <c:v>-3.9072422284480391E-3</c:v>
                </c:pt>
                <c:pt idx="489">
                  <c:v>-1.034450067196399E-3</c:v>
                </c:pt>
                <c:pt idx="490">
                  <c:v>-4.3070670496273356E-3</c:v>
                </c:pt>
                <c:pt idx="491">
                  <c:v>-1.9223640901274402E-3</c:v>
                </c:pt>
                <c:pt idx="492">
                  <c:v>-1.1895397842269272E-4</c:v>
                </c:pt>
                <c:pt idx="493">
                  <c:v>4.6192983328567699E-3</c:v>
                </c:pt>
                <c:pt idx="494">
                  <c:v>-4.8278906024548087E-3</c:v>
                </c:pt>
                <c:pt idx="495">
                  <c:v>3.5399570607631159E-2</c:v>
                </c:pt>
                <c:pt idx="496">
                  <c:v>6.426842931052979E-3</c:v>
                </c:pt>
                <c:pt idx="497">
                  <c:v>1.9529236019809458E-2</c:v>
                </c:pt>
                <c:pt idx="498">
                  <c:v>2.8605914588536462E-2</c:v>
                </c:pt>
                <c:pt idx="499">
                  <c:v>-4.1068086927674739E-2</c:v>
                </c:pt>
                <c:pt idx="500">
                  <c:v>-1.5766848179167389E-2</c:v>
                </c:pt>
                <c:pt idx="501">
                  <c:v>3.932230987024209E-3</c:v>
                </c:pt>
                <c:pt idx="502">
                  <c:v>-6.1276688391439472E-3</c:v>
                </c:pt>
                <c:pt idx="503">
                  <c:v>-3.6372389221141818E-2</c:v>
                </c:pt>
                <c:pt idx="504">
                  <c:v>-1.3992737337747724E-2</c:v>
                </c:pt>
                <c:pt idx="505">
                  <c:v>1.0386982833816094E-2</c:v>
                </c:pt>
                <c:pt idx="506">
                  <c:v>2.6046198416180173E-3</c:v>
                </c:pt>
                <c:pt idx="507">
                  <c:v>-1.726141173785626E-2</c:v>
                </c:pt>
                <c:pt idx="508">
                  <c:v>6.2783725404026349E-3</c:v>
                </c:pt>
                <c:pt idx="509">
                  <c:v>-3.190703982853294E-3</c:v>
                </c:pt>
                <c:pt idx="510">
                  <c:v>2.3263205583354804E-2</c:v>
                </c:pt>
                <c:pt idx="511">
                  <c:v>1.4727946220332034E-2</c:v>
                </c:pt>
                <c:pt idx="512">
                  <c:v>1.190928558407179E-2</c:v>
                </c:pt>
                <c:pt idx="513">
                  <c:v>7.2357565718769263E-3</c:v>
                </c:pt>
                <c:pt idx="514">
                  <c:v>1.433104370554979E-2</c:v>
                </c:pt>
                <c:pt idx="515">
                  <c:v>1.9239090405782488E-2</c:v>
                </c:pt>
                <c:pt idx="516">
                  <c:v>4.5967732337874357E-4</c:v>
                </c:pt>
                <c:pt idx="517">
                  <c:v>-5.6958991071324339E-3</c:v>
                </c:pt>
                <c:pt idx="518">
                  <c:v>1.7925334166693733E-2</c:v>
                </c:pt>
                <c:pt idx="519">
                  <c:v>1.0151869068063443E-2</c:v>
                </c:pt>
                <c:pt idx="520">
                  <c:v>4.4565682353659023E-3</c:v>
                </c:pt>
                <c:pt idx="521">
                  <c:v>1.25911272370252E-2</c:v>
                </c:pt>
                <c:pt idx="522">
                  <c:v>1.341429043735573E-2</c:v>
                </c:pt>
                <c:pt idx="523">
                  <c:v>5.9963911955264832E-3</c:v>
                </c:pt>
                <c:pt idx="524">
                  <c:v>8.599195748071949E-4</c:v>
                </c:pt>
                <c:pt idx="525">
                  <c:v>-5.705899258093664E-3</c:v>
                </c:pt>
                <c:pt idx="526">
                  <c:v>1.0197782870092506E-2</c:v>
                </c:pt>
                <c:pt idx="527">
                  <c:v>2.1308305225318483E-3</c:v>
                </c:pt>
                <c:pt idx="528">
                  <c:v>2.0852089215877348E-3</c:v>
                </c:pt>
                <c:pt idx="529">
                  <c:v>2.0343987670682375E-2</c:v>
                </c:pt>
                <c:pt idx="530">
                  <c:v>2.0113108036717682E-2</c:v>
                </c:pt>
                <c:pt idx="531">
                  <c:v>9.2276980726181627E-3</c:v>
                </c:pt>
                <c:pt idx="532">
                  <c:v>-2.4141173399697367E-3</c:v>
                </c:pt>
                <c:pt idx="533">
                  <c:v>1.4392282793726154E-2</c:v>
                </c:pt>
                <c:pt idx="534">
                  <c:v>8.9995660459308378E-3</c:v>
                </c:pt>
                <c:pt idx="535">
                  <c:v>6.577528718672984E-3</c:v>
                </c:pt>
                <c:pt idx="536">
                  <c:v>7.3252602964697811E-3</c:v>
                </c:pt>
                <c:pt idx="537">
                  <c:v>9.583370643434579E-3</c:v>
                </c:pt>
                <c:pt idx="538">
                  <c:v>1.0292306771497233E-2</c:v>
                </c:pt>
                <c:pt idx="539">
                  <c:v>-3.9084490523551233E-3</c:v>
                </c:pt>
                <c:pt idx="540">
                  <c:v>6.4703751487524665E-4</c:v>
                </c:pt>
                <c:pt idx="541">
                  <c:v>1.1194844536173379E-3</c:v>
                </c:pt>
                <c:pt idx="542">
                  <c:v>-8.9676036507187803E-5</c:v>
                </c:pt>
                <c:pt idx="543">
                  <c:v>7.858189875306296E-3</c:v>
                </c:pt>
                <c:pt idx="544">
                  <c:v>6.965865371909164E-3</c:v>
                </c:pt>
                <c:pt idx="545">
                  <c:v>1.8576214842715027E-2</c:v>
                </c:pt>
                <c:pt idx="546">
                  <c:v>-2.4569999765787485E-3</c:v>
                </c:pt>
                <c:pt idx="547">
                  <c:v>-3.8614340705236203E-3</c:v>
                </c:pt>
                <c:pt idx="548">
                  <c:v>4.5743408170815557E-3</c:v>
                </c:pt>
                <c:pt idx="549">
                  <c:v>1.4798742959801943E-2</c:v>
                </c:pt>
                <c:pt idx="550">
                  <c:v>5.5649481050187048E-3</c:v>
                </c:pt>
                <c:pt idx="551">
                  <c:v>7.4423338560761663E-3</c:v>
                </c:pt>
                <c:pt idx="552">
                  <c:v>8.5236467357024184E-3</c:v>
                </c:pt>
                <c:pt idx="553">
                  <c:v>4.7978611061939291E-3</c:v>
                </c:pt>
                <c:pt idx="554">
                  <c:v>5.0774399088884012E-4</c:v>
                </c:pt>
                <c:pt idx="555">
                  <c:v>8.5966750517152656E-3</c:v>
                </c:pt>
                <c:pt idx="556">
                  <c:v>6.9087277144714524E-3</c:v>
                </c:pt>
                <c:pt idx="557">
                  <c:v>2.7820742795817617E-3</c:v>
                </c:pt>
                <c:pt idx="558">
                  <c:v>8.532725508131932E-3</c:v>
                </c:pt>
                <c:pt idx="559">
                  <c:v>-3.7801655834487293E-3</c:v>
                </c:pt>
                <c:pt idx="560">
                  <c:v>2.1481998784672529E-3</c:v>
                </c:pt>
                <c:pt idx="561">
                  <c:v>-1.8489332314817598E-3</c:v>
                </c:pt>
                <c:pt idx="562">
                  <c:v>-9.0640081780662594E-4</c:v>
                </c:pt>
                <c:pt idx="563">
                  <c:v>2.8437699561146405E-3</c:v>
                </c:pt>
                <c:pt idx="564">
                  <c:v>8.103409087940449E-3</c:v>
                </c:pt>
                <c:pt idx="565">
                  <c:v>3.9944086990111787E-4</c:v>
                </c:pt>
                <c:pt idx="566">
                  <c:v>1.674614321661255E-3</c:v>
                </c:pt>
                <c:pt idx="567">
                  <c:v>1.833957657019018E-3</c:v>
                </c:pt>
                <c:pt idx="568">
                  <c:v>2.2663721069308604E-3</c:v>
                </c:pt>
                <c:pt idx="569">
                  <c:v>1.2969687823804533E-3</c:v>
                </c:pt>
                <c:pt idx="570">
                  <c:v>1.8135117502508622E-3</c:v>
                </c:pt>
                <c:pt idx="571">
                  <c:v>-7.7910021272964312E-3</c:v>
                </c:pt>
                <c:pt idx="572">
                  <c:v>-3.2110155545722685E-3</c:v>
                </c:pt>
                <c:pt idx="573">
                  <c:v>5.6002078797164944E-3</c:v>
                </c:pt>
                <c:pt idx="574">
                  <c:v>-1.0989449997019381E-3</c:v>
                </c:pt>
                <c:pt idx="575">
                  <c:v>6.9483340616747682E-3</c:v>
                </c:pt>
                <c:pt idx="576">
                  <c:v>-4.724397045381145E-3</c:v>
                </c:pt>
                <c:pt idx="577">
                  <c:v>8.7121366770647225E-3</c:v>
                </c:pt>
                <c:pt idx="578">
                  <c:v>6.8938530180938738E-3</c:v>
                </c:pt>
                <c:pt idx="579">
                  <c:v>-2.6860246234421122E-2</c:v>
                </c:pt>
                <c:pt idx="580">
                  <c:v>-1.1243433615399149E-2</c:v>
                </c:pt>
                <c:pt idx="581">
                  <c:v>-1.4916190680392646E-2</c:v>
                </c:pt>
                <c:pt idx="582">
                  <c:v>-4.0401743526123747E-3</c:v>
                </c:pt>
                <c:pt idx="583">
                  <c:v>-1.6659420708697182E-3</c:v>
                </c:pt>
                <c:pt idx="584">
                  <c:v>7.0042091051556038E-3</c:v>
                </c:pt>
                <c:pt idx="585">
                  <c:v>1.5395030146757352E-5</c:v>
                </c:pt>
                <c:pt idx="586">
                  <c:v>-6.3332557044078056E-4</c:v>
                </c:pt>
                <c:pt idx="587">
                  <c:v>-1.5980176898944803E-2</c:v>
                </c:pt>
                <c:pt idx="588">
                  <c:v>-2.2213788730831899E-3</c:v>
                </c:pt>
                <c:pt idx="589">
                  <c:v>3.7263406653410486E-3</c:v>
                </c:pt>
                <c:pt idx="590">
                  <c:v>-8.6340682476848344E-3</c:v>
                </c:pt>
                <c:pt idx="591">
                  <c:v>2.9189829920453023E-3</c:v>
                </c:pt>
                <c:pt idx="592">
                  <c:v>1.288603620205188E-2</c:v>
                </c:pt>
                <c:pt idx="593">
                  <c:v>-8.6933623070607289E-3</c:v>
                </c:pt>
                <c:pt idx="594">
                  <c:v>1.6820219853248417E-2</c:v>
                </c:pt>
                <c:pt idx="595">
                  <c:v>-1.9766565914903517E-2</c:v>
                </c:pt>
                <c:pt idx="596">
                  <c:v>-4.1053223262559942E-3</c:v>
                </c:pt>
                <c:pt idx="597">
                  <c:v>-5.2395354319728844E-4</c:v>
                </c:pt>
                <c:pt idx="598">
                  <c:v>-3.1451125869100117E-3</c:v>
                </c:pt>
                <c:pt idx="599">
                  <c:v>1.1072868827816483E-2</c:v>
                </c:pt>
                <c:pt idx="600">
                  <c:v>4.0785192503985882E-3</c:v>
                </c:pt>
                <c:pt idx="601">
                  <c:v>1.8997621081116148E-2</c:v>
                </c:pt>
                <c:pt idx="602">
                  <c:v>8.8707057398909935E-3</c:v>
                </c:pt>
                <c:pt idx="603">
                  <c:v>7.012186842796077E-3</c:v>
                </c:pt>
                <c:pt idx="604">
                  <c:v>7.2433738444455395E-3</c:v>
                </c:pt>
                <c:pt idx="605">
                  <c:v>3.863515417668939E-3</c:v>
                </c:pt>
                <c:pt idx="606">
                  <c:v>1.0163212815052339E-2</c:v>
                </c:pt>
                <c:pt idx="607">
                  <c:v>7.5466333143549271E-3</c:v>
                </c:pt>
                <c:pt idx="608">
                  <c:v>1.482465744357184E-3</c:v>
                </c:pt>
                <c:pt idx="609">
                  <c:v>-6.1624046697535009E-4</c:v>
                </c:pt>
                <c:pt idx="610">
                  <c:v>-5.455722562641808E-4</c:v>
                </c:pt>
                <c:pt idx="611">
                  <c:v>-4.9579967732619303E-3</c:v>
                </c:pt>
                <c:pt idx="612">
                  <c:v>-6.2440312471410998E-3</c:v>
                </c:pt>
                <c:pt idx="613">
                  <c:v>8.895680603675498E-3</c:v>
                </c:pt>
                <c:pt idx="614">
                  <c:v>1.3855134283115085E-2</c:v>
                </c:pt>
                <c:pt idx="615">
                  <c:v>6.2526927902320124E-3</c:v>
                </c:pt>
                <c:pt idx="616">
                  <c:v>1.6556695826354887E-3</c:v>
                </c:pt>
                <c:pt idx="617">
                  <c:v>1.5105681913935968E-2</c:v>
                </c:pt>
                <c:pt idx="618">
                  <c:v>1.17049694859349E-3</c:v>
                </c:pt>
                <c:pt idx="619">
                  <c:v>-9.1200454453413734E-3</c:v>
                </c:pt>
                <c:pt idx="620">
                  <c:v>5.9118252426622372E-2</c:v>
                </c:pt>
                <c:pt idx="621">
                  <c:v>1.597378086659527E-3</c:v>
                </c:pt>
                <c:pt idx="622">
                  <c:v>3.2332211534144346E-2</c:v>
                </c:pt>
                <c:pt idx="623">
                  <c:v>-2.276650347520072E-3</c:v>
                </c:pt>
                <c:pt idx="624">
                  <c:v>-1.1911579885141132E-3</c:v>
                </c:pt>
                <c:pt idx="625">
                  <c:v>-1.0276651836719056E-2</c:v>
                </c:pt>
                <c:pt idx="626">
                  <c:v>-7.3061921823593299E-5</c:v>
                </c:pt>
                <c:pt idx="627">
                  <c:v>-1.6573635320510025E-2</c:v>
                </c:pt>
                <c:pt idx="628">
                  <c:v>-1.6657609680107515E-3</c:v>
                </c:pt>
                <c:pt idx="629">
                  <c:v>-3.1868072871163045E-3</c:v>
                </c:pt>
                <c:pt idx="630">
                  <c:v>1.7093539701289834E-5</c:v>
                </c:pt>
                <c:pt idx="631">
                  <c:v>-5.6537425611642503E-3</c:v>
                </c:pt>
                <c:pt idx="632">
                  <c:v>-3.162640323819214E-3</c:v>
                </c:pt>
                <c:pt idx="633">
                  <c:v>5.6827686043534262E-3</c:v>
                </c:pt>
                <c:pt idx="634">
                  <c:v>-1.0711261984433744E-2</c:v>
                </c:pt>
                <c:pt idx="635">
                  <c:v>4.9230689945430565E-3</c:v>
                </c:pt>
                <c:pt idx="636">
                  <c:v>6.5888493181675374E-3</c:v>
                </c:pt>
                <c:pt idx="637">
                  <c:v>6.8258139521388036E-3</c:v>
                </c:pt>
                <c:pt idx="638">
                  <c:v>1.9993351701760053E-3</c:v>
                </c:pt>
                <c:pt idx="639">
                  <c:v>-1.5506381323446314E-3</c:v>
                </c:pt>
                <c:pt idx="640">
                  <c:v>-7.8728743083364156E-3</c:v>
                </c:pt>
                <c:pt idx="641">
                  <c:v>7.6323601429253403E-3</c:v>
                </c:pt>
                <c:pt idx="642">
                  <c:v>8.4787306170828556E-3</c:v>
                </c:pt>
                <c:pt idx="643">
                  <c:v>-1.648393121063259E-3</c:v>
                </c:pt>
                <c:pt idx="644">
                  <c:v>-6.8567012697307267E-4</c:v>
                </c:pt>
                <c:pt idx="645">
                  <c:v>-4.4142722786362065E-4</c:v>
                </c:pt>
                <c:pt idx="646">
                  <c:v>-2.1083160411130759E-3</c:v>
                </c:pt>
                <c:pt idx="647">
                  <c:v>-9.8851684506043782E-3</c:v>
                </c:pt>
                <c:pt idx="648">
                  <c:v>3.440135801814361E-3</c:v>
                </c:pt>
                <c:pt idx="649">
                  <c:v>-8.685671068901479E-3</c:v>
                </c:pt>
                <c:pt idx="650">
                  <c:v>-3.44353388138621E-3</c:v>
                </c:pt>
                <c:pt idx="651">
                  <c:v>6.3253513138520883E-3</c:v>
                </c:pt>
                <c:pt idx="652">
                  <c:v>5.5120110645161821E-3</c:v>
                </c:pt>
                <c:pt idx="653">
                  <c:v>3.9188755259146535E-3</c:v>
                </c:pt>
                <c:pt idx="654">
                  <c:v>6.102989778441612E-3</c:v>
                </c:pt>
                <c:pt idx="655">
                  <c:v>-7.2234101717971004E-3</c:v>
                </c:pt>
                <c:pt idx="656">
                  <c:v>-1.0893749840124761E-2</c:v>
                </c:pt>
                <c:pt idx="657">
                  <c:v>-9.7649305264574538E-3</c:v>
                </c:pt>
                <c:pt idx="658">
                  <c:v>3.520233383538675E-3</c:v>
                </c:pt>
                <c:pt idx="659">
                  <c:v>1.3946991453375396E-4</c:v>
                </c:pt>
                <c:pt idx="660">
                  <c:v>3.8230150802668807E-3</c:v>
                </c:pt>
                <c:pt idx="661">
                  <c:v>8.3401373468796544E-3</c:v>
                </c:pt>
                <c:pt idx="662">
                  <c:v>2.8202839529604187E-3</c:v>
                </c:pt>
                <c:pt idx="663">
                  <c:v>8.8645674724656971E-3</c:v>
                </c:pt>
                <c:pt idx="664">
                  <c:v>2.2376219950244135E-3</c:v>
                </c:pt>
                <c:pt idx="665">
                  <c:v>1.255526633273538E-2</c:v>
                </c:pt>
                <c:pt idx="666">
                  <c:v>1.2680462964220424E-3</c:v>
                </c:pt>
                <c:pt idx="667">
                  <c:v>5.0038934907890341E-3</c:v>
                </c:pt>
                <c:pt idx="668">
                  <c:v>1.0227446267355846E-3</c:v>
                </c:pt>
                <c:pt idx="669">
                  <c:v>1.9810073505864135E-3</c:v>
                </c:pt>
                <c:pt idx="670">
                  <c:v>8.0729139842999429E-3</c:v>
                </c:pt>
                <c:pt idx="671">
                  <c:v>-7.8296210202361005E-4</c:v>
                </c:pt>
                <c:pt idx="672">
                  <c:v>-5.337125293229778E-3</c:v>
                </c:pt>
                <c:pt idx="673">
                  <c:v>-7.4655106739900398E-3</c:v>
                </c:pt>
                <c:pt idx="674">
                  <c:v>1.5956331207047786E-2</c:v>
                </c:pt>
                <c:pt idx="675">
                  <c:v>7.5313841267952021E-4</c:v>
                </c:pt>
                <c:pt idx="676">
                  <c:v>-5.0799826522503044E-3</c:v>
                </c:pt>
                <c:pt idx="677">
                  <c:v>-2.7731924562565398E-3</c:v>
                </c:pt>
                <c:pt idx="678">
                  <c:v>3.8265072455949422E-3</c:v>
                </c:pt>
                <c:pt idx="679">
                  <c:v>-7.9087479930363077E-4</c:v>
                </c:pt>
                <c:pt idx="680">
                  <c:v>-5.0515974978526269E-3</c:v>
                </c:pt>
                <c:pt idx="681">
                  <c:v>2.0499810376754012E-3</c:v>
                </c:pt>
                <c:pt idx="682">
                  <c:v>1.4601153421018628E-3</c:v>
                </c:pt>
                <c:pt idx="683">
                  <c:v>-1.0750171512354974E-2</c:v>
                </c:pt>
                <c:pt idx="684">
                  <c:v>-1.2277514691283782E-2</c:v>
                </c:pt>
                <c:pt idx="685">
                  <c:v>-9.8904039620254175E-4</c:v>
                </c:pt>
                <c:pt idx="686">
                  <c:v>-9.9564601457296717E-3</c:v>
                </c:pt>
                <c:pt idx="687">
                  <c:v>-8.7336118860010959E-3</c:v>
                </c:pt>
                <c:pt idx="688">
                  <c:v>-4.2974119526084506E-3</c:v>
                </c:pt>
                <c:pt idx="689">
                  <c:v>1.3776881479361242E-3</c:v>
                </c:pt>
                <c:pt idx="690">
                  <c:v>-9.6567228542038534E-4</c:v>
                </c:pt>
                <c:pt idx="691">
                  <c:v>1.5069195554275284E-3</c:v>
                </c:pt>
                <c:pt idx="692">
                  <c:v>5.009674035734578E-3</c:v>
                </c:pt>
                <c:pt idx="693">
                  <c:v>5.4791069304742793E-3</c:v>
                </c:pt>
                <c:pt idx="694">
                  <c:v>5.8643236467959383E-4</c:v>
                </c:pt>
                <c:pt idx="695">
                  <c:v>-2.4047691853590829E-3</c:v>
                </c:pt>
                <c:pt idx="696">
                  <c:v>2.3545491932167729E-3</c:v>
                </c:pt>
                <c:pt idx="697">
                  <c:v>1.6378303100400154E-2</c:v>
                </c:pt>
                <c:pt idx="698">
                  <c:v>6.3868425747604183E-3</c:v>
                </c:pt>
                <c:pt idx="699">
                  <c:v>-2.4092596537628715E-3</c:v>
                </c:pt>
                <c:pt idx="700">
                  <c:v>-6.7124148535225537E-3</c:v>
                </c:pt>
                <c:pt idx="701">
                  <c:v>1.8760550813897729E-3</c:v>
                </c:pt>
                <c:pt idx="702">
                  <c:v>-3.201634927425119E-3</c:v>
                </c:pt>
                <c:pt idx="703">
                  <c:v>-7.993907830429671E-3</c:v>
                </c:pt>
                <c:pt idx="704">
                  <c:v>5.3177252951416183E-3</c:v>
                </c:pt>
                <c:pt idx="705">
                  <c:v>6.7906388511084102E-3</c:v>
                </c:pt>
                <c:pt idx="706">
                  <c:v>-1.0821620672488715E-2</c:v>
                </c:pt>
                <c:pt idx="707">
                  <c:v>9.7276809242755361E-4</c:v>
                </c:pt>
                <c:pt idx="708">
                  <c:v>-6.005780745447502E-3</c:v>
                </c:pt>
                <c:pt idx="709">
                  <c:v>4.2937864640136278E-3</c:v>
                </c:pt>
                <c:pt idx="710">
                  <c:v>-1.3586563734884588E-2</c:v>
                </c:pt>
                <c:pt idx="711">
                  <c:v>-5.9484765623319725E-4</c:v>
                </c:pt>
                <c:pt idx="712">
                  <c:v>-1.7067770216539584E-2</c:v>
                </c:pt>
                <c:pt idx="713">
                  <c:v>1.7814258309261987E-2</c:v>
                </c:pt>
                <c:pt idx="714">
                  <c:v>4.8301220824434037E-3</c:v>
                </c:pt>
                <c:pt idx="715">
                  <c:v>8.0598153421265317E-3</c:v>
                </c:pt>
                <c:pt idx="716">
                  <c:v>1.7780809840884058E-2</c:v>
                </c:pt>
                <c:pt idx="717">
                  <c:v>-6.4406430970470885E-3</c:v>
                </c:pt>
                <c:pt idx="718">
                  <c:v>2.7959174730440199E-3</c:v>
                </c:pt>
                <c:pt idx="719">
                  <c:v>-1.3060241840666855E-3</c:v>
                </c:pt>
                <c:pt idx="720">
                  <c:v>2.0109467293116093E-2</c:v>
                </c:pt>
                <c:pt idx="721">
                  <c:v>-1.4320207918165771E-2</c:v>
                </c:pt>
                <c:pt idx="722">
                  <c:v>-9.6948259742014806E-3</c:v>
                </c:pt>
                <c:pt idx="723">
                  <c:v>2.668424452493276E-2</c:v>
                </c:pt>
                <c:pt idx="724">
                  <c:v>1.8672074334955376E-2</c:v>
                </c:pt>
                <c:pt idx="725">
                  <c:v>1.5920989689048422E-2</c:v>
                </c:pt>
                <c:pt idx="726">
                  <c:v>9.2715107641675777E-4</c:v>
                </c:pt>
                <c:pt idx="727">
                  <c:v>-1.0908647034192235E-2</c:v>
                </c:pt>
                <c:pt idx="728">
                  <c:v>1.0437963975749389E-3</c:v>
                </c:pt>
                <c:pt idx="729">
                  <c:v>1.1707202062687503E-2</c:v>
                </c:pt>
                <c:pt idx="730">
                  <c:v>-3.4705789795006409E-2</c:v>
                </c:pt>
                <c:pt idx="731">
                  <c:v>-1.4946637750490028E-2</c:v>
                </c:pt>
                <c:pt idx="732">
                  <c:v>-1.1774367590933177E-2</c:v>
                </c:pt>
                <c:pt idx="733">
                  <c:v>1.1210014181196012E-3</c:v>
                </c:pt>
                <c:pt idx="734">
                  <c:v>-1.0612354937931917E-3</c:v>
                </c:pt>
                <c:pt idx="735">
                  <c:v>7.3260525429603325E-3</c:v>
                </c:pt>
                <c:pt idx="736">
                  <c:v>-1.2260190326066896E-2</c:v>
                </c:pt>
                <c:pt idx="737">
                  <c:v>7.1415344155744999E-3</c:v>
                </c:pt>
                <c:pt idx="738">
                  <c:v>4.3769872691436472E-3</c:v>
                </c:pt>
                <c:pt idx="739">
                  <c:v>-2.248057131268336E-3</c:v>
                </c:pt>
                <c:pt idx="740">
                  <c:v>-4.5389174316872111E-3</c:v>
                </c:pt>
                <c:pt idx="741">
                  <c:v>9.783414088660675E-3</c:v>
                </c:pt>
                <c:pt idx="742">
                  <c:v>1.6934462297486463E-2</c:v>
                </c:pt>
                <c:pt idx="743">
                  <c:v>1.1912596491344152E-2</c:v>
                </c:pt>
                <c:pt idx="744">
                  <c:v>-1.3151802217476138E-2</c:v>
                </c:pt>
                <c:pt idx="745">
                  <c:v>-8.7722225487334628E-3</c:v>
                </c:pt>
                <c:pt idx="746">
                  <c:v>1.2250310064231355E-2</c:v>
                </c:pt>
                <c:pt idx="747">
                  <c:v>-4.245408881346298E-3</c:v>
                </c:pt>
                <c:pt idx="748">
                  <c:v>1.2592872562234302E-2</c:v>
                </c:pt>
                <c:pt idx="749">
                  <c:v>-1.2290481755453097E-2</c:v>
                </c:pt>
                <c:pt idx="750">
                  <c:v>-2.7784896665480521E-2</c:v>
                </c:pt>
                <c:pt idx="751">
                  <c:v>-8.0060085013903496E-3</c:v>
                </c:pt>
                <c:pt idx="752">
                  <c:v>2.9558210149840882E-3</c:v>
                </c:pt>
                <c:pt idx="753">
                  <c:v>-1.3365879511098154E-2</c:v>
                </c:pt>
                <c:pt idx="754">
                  <c:v>5.5904090443803945E-4</c:v>
                </c:pt>
                <c:pt idx="755">
                  <c:v>4.1826600755165734E-3</c:v>
                </c:pt>
                <c:pt idx="756">
                  <c:v>-3.7826500277708319E-3</c:v>
                </c:pt>
                <c:pt idx="757">
                  <c:v>1.1204848984228521E-3</c:v>
                </c:pt>
                <c:pt idx="758">
                  <c:v>-4.0096328751635978E-3</c:v>
                </c:pt>
                <c:pt idx="759">
                  <c:v>6.7248532376310254E-3</c:v>
                </c:pt>
                <c:pt idx="760">
                  <c:v>-1.7477849895235257E-3</c:v>
                </c:pt>
                <c:pt idx="761">
                  <c:v>-1.2750384933843581E-2</c:v>
                </c:pt>
                <c:pt idx="762">
                  <c:v>-5.7419152738436979E-3</c:v>
                </c:pt>
                <c:pt idx="763">
                  <c:v>1.0600106780313653E-3</c:v>
                </c:pt>
                <c:pt idx="764">
                  <c:v>-5.8904614879218709E-4</c:v>
                </c:pt>
                <c:pt idx="765">
                  <c:v>7.1842256510013715E-3</c:v>
                </c:pt>
                <c:pt idx="766">
                  <c:v>-2.0155004817553796E-2</c:v>
                </c:pt>
                <c:pt idx="767">
                  <c:v>7.7102997064356401E-4</c:v>
                </c:pt>
                <c:pt idx="768">
                  <c:v>5.4430576644627301E-4</c:v>
                </c:pt>
                <c:pt idx="769">
                  <c:v>-1.1253564638230846E-3</c:v>
                </c:pt>
                <c:pt idx="770">
                  <c:v>3.9154663375832221E-3</c:v>
                </c:pt>
                <c:pt idx="771">
                  <c:v>7.2431140101259363E-4</c:v>
                </c:pt>
                <c:pt idx="772">
                  <c:v>-2.0896913851842841E-3</c:v>
                </c:pt>
                <c:pt idx="773">
                  <c:v>-3.8160932910692724E-3</c:v>
                </c:pt>
                <c:pt idx="774">
                  <c:v>4.3671438435305748E-3</c:v>
                </c:pt>
                <c:pt idx="775">
                  <c:v>-1.259718889925894E-3</c:v>
                </c:pt>
                <c:pt idx="776">
                  <c:v>-5.6185524546357437E-3</c:v>
                </c:pt>
                <c:pt idx="777">
                  <c:v>4.4679330005848381E-3</c:v>
                </c:pt>
                <c:pt idx="778">
                  <c:v>1.5045654408243446E-2</c:v>
                </c:pt>
                <c:pt idx="779">
                  <c:v>5.1846299030426646E-3</c:v>
                </c:pt>
                <c:pt idx="780">
                  <c:v>4.5644252921483745E-3</c:v>
                </c:pt>
                <c:pt idx="781">
                  <c:v>-5.5689248292557069E-3</c:v>
                </c:pt>
                <c:pt idx="782">
                  <c:v>3.4836435402039365E-3</c:v>
                </c:pt>
                <c:pt idx="783">
                  <c:v>3.2505204061642249E-3</c:v>
                </c:pt>
                <c:pt idx="784">
                  <c:v>1.3183920575136177E-2</c:v>
                </c:pt>
                <c:pt idx="785">
                  <c:v>3.0220953502317978E-3</c:v>
                </c:pt>
                <c:pt idx="786">
                  <c:v>-1.1117507574601183E-2</c:v>
                </c:pt>
                <c:pt idx="787">
                  <c:v>1.512276230903052E-3</c:v>
                </c:pt>
                <c:pt idx="788">
                  <c:v>-1.5406250103697462E-2</c:v>
                </c:pt>
                <c:pt idx="789">
                  <c:v>-3.7124033850621727E-3</c:v>
                </c:pt>
                <c:pt idx="790">
                  <c:v>3.1684191874254385E-3</c:v>
                </c:pt>
                <c:pt idx="791">
                  <c:v>1.8140809131349123E-3</c:v>
                </c:pt>
                <c:pt idx="792">
                  <c:v>-2.1079404775014958E-3</c:v>
                </c:pt>
                <c:pt idx="793">
                  <c:v>9.2446663731624527E-3</c:v>
                </c:pt>
                <c:pt idx="794">
                  <c:v>2.0071631367882506E-3</c:v>
                </c:pt>
                <c:pt idx="795">
                  <c:v>-4.6020715877803237E-3</c:v>
                </c:pt>
                <c:pt idx="796">
                  <c:v>-3.260488355670312E-3</c:v>
                </c:pt>
                <c:pt idx="797">
                  <c:v>1.8706343731089939E-3</c:v>
                </c:pt>
                <c:pt idx="798">
                  <c:v>-3.5188782099030485E-3</c:v>
                </c:pt>
                <c:pt idx="799">
                  <c:v>-1.3304387131131655E-3</c:v>
                </c:pt>
                <c:pt idx="800">
                  <c:v>3.0031899537248659E-3</c:v>
                </c:pt>
                <c:pt idx="801">
                  <c:v>-1.7865033608416515E-3</c:v>
                </c:pt>
                <c:pt idx="802">
                  <c:v>1.3197098296573428E-2</c:v>
                </c:pt>
                <c:pt idx="803">
                  <c:v>6.3116635062802967E-3</c:v>
                </c:pt>
                <c:pt idx="804">
                  <c:v>3.3662770523905398E-3</c:v>
                </c:pt>
                <c:pt idx="805">
                  <c:v>2.018786408604967E-3</c:v>
                </c:pt>
                <c:pt idx="806">
                  <c:v>2.7992976032979503E-3</c:v>
                </c:pt>
                <c:pt idx="807">
                  <c:v>-1.0166976669314102E-2</c:v>
                </c:pt>
                <c:pt idx="808">
                  <c:v>-2.001530412062504E-3</c:v>
                </c:pt>
                <c:pt idx="809">
                  <c:v>8.9107236327000718E-3</c:v>
                </c:pt>
                <c:pt idx="810">
                  <c:v>1.3080434591549422E-2</c:v>
                </c:pt>
                <c:pt idx="811">
                  <c:v>-7.5190670434262643E-3</c:v>
                </c:pt>
                <c:pt idx="812">
                  <c:v>-9.1857603383144225E-4</c:v>
                </c:pt>
                <c:pt idx="813">
                  <c:v>-6.1941863971465387E-3</c:v>
                </c:pt>
                <c:pt idx="814">
                  <c:v>-7.2176238343432267E-3</c:v>
                </c:pt>
                <c:pt idx="815">
                  <c:v>-3.8124266875626707E-3</c:v>
                </c:pt>
                <c:pt idx="816">
                  <c:v>-2.2167911636692956E-3</c:v>
                </c:pt>
                <c:pt idx="817">
                  <c:v>-3.9470527893572908E-3</c:v>
                </c:pt>
                <c:pt idx="818">
                  <c:v>-1.5170944546053506E-3</c:v>
                </c:pt>
                <c:pt idx="819">
                  <c:v>3.3216051964666919E-3</c:v>
                </c:pt>
                <c:pt idx="820">
                  <c:v>-2.0470504546564764E-3</c:v>
                </c:pt>
                <c:pt idx="821">
                  <c:v>2.9496860593921123E-3</c:v>
                </c:pt>
                <c:pt idx="822">
                  <c:v>1.406405441740312E-3</c:v>
                </c:pt>
                <c:pt idx="823">
                  <c:v>-2.2529667685609409E-3</c:v>
                </c:pt>
                <c:pt idx="824">
                  <c:v>2.5322927043635981E-5</c:v>
                </c:pt>
                <c:pt idx="825">
                  <c:v>-1.0631516474820616E-2</c:v>
                </c:pt>
                <c:pt idx="826">
                  <c:v>-3.5555750248233435E-3</c:v>
                </c:pt>
                <c:pt idx="827">
                  <c:v>2.5720671103382146E-3</c:v>
                </c:pt>
                <c:pt idx="828">
                  <c:v>3.694728672066203E-3</c:v>
                </c:pt>
                <c:pt idx="829">
                  <c:v>-7.2719632865725367E-3</c:v>
                </c:pt>
                <c:pt idx="830">
                  <c:v>-2.0466520205554002E-3</c:v>
                </c:pt>
                <c:pt idx="831">
                  <c:v>-1.0249445942921783E-2</c:v>
                </c:pt>
                <c:pt idx="832">
                  <c:v>-7.0469382852958147E-3</c:v>
                </c:pt>
                <c:pt idx="833">
                  <c:v>-6.6433339067363713E-4</c:v>
                </c:pt>
                <c:pt idx="834">
                  <c:v>1.2611770331844588E-2</c:v>
                </c:pt>
                <c:pt idx="835">
                  <c:v>-1.0260765669108229E-2</c:v>
                </c:pt>
                <c:pt idx="836">
                  <c:v>-4.8491887354391765E-3</c:v>
                </c:pt>
                <c:pt idx="837">
                  <c:v>-4.4660110594789901E-3</c:v>
                </c:pt>
                <c:pt idx="838">
                  <c:v>5.5271513713817154E-3</c:v>
                </c:pt>
                <c:pt idx="839">
                  <c:v>-4.2487910866625123E-3</c:v>
                </c:pt>
                <c:pt idx="840">
                  <c:v>1.7832322271188032E-2</c:v>
                </c:pt>
                <c:pt idx="841">
                  <c:v>1.454052036143926E-2</c:v>
                </c:pt>
                <c:pt idx="842">
                  <c:v>-5.9188348705783598E-3</c:v>
                </c:pt>
                <c:pt idx="843">
                  <c:v>9.4690167102810269E-3</c:v>
                </c:pt>
                <c:pt idx="844">
                  <c:v>1.6194665249821435E-2</c:v>
                </c:pt>
                <c:pt idx="845">
                  <c:v>8.6805407599478621E-3</c:v>
                </c:pt>
                <c:pt idx="846">
                  <c:v>2.1826943483975934E-2</c:v>
                </c:pt>
                <c:pt idx="847">
                  <c:v>2.885769922916418E-3</c:v>
                </c:pt>
                <c:pt idx="848">
                  <c:v>-1.8530344435268189E-3</c:v>
                </c:pt>
                <c:pt idx="849">
                  <c:v>-3.1353161534824862E-3</c:v>
                </c:pt>
                <c:pt idx="850">
                  <c:v>7.6052019581393671E-3</c:v>
                </c:pt>
                <c:pt idx="851">
                  <c:v>1.9699679526144001E-3</c:v>
                </c:pt>
                <c:pt idx="852">
                  <c:v>1.2556463931100857E-3</c:v>
                </c:pt>
                <c:pt idx="853">
                  <c:v>-5.8207513979236652E-3</c:v>
                </c:pt>
                <c:pt idx="854">
                  <c:v>6.1646801860325727E-3</c:v>
                </c:pt>
                <c:pt idx="855">
                  <c:v>-1.5520382009752844E-2</c:v>
                </c:pt>
                <c:pt idx="856">
                  <c:v>1.7487404389355185E-3</c:v>
                </c:pt>
                <c:pt idx="857">
                  <c:v>-2.3642937589790556E-2</c:v>
                </c:pt>
                <c:pt idx="858">
                  <c:v>-1.682237704132945E-2</c:v>
                </c:pt>
                <c:pt idx="859">
                  <c:v>-6.4700602683752662E-3</c:v>
                </c:pt>
                <c:pt idx="860">
                  <c:v>1.1612705036002317E-2</c:v>
                </c:pt>
                <c:pt idx="861">
                  <c:v>1.2547404085863823E-2</c:v>
                </c:pt>
                <c:pt idx="862">
                  <c:v>4.4757274028852231E-3</c:v>
                </c:pt>
                <c:pt idx="863">
                  <c:v>1.392127061641186E-3</c:v>
                </c:pt>
                <c:pt idx="864">
                  <c:v>-5.9402842059108904E-3</c:v>
                </c:pt>
                <c:pt idx="865">
                  <c:v>-6.7777474847075803E-3</c:v>
                </c:pt>
                <c:pt idx="866">
                  <c:v>2.1549882368743427E-3</c:v>
                </c:pt>
                <c:pt idx="867">
                  <c:v>5.8865220921343261E-3</c:v>
                </c:pt>
                <c:pt idx="868">
                  <c:v>-1.120275480167658E-2</c:v>
                </c:pt>
                <c:pt idx="869">
                  <c:v>-2.6970834964039386E-3</c:v>
                </c:pt>
                <c:pt idx="870">
                  <c:v>2.0139925688989417E-2</c:v>
                </c:pt>
                <c:pt idx="871">
                  <c:v>-3.8981697437809854E-2</c:v>
                </c:pt>
                <c:pt idx="872">
                  <c:v>6.0961219686025284E-3</c:v>
                </c:pt>
                <c:pt idx="873">
                  <c:v>-1.5945557947558532E-3</c:v>
                </c:pt>
                <c:pt idx="874">
                  <c:v>1.7927815749247403E-2</c:v>
                </c:pt>
                <c:pt idx="875">
                  <c:v>-8.6324973730895881E-3</c:v>
                </c:pt>
                <c:pt idx="876">
                  <c:v>9.8394063190747061E-3</c:v>
                </c:pt>
                <c:pt idx="877">
                  <c:v>7.0313346504567971E-3</c:v>
                </c:pt>
                <c:pt idx="878">
                  <c:v>9.3560587976815445E-3</c:v>
                </c:pt>
                <c:pt idx="879">
                  <c:v>4.2747137776410083E-3</c:v>
                </c:pt>
                <c:pt idx="880">
                  <c:v>-2.7009574975252793E-2</c:v>
                </c:pt>
                <c:pt idx="881">
                  <c:v>6.6793719372935014E-3</c:v>
                </c:pt>
                <c:pt idx="882">
                  <c:v>4.399184081306828E-3</c:v>
                </c:pt>
                <c:pt idx="883">
                  <c:v>-3.6686512666710125E-4</c:v>
                </c:pt>
                <c:pt idx="884">
                  <c:v>-2.1165441355963121E-4</c:v>
                </c:pt>
                <c:pt idx="885">
                  <c:v>6.3495283055403223E-3</c:v>
                </c:pt>
                <c:pt idx="886">
                  <c:v>-2.1853117258879666E-2</c:v>
                </c:pt>
                <c:pt idx="887">
                  <c:v>-1.21182878489214E-2</c:v>
                </c:pt>
                <c:pt idx="888">
                  <c:v>-7.4771102002082392E-3</c:v>
                </c:pt>
                <c:pt idx="889">
                  <c:v>8.8289675637672187E-4</c:v>
                </c:pt>
                <c:pt idx="890">
                  <c:v>4.1690143473914754E-3</c:v>
                </c:pt>
                <c:pt idx="891">
                  <c:v>7.5159179073901348E-3</c:v>
                </c:pt>
                <c:pt idx="892">
                  <c:v>1.2592632792115414E-2</c:v>
                </c:pt>
                <c:pt idx="893">
                  <c:v>1.4860434914442556E-3</c:v>
                </c:pt>
                <c:pt idx="894">
                  <c:v>-1.1543994203615678E-2</c:v>
                </c:pt>
                <c:pt idx="895">
                  <c:v>-1.5323417021069197E-2</c:v>
                </c:pt>
                <c:pt idx="896">
                  <c:v>2.7277940695779423E-3</c:v>
                </c:pt>
                <c:pt idx="897">
                  <c:v>-1.0093690269896468E-3</c:v>
                </c:pt>
                <c:pt idx="898">
                  <c:v>7.040667920234155E-3</c:v>
                </c:pt>
                <c:pt idx="899">
                  <c:v>1.3766976693168908E-3</c:v>
                </c:pt>
                <c:pt idx="900">
                  <c:v>-1.8836667781189809E-2</c:v>
                </c:pt>
                <c:pt idx="901">
                  <c:v>1.3707258352518105E-2</c:v>
                </c:pt>
                <c:pt idx="902">
                  <c:v>8.2331793160327397E-4</c:v>
                </c:pt>
                <c:pt idx="903">
                  <c:v>-1.4738982483594728E-2</c:v>
                </c:pt>
                <c:pt idx="904">
                  <c:v>2.563077942734754E-3</c:v>
                </c:pt>
                <c:pt idx="905">
                  <c:v>-3.2284653198726747E-2</c:v>
                </c:pt>
                <c:pt idx="906">
                  <c:v>-9.0299519927443429E-3</c:v>
                </c:pt>
                <c:pt idx="907">
                  <c:v>-6.234777624288145E-3</c:v>
                </c:pt>
                <c:pt idx="908">
                  <c:v>-6.206557426425118E-3</c:v>
                </c:pt>
                <c:pt idx="909">
                  <c:v>-5.5472535581926989E-3</c:v>
                </c:pt>
                <c:pt idx="910">
                  <c:v>1.1420318565048009E-2</c:v>
                </c:pt>
                <c:pt idx="911">
                  <c:v>-2.181692967457417E-3</c:v>
                </c:pt>
                <c:pt idx="912">
                  <c:v>-6.32390109866193E-3</c:v>
                </c:pt>
                <c:pt idx="913">
                  <c:v>-8.4215778868615854E-3</c:v>
                </c:pt>
                <c:pt idx="914">
                  <c:v>-4.4312809803437447E-3</c:v>
                </c:pt>
                <c:pt idx="915">
                  <c:v>-1.3293552101498012E-3</c:v>
                </c:pt>
                <c:pt idx="916">
                  <c:v>2.5193381956065846E-3</c:v>
                </c:pt>
                <c:pt idx="917">
                  <c:v>6.9084056275790428E-3</c:v>
                </c:pt>
                <c:pt idx="918">
                  <c:v>-5.20952971582468E-3</c:v>
                </c:pt>
                <c:pt idx="919">
                  <c:v>5.6842610763993056E-3</c:v>
                </c:pt>
                <c:pt idx="920">
                  <c:v>3.8258433311778341E-2</c:v>
                </c:pt>
                <c:pt idx="921">
                  <c:v>1.5021640068486346E-2</c:v>
                </c:pt>
                <c:pt idx="922">
                  <c:v>-7.3512109197004108E-3</c:v>
                </c:pt>
                <c:pt idx="923">
                  <c:v>4.1663555520750463E-3</c:v>
                </c:pt>
                <c:pt idx="924">
                  <c:v>5.9313872430531408E-4</c:v>
                </c:pt>
                <c:pt idx="925">
                  <c:v>-2.7685749348147843E-2</c:v>
                </c:pt>
                <c:pt idx="926">
                  <c:v>4.9696375356313265E-3</c:v>
                </c:pt>
                <c:pt idx="927">
                  <c:v>1.3335645894812526E-2</c:v>
                </c:pt>
                <c:pt idx="928">
                  <c:v>-2.2759441657834146E-3</c:v>
                </c:pt>
                <c:pt idx="929">
                  <c:v>1.1497816247988997E-2</c:v>
                </c:pt>
                <c:pt idx="930">
                  <c:v>8.7809412107237202E-3</c:v>
                </c:pt>
                <c:pt idx="931">
                  <c:v>6.5690084795115415E-4</c:v>
                </c:pt>
                <c:pt idx="932">
                  <c:v>7.3780564158839315E-3</c:v>
                </c:pt>
                <c:pt idx="933">
                  <c:v>-6.1137787408901208E-4</c:v>
                </c:pt>
                <c:pt idx="934">
                  <c:v>4.6537332003717411E-3</c:v>
                </c:pt>
                <c:pt idx="935">
                  <c:v>-1.7742733334200816E-2</c:v>
                </c:pt>
                <c:pt idx="936">
                  <c:v>-3.8307528545885039E-3</c:v>
                </c:pt>
                <c:pt idx="937">
                  <c:v>5.8524943606813257E-3</c:v>
                </c:pt>
                <c:pt idx="938">
                  <c:v>8.1382363365231011E-3</c:v>
                </c:pt>
                <c:pt idx="939">
                  <c:v>-6.5616987295127847E-3</c:v>
                </c:pt>
                <c:pt idx="940">
                  <c:v>-4.567239831056156E-3</c:v>
                </c:pt>
                <c:pt idx="941">
                  <c:v>1.8833741917377512E-2</c:v>
                </c:pt>
                <c:pt idx="942">
                  <c:v>3.8390003346677423E-3</c:v>
                </c:pt>
                <c:pt idx="943">
                  <c:v>-8.9819092947808141E-3</c:v>
                </c:pt>
                <c:pt idx="944">
                  <c:v>-2.8829204951140591E-2</c:v>
                </c:pt>
                <c:pt idx="945">
                  <c:v>5.7562235939132218E-4</c:v>
                </c:pt>
                <c:pt idx="946">
                  <c:v>2.605914707512705E-4</c:v>
                </c:pt>
                <c:pt idx="947">
                  <c:v>-6.4606444395737825E-3</c:v>
                </c:pt>
                <c:pt idx="948">
                  <c:v>7.7049531713292091E-3</c:v>
                </c:pt>
                <c:pt idx="949">
                  <c:v>1.0839564353050186E-2</c:v>
                </c:pt>
                <c:pt idx="950">
                  <c:v>3.5073742012127151E-3</c:v>
                </c:pt>
                <c:pt idx="951">
                  <c:v>-2.885720666865774E-2</c:v>
                </c:pt>
                <c:pt idx="952">
                  <c:v>2.6823850788830483E-3</c:v>
                </c:pt>
                <c:pt idx="953">
                  <c:v>-7.730334403592329E-3</c:v>
                </c:pt>
                <c:pt idx="954">
                  <c:v>-6.853071435749424E-3</c:v>
                </c:pt>
                <c:pt idx="955">
                  <c:v>5.1664682413058681E-3</c:v>
                </c:pt>
                <c:pt idx="956">
                  <c:v>-5.3343781739222749E-3</c:v>
                </c:pt>
                <c:pt idx="957">
                  <c:v>-1.0255468307540324E-3</c:v>
                </c:pt>
                <c:pt idx="958">
                  <c:v>1.9194160733624131E-3</c:v>
                </c:pt>
                <c:pt idx="959">
                  <c:v>-9.446309704321176E-3</c:v>
                </c:pt>
                <c:pt idx="960">
                  <c:v>3.032866318792969E-3</c:v>
                </c:pt>
                <c:pt idx="961">
                  <c:v>-8.6258539103353394E-3</c:v>
                </c:pt>
                <c:pt idx="962">
                  <c:v>8.5272574728579836E-3</c:v>
                </c:pt>
                <c:pt idx="963">
                  <c:v>2.3275979603522394E-3</c:v>
                </c:pt>
                <c:pt idx="964">
                  <c:v>-1.4898828459812142E-3</c:v>
                </c:pt>
                <c:pt idx="965">
                  <c:v>1.0186876416312949E-3</c:v>
                </c:pt>
                <c:pt idx="966">
                  <c:v>-5.5556097629726733E-3</c:v>
                </c:pt>
                <c:pt idx="967">
                  <c:v>9.7351914087729797E-3</c:v>
                </c:pt>
                <c:pt idx="968">
                  <c:v>6.607649905189408E-3</c:v>
                </c:pt>
                <c:pt idx="969">
                  <c:v>6.5834906720386279E-3</c:v>
                </c:pt>
                <c:pt idx="970">
                  <c:v>-1.1379001948398733E-4</c:v>
                </c:pt>
                <c:pt idx="971">
                  <c:v>2.8470661249403117E-3</c:v>
                </c:pt>
                <c:pt idx="972">
                  <c:v>1.4988492411185969E-3</c:v>
                </c:pt>
                <c:pt idx="973">
                  <c:v>-8.0447138283392273E-4</c:v>
                </c:pt>
                <c:pt idx="974">
                  <c:v>-2.0962595638926084E-3</c:v>
                </c:pt>
                <c:pt idx="975">
                  <c:v>4.2901469839915938E-3</c:v>
                </c:pt>
                <c:pt idx="976">
                  <c:v>-1.6639369327751919E-4</c:v>
                </c:pt>
                <c:pt idx="977">
                  <c:v>-1.4810335283858236E-2</c:v>
                </c:pt>
                <c:pt idx="978">
                  <c:v>-2.2974116574073079E-3</c:v>
                </c:pt>
                <c:pt idx="979">
                  <c:v>-3.3050392835330378E-3</c:v>
                </c:pt>
                <c:pt idx="980">
                  <c:v>5.4629046919795826E-6</c:v>
                </c:pt>
                <c:pt idx="981">
                  <c:v>-3.3332425884083066E-3</c:v>
                </c:pt>
                <c:pt idx="982">
                  <c:v>7.6545629979040666E-4</c:v>
                </c:pt>
                <c:pt idx="983">
                  <c:v>-1.4165037505750461E-4</c:v>
                </c:pt>
                <c:pt idx="984">
                  <c:v>1.1952193870856321E-2</c:v>
                </c:pt>
                <c:pt idx="985">
                  <c:v>5.8415386970052221E-3</c:v>
                </c:pt>
                <c:pt idx="986">
                  <c:v>-7.1703397801570722E-3</c:v>
                </c:pt>
                <c:pt idx="987">
                  <c:v>3.7562644797943621E-4</c:v>
                </c:pt>
                <c:pt idx="988">
                  <c:v>1.1227108850713362E-2</c:v>
                </c:pt>
                <c:pt idx="989">
                  <c:v>6.5212024288238786E-3</c:v>
                </c:pt>
                <c:pt idx="990">
                  <c:v>4.0496485516546355E-3</c:v>
                </c:pt>
                <c:pt idx="991">
                  <c:v>3.5266518768253515E-3</c:v>
                </c:pt>
                <c:pt idx="992">
                  <c:v>4.9126164126843596E-3</c:v>
                </c:pt>
                <c:pt idx="993">
                  <c:v>2.9672009298291283E-3</c:v>
                </c:pt>
                <c:pt idx="994">
                  <c:v>-4.6454551038693183E-3</c:v>
                </c:pt>
                <c:pt idx="995">
                  <c:v>-3.3548768944742465E-3</c:v>
                </c:pt>
                <c:pt idx="996">
                  <c:v>2.081042726231626E-3</c:v>
                </c:pt>
                <c:pt idx="997">
                  <c:v>-4.7535972847419367E-5</c:v>
                </c:pt>
                <c:pt idx="998">
                  <c:v>-3.6734367088821118E-3</c:v>
                </c:pt>
                <c:pt idx="999">
                  <c:v>1.0005995351324782E-2</c:v>
                </c:pt>
                <c:pt idx="1000">
                  <c:v>3.8754939265330749E-3</c:v>
                </c:pt>
                <c:pt idx="1001">
                  <c:v>-1.4327360556956329E-2</c:v>
                </c:pt>
                <c:pt idx="1002">
                  <c:v>2.5901392267758668E-2</c:v>
                </c:pt>
                <c:pt idx="1003">
                  <c:v>8.6373916448616445E-3</c:v>
                </c:pt>
                <c:pt idx="1004">
                  <c:v>-1.1969136169461552E-2</c:v>
                </c:pt>
                <c:pt idx="1005">
                  <c:v>-2.8277408129444093E-3</c:v>
                </c:pt>
                <c:pt idx="1006">
                  <c:v>-7.4812637709374945E-3</c:v>
                </c:pt>
                <c:pt idx="1007">
                  <c:v>-1.5095719861738129E-4</c:v>
                </c:pt>
                <c:pt idx="1008">
                  <c:v>1.3232666609212388E-2</c:v>
                </c:pt>
                <c:pt idx="1009">
                  <c:v>1.1088795251200316E-3</c:v>
                </c:pt>
                <c:pt idx="1010">
                  <c:v>-3.0531420185194089E-5</c:v>
                </c:pt>
                <c:pt idx="1011">
                  <c:v>-4.7058198590495613E-2</c:v>
                </c:pt>
                <c:pt idx="1012">
                  <c:v>6.5840765453255862E-3</c:v>
                </c:pt>
                <c:pt idx="1013">
                  <c:v>-5.6843087532443826E-3</c:v>
                </c:pt>
                <c:pt idx="1014">
                  <c:v>2.7562351861624462E-2</c:v>
                </c:pt>
                <c:pt idx="1015">
                  <c:v>4.060702275481891E-3</c:v>
                </c:pt>
                <c:pt idx="1016">
                  <c:v>-9.6464000973768439E-3</c:v>
                </c:pt>
                <c:pt idx="1017">
                  <c:v>-1.3010884451812869E-2</c:v>
                </c:pt>
                <c:pt idx="1018">
                  <c:v>-1.7411301781615547E-2</c:v>
                </c:pt>
                <c:pt idx="1019">
                  <c:v>-1.601246391382475E-2</c:v>
                </c:pt>
                <c:pt idx="1020">
                  <c:v>8.2174342069594453E-3</c:v>
                </c:pt>
                <c:pt idx="1021">
                  <c:v>-1.8166696323927924E-3</c:v>
                </c:pt>
                <c:pt idx="1022">
                  <c:v>-7.4874991701207594E-3</c:v>
                </c:pt>
                <c:pt idx="1023">
                  <c:v>1.7636990868951711E-2</c:v>
                </c:pt>
                <c:pt idx="1024">
                  <c:v>-2.8175386865109884E-4</c:v>
                </c:pt>
                <c:pt idx="1025">
                  <c:v>-1.2924563596671948E-2</c:v>
                </c:pt>
                <c:pt idx="1026">
                  <c:v>-6.0411907557985801E-3</c:v>
                </c:pt>
                <c:pt idx="1027">
                  <c:v>4.9562596134344631E-3</c:v>
                </c:pt>
                <c:pt idx="1028">
                  <c:v>-1.5178380406766022E-2</c:v>
                </c:pt>
                <c:pt idx="1029">
                  <c:v>-3.8219038476989928E-3</c:v>
                </c:pt>
                <c:pt idx="1030">
                  <c:v>1.6226457130344622E-3</c:v>
                </c:pt>
                <c:pt idx="1031">
                  <c:v>3.9704510333718164E-3</c:v>
                </c:pt>
                <c:pt idx="1032">
                  <c:v>-1.7082362969647377E-3</c:v>
                </c:pt>
                <c:pt idx="1033">
                  <c:v>3.5510853804811746E-3</c:v>
                </c:pt>
                <c:pt idx="1034">
                  <c:v>1.5735543856164536E-2</c:v>
                </c:pt>
                <c:pt idx="1035">
                  <c:v>4.9618694897862478E-3</c:v>
                </c:pt>
                <c:pt idx="1036">
                  <c:v>3.0466048316461812E-3</c:v>
                </c:pt>
                <c:pt idx="1037">
                  <c:v>1.3148759567243878E-2</c:v>
                </c:pt>
                <c:pt idx="1038">
                  <c:v>-3.8134046765495415E-3</c:v>
                </c:pt>
                <c:pt idx="1039">
                  <c:v>-3.2721668791944121E-3</c:v>
                </c:pt>
                <c:pt idx="1040">
                  <c:v>-5.3040718965374446E-3</c:v>
                </c:pt>
                <c:pt idx="1041">
                  <c:v>7.0756883708070891E-3</c:v>
                </c:pt>
                <c:pt idx="1042">
                  <c:v>1.9494078461643648E-2</c:v>
                </c:pt>
                <c:pt idx="1043">
                  <c:v>-4.2854405014733261E-3</c:v>
                </c:pt>
                <c:pt idx="1044">
                  <c:v>1.1004049291644604E-2</c:v>
                </c:pt>
                <c:pt idx="1045">
                  <c:v>2.5725456008521663E-2</c:v>
                </c:pt>
                <c:pt idx="1046">
                  <c:v>-1.5069589463638443E-2</c:v>
                </c:pt>
                <c:pt idx="1047">
                  <c:v>1.2258908699308386E-3</c:v>
                </c:pt>
                <c:pt idx="1048">
                  <c:v>-1.4566554616823138E-2</c:v>
                </c:pt>
                <c:pt idx="1049">
                  <c:v>-2.4404499704391257E-3</c:v>
                </c:pt>
                <c:pt idx="1050">
                  <c:v>4.7959096058591555E-3</c:v>
                </c:pt>
                <c:pt idx="1051">
                  <c:v>-6.5673276457090058E-3</c:v>
                </c:pt>
                <c:pt idx="1052">
                  <c:v>-8.3901475207850077E-3</c:v>
                </c:pt>
                <c:pt idx="1053">
                  <c:v>3.8509795706425857E-3</c:v>
                </c:pt>
                <c:pt idx="1054">
                  <c:v>-6.2138638206134255E-4</c:v>
                </c:pt>
                <c:pt idx="1055">
                  <c:v>1.2010348292437096E-2</c:v>
                </c:pt>
                <c:pt idx="1056">
                  <c:v>-2.0059445702069606E-2</c:v>
                </c:pt>
                <c:pt idx="1057">
                  <c:v>1.0200643673400862E-2</c:v>
                </c:pt>
                <c:pt idx="1058">
                  <c:v>-5.6742850347608698E-3</c:v>
                </c:pt>
                <c:pt idx="1059">
                  <c:v>-4.9310239469031996E-3</c:v>
                </c:pt>
                <c:pt idx="1060">
                  <c:v>-6.5872408066804172E-3</c:v>
                </c:pt>
                <c:pt idx="1061">
                  <c:v>-8.9463222836476154E-3</c:v>
                </c:pt>
                <c:pt idx="1062">
                  <c:v>-1.1162260486702595E-2</c:v>
                </c:pt>
                <c:pt idx="1063">
                  <c:v>-2.3130160167836281E-3</c:v>
                </c:pt>
                <c:pt idx="1064">
                  <c:v>-6.0608953961661374E-3</c:v>
                </c:pt>
                <c:pt idx="1065">
                  <c:v>4.3611794663666022E-3</c:v>
                </c:pt>
                <c:pt idx="1066">
                  <c:v>-3.7239285548247365E-3</c:v>
                </c:pt>
                <c:pt idx="1067">
                  <c:v>-8.0202308164549832E-3</c:v>
                </c:pt>
                <c:pt idx="1068">
                  <c:v>1.5290808205127399E-3</c:v>
                </c:pt>
                <c:pt idx="1069">
                  <c:v>1.2293158709296582E-2</c:v>
                </c:pt>
                <c:pt idx="1070">
                  <c:v>4.9229783749753699E-3</c:v>
                </c:pt>
                <c:pt idx="1071">
                  <c:v>-7.1313992136950262E-3</c:v>
                </c:pt>
                <c:pt idx="1072">
                  <c:v>-4.018882096025145E-3</c:v>
                </c:pt>
                <c:pt idx="1073">
                  <c:v>-8.2947398997442509E-4</c:v>
                </c:pt>
                <c:pt idx="1074">
                  <c:v>1.1600522439261637E-3</c:v>
                </c:pt>
                <c:pt idx="1075">
                  <c:v>-1.0764875628144445E-2</c:v>
                </c:pt>
                <c:pt idx="1076">
                  <c:v>-1.3243429845880293E-4</c:v>
                </c:pt>
                <c:pt idx="1077">
                  <c:v>1.1409099833846197E-3</c:v>
                </c:pt>
                <c:pt idx="1078">
                  <c:v>4.8618343352809009E-3</c:v>
                </c:pt>
                <c:pt idx="1079">
                  <c:v>-4.7872539206013009E-3</c:v>
                </c:pt>
                <c:pt idx="1080">
                  <c:v>-5.7232045579070547E-3</c:v>
                </c:pt>
                <c:pt idx="1081">
                  <c:v>-4.0312607218550879E-3</c:v>
                </c:pt>
                <c:pt idx="1082">
                  <c:v>-5.8924751118271225E-3</c:v>
                </c:pt>
                <c:pt idx="1083">
                  <c:v>1.0764536504549794E-2</c:v>
                </c:pt>
                <c:pt idx="1084">
                  <c:v>7.2234700884181062E-3</c:v>
                </c:pt>
                <c:pt idx="1085">
                  <c:v>7.3681399038512995E-3</c:v>
                </c:pt>
                <c:pt idx="1086">
                  <c:v>-5.4494566867302422E-3</c:v>
                </c:pt>
                <c:pt idx="1087">
                  <c:v>-2.1349349999874243E-3</c:v>
                </c:pt>
                <c:pt idx="1088">
                  <c:v>-2.2504410332524795E-3</c:v>
                </c:pt>
                <c:pt idx="1089">
                  <c:v>5.1320152038335908E-3</c:v>
                </c:pt>
                <c:pt idx="1090">
                  <c:v>2.5167845763972676E-4</c:v>
                </c:pt>
                <c:pt idx="1091">
                  <c:v>-7.7138426130159013E-3</c:v>
                </c:pt>
                <c:pt idx="1092">
                  <c:v>-3.1680774998278853E-3</c:v>
                </c:pt>
                <c:pt idx="1093">
                  <c:v>-3.1178149013975347E-3</c:v>
                </c:pt>
                <c:pt idx="1094">
                  <c:v>6.6082726528063948E-4</c:v>
                </c:pt>
                <c:pt idx="1095">
                  <c:v>6.428853661234999E-3</c:v>
                </c:pt>
                <c:pt idx="1096">
                  <c:v>8.4572850363901515E-3</c:v>
                </c:pt>
                <c:pt idx="1097">
                  <c:v>-5.4328332593216368E-3</c:v>
                </c:pt>
                <c:pt idx="1098">
                  <c:v>-1.2046148159585447E-4</c:v>
                </c:pt>
                <c:pt idx="1099">
                  <c:v>-7.7371207534801239E-3</c:v>
                </c:pt>
                <c:pt idx="1100">
                  <c:v>3.0017192236722737E-4</c:v>
                </c:pt>
                <c:pt idx="1101">
                  <c:v>-2.5189844469082948E-3</c:v>
                </c:pt>
                <c:pt idx="1102">
                  <c:v>-1.6750478241925101E-3</c:v>
                </c:pt>
                <c:pt idx="1103">
                  <c:v>8.1385063823409445E-4</c:v>
                </c:pt>
                <c:pt idx="1104">
                  <c:v>4.3266329695856977E-3</c:v>
                </c:pt>
                <c:pt idx="1105">
                  <c:v>2.8803067161324099E-3</c:v>
                </c:pt>
                <c:pt idx="1106">
                  <c:v>2.3125287881408136E-4</c:v>
                </c:pt>
                <c:pt idx="1107">
                  <c:v>7.0415292152849478E-4</c:v>
                </c:pt>
                <c:pt idx="1108">
                  <c:v>-2.4466265588386745E-3</c:v>
                </c:pt>
                <c:pt idx="1109">
                  <c:v>-1.0191211110526135E-2</c:v>
                </c:pt>
                <c:pt idx="1110">
                  <c:v>1.7043078298473246E-2</c:v>
                </c:pt>
                <c:pt idx="1111">
                  <c:v>-2.0749306807564803E-3</c:v>
                </c:pt>
                <c:pt idx="1112">
                  <c:v>-1.7491363955308285E-3</c:v>
                </c:pt>
                <c:pt idx="1113">
                  <c:v>-5.3906603548448976E-3</c:v>
                </c:pt>
                <c:pt idx="1114">
                  <c:v>-2.3930676977282784E-3</c:v>
                </c:pt>
                <c:pt idx="1115">
                  <c:v>9.3874020663054659E-3</c:v>
                </c:pt>
                <c:pt idx="1116">
                  <c:v>4.6300450785007443E-3</c:v>
                </c:pt>
                <c:pt idx="1117">
                  <c:v>2.8811325391176878E-3</c:v>
                </c:pt>
                <c:pt idx="1118">
                  <c:v>-1.4707170938081923E-2</c:v>
                </c:pt>
                <c:pt idx="1119">
                  <c:v>-5.3917077786121946E-3</c:v>
                </c:pt>
                <c:pt idx="1120">
                  <c:v>1.2910040980612764E-3</c:v>
                </c:pt>
                <c:pt idx="1121">
                  <c:v>-1.8013159358945402E-3</c:v>
                </c:pt>
                <c:pt idx="1122">
                  <c:v>-5.2861212033855718E-4</c:v>
                </c:pt>
                <c:pt idx="1123">
                  <c:v>-4.6881474966038962E-3</c:v>
                </c:pt>
                <c:pt idx="1124">
                  <c:v>2.2318140501233243E-3</c:v>
                </c:pt>
                <c:pt idx="1125">
                  <c:v>-7.2121185869074515E-3</c:v>
                </c:pt>
                <c:pt idx="1126">
                  <c:v>-3.1184868738145027E-3</c:v>
                </c:pt>
                <c:pt idx="1127">
                  <c:v>-1.9193007112413736E-3</c:v>
                </c:pt>
                <c:pt idx="1128">
                  <c:v>8.7229570940479638E-3</c:v>
                </c:pt>
                <c:pt idx="1129">
                  <c:v>1.1031783681706658E-3</c:v>
                </c:pt>
                <c:pt idx="1130">
                  <c:v>9.9182420555899466E-3</c:v>
                </c:pt>
                <c:pt idx="1131">
                  <c:v>-7.6921191709392704E-3</c:v>
                </c:pt>
                <c:pt idx="1132">
                  <c:v>-3.2023081130521649E-3</c:v>
                </c:pt>
                <c:pt idx="1133">
                  <c:v>1.8866789596717478E-3</c:v>
                </c:pt>
                <c:pt idx="1134">
                  <c:v>2.4570872630891986E-3</c:v>
                </c:pt>
                <c:pt idx="1135">
                  <c:v>-6.9337522258866905E-4</c:v>
                </c:pt>
                <c:pt idx="1136">
                  <c:v>-1.3355118749748519E-3</c:v>
                </c:pt>
                <c:pt idx="1137">
                  <c:v>6.157464223780054E-3</c:v>
                </c:pt>
                <c:pt idx="1138">
                  <c:v>1.6340136259399916E-2</c:v>
                </c:pt>
                <c:pt idx="1139">
                  <c:v>7.171075479662131E-3</c:v>
                </c:pt>
                <c:pt idx="1140">
                  <c:v>-4.6056261696971742E-4</c:v>
                </c:pt>
                <c:pt idx="1141">
                  <c:v>1.1050598414795689E-2</c:v>
                </c:pt>
                <c:pt idx="1142">
                  <c:v>4.4156781195177509E-3</c:v>
                </c:pt>
                <c:pt idx="1143">
                  <c:v>3.966679284189983E-3</c:v>
                </c:pt>
                <c:pt idx="1144">
                  <c:v>7.4803501201451501E-3</c:v>
                </c:pt>
                <c:pt idx="1145">
                  <c:v>-2.3650396183539E-3</c:v>
                </c:pt>
                <c:pt idx="1146">
                  <c:v>-6.5180108138390156E-3</c:v>
                </c:pt>
                <c:pt idx="1147">
                  <c:v>4.0507630418259036E-3</c:v>
                </c:pt>
                <c:pt idx="1148">
                  <c:v>1.376080887807259E-2</c:v>
                </c:pt>
                <c:pt idx="1149">
                  <c:v>5.1411090475375178E-3</c:v>
                </c:pt>
                <c:pt idx="1150">
                  <c:v>8.5275894513885467E-3</c:v>
                </c:pt>
                <c:pt idx="1151">
                  <c:v>1.1057895190601718E-2</c:v>
                </c:pt>
                <c:pt idx="1152">
                  <c:v>-4.2056058930445735E-3</c:v>
                </c:pt>
                <c:pt idx="1153">
                  <c:v>-1.3390957514982845E-2</c:v>
                </c:pt>
                <c:pt idx="1154">
                  <c:v>-4.3500627619891827E-3</c:v>
                </c:pt>
                <c:pt idx="1155">
                  <c:v>-5.1608564438508754E-3</c:v>
                </c:pt>
                <c:pt idx="1156">
                  <c:v>-8.5349465454917506E-3</c:v>
                </c:pt>
                <c:pt idx="1157">
                  <c:v>2.1831374047235692E-2</c:v>
                </c:pt>
                <c:pt idx="1158">
                  <c:v>-4.9599807343085897E-3</c:v>
                </c:pt>
                <c:pt idx="1159">
                  <c:v>-8.3195494513595668E-3</c:v>
                </c:pt>
                <c:pt idx="1160">
                  <c:v>-2.0537544455060787E-3</c:v>
                </c:pt>
                <c:pt idx="1161">
                  <c:v>1.0825458764466934E-2</c:v>
                </c:pt>
                <c:pt idx="1162">
                  <c:v>-8.653670636519074E-3</c:v>
                </c:pt>
                <c:pt idx="1163">
                  <c:v>1.6681339760309839E-3</c:v>
                </c:pt>
                <c:pt idx="1164">
                  <c:v>-1.7885194881091455E-3</c:v>
                </c:pt>
                <c:pt idx="1165">
                  <c:v>5.8303737499326054E-3</c:v>
                </c:pt>
                <c:pt idx="1166">
                  <c:v>1.5678758861266062E-3</c:v>
                </c:pt>
                <c:pt idx="1167">
                  <c:v>-4.6126629027089579E-3</c:v>
                </c:pt>
                <c:pt idx="1168">
                  <c:v>9.948736471131021E-3</c:v>
                </c:pt>
                <c:pt idx="1169">
                  <c:v>1.7922999673746685E-2</c:v>
                </c:pt>
                <c:pt idx="1170">
                  <c:v>-1.015928494055799E-2</c:v>
                </c:pt>
                <c:pt idx="1171">
                  <c:v>1.9667628129835829E-2</c:v>
                </c:pt>
                <c:pt idx="1172">
                  <c:v>-1.69915092114277E-2</c:v>
                </c:pt>
                <c:pt idx="1173">
                  <c:v>-2.8619274738285335E-3</c:v>
                </c:pt>
                <c:pt idx="1174">
                  <c:v>-3.5828146008385696E-3</c:v>
                </c:pt>
                <c:pt idx="1175">
                  <c:v>2.1761689940646397E-3</c:v>
                </c:pt>
                <c:pt idx="1176">
                  <c:v>1.3330542539351528E-3</c:v>
                </c:pt>
                <c:pt idx="1177">
                  <c:v>-2.3940926544150431E-2</c:v>
                </c:pt>
                <c:pt idx="1178">
                  <c:v>-4.4729319059375657E-3</c:v>
                </c:pt>
                <c:pt idx="1179">
                  <c:v>3.9954602332372396E-3</c:v>
                </c:pt>
                <c:pt idx="1180">
                  <c:v>3.014050815143735E-3</c:v>
                </c:pt>
                <c:pt idx="1181">
                  <c:v>1.1269604383480217E-2</c:v>
                </c:pt>
                <c:pt idx="1182">
                  <c:v>3.9625177393212739E-3</c:v>
                </c:pt>
                <c:pt idx="1183">
                  <c:v>-1.5978328860683264E-2</c:v>
                </c:pt>
                <c:pt idx="1184">
                  <c:v>1.3225342900314912E-2</c:v>
                </c:pt>
                <c:pt idx="1185">
                  <c:v>2.0209267670376761E-3</c:v>
                </c:pt>
                <c:pt idx="1186">
                  <c:v>2.2346492470096763E-2</c:v>
                </c:pt>
                <c:pt idx="1187">
                  <c:v>2.3570024703270884E-2</c:v>
                </c:pt>
                <c:pt idx="1188">
                  <c:v>-2.0871708297781139E-2</c:v>
                </c:pt>
                <c:pt idx="1189">
                  <c:v>-1.2012551865085385E-2</c:v>
                </c:pt>
                <c:pt idx="1190">
                  <c:v>-1.8382257461257826E-2</c:v>
                </c:pt>
                <c:pt idx="1191">
                  <c:v>-1.7154133037795501E-2</c:v>
                </c:pt>
                <c:pt idx="1192">
                  <c:v>1.2341831768831711E-2</c:v>
                </c:pt>
                <c:pt idx="1193">
                  <c:v>-1.9112545325273966E-2</c:v>
                </c:pt>
                <c:pt idx="1194">
                  <c:v>4.275277296909144E-3</c:v>
                </c:pt>
                <c:pt idx="1195">
                  <c:v>8.133628024914916E-3</c:v>
                </c:pt>
                <c:pt idx="1196">
                  <c:v>-5.9215061936089101E-3</c:v>
                </c:pt>
                <c:pt idx="1197">
                  <c:v>-2.1885922565605732E-3</c:v>
                </c:pt>
                <c:pt idx="1198">
                  <c:v>1.329377650036662E-2</c:v>
                </c:pt>
                <c:pt idx="1199">
                  <c:v>-8.0074351474728311E-3</c:v>
                </c:pt>
                <c:pt idx="1200">
                  <c:v>-3.5147060233549779E-3</c:v>
                </c:pt>
                <c:pt idx="1201">
                  <c:v>-7.3032049000976811E-3</c:v>
                </c:pt>
                <c:pt idx="1202">
                  <c:v>1.8401594703739634E-3</c:v>
                </c:pt>
                <c:pt idx="1203">
                  <c:v>-1.3372351348589049E-2</c:v>
                </c:pt>
                <c:pt idx="1204">
                  <c:v>-2.1296002918838497E-3</c:v>
                </c:pt>
                <c:pt idx="1205">
                  <c:v>1.0616792152940816E-2</c:v>
                </c:pt>
                <c:pt idx="1206">
                  <c:v>1.238267425421901E-2</c:v>
                </c:pt>
                <c:pt idx="1207">
                  <c:v>-5.3665662661065653E-3</c:v>
                </c:pt>
                <c:pt idx="1208">
                  <c:v>-1.2622552513930517E-2</c:v>
                </c:pt>
                <c:pt idx="1209">
                  <c:v>-6.5302946324097429E-4</c:v>
                </c:pt>
                <c:pt idx="1210">
                  <c:v>-1.0080932120226742E-3</c:v>
                </c:pt>
                <c:pt idx="1211">
                  <c:v>-3.9210511111740839E-3</c:v>
                </c:pt>
                <c:pt idx="1212">
                  <c:v>-5.9317806868969031E-4</c:v>
                </c:pt>
                <c:pt idx="1213">
                  <c:v>7.5845302975461517E-3</c:v>
                </c:pt>
                <c:pt idx="1214">
                  <c:v>7.1762405010329959E-3</c:v>
                </c:pt>
                <c:pt idx="1215">
                  <c:v>-2.9554468914235726E-3</c:v>
                </c:pt>
                <c:pt idx="1216">
                  <c:v>4.7543595347663047E-3</c:v>
                </c:pt>
                <c:pt idx="1217">
                  <c:v>-6.2869512828001147E-3</c:v>
                </c:pt>
                <c:pt idx="1218">
                  <c:v>3.6889104546422805E-3</c:v>
                </c:pt>
                <c:pt idx="1219">
                  <c:v>4.3339168592706843E-3</c:v>
                </c:pt>
                <c:pt idx="1220">
                  <c:v>4.7876473466055783E-3</c:v>
                </c:pt>
                <c:pt idx="1221">
                  <c:v>-2.5317248479159752E-3</c:v>
                </c:pt>
                <c:pt idx="1222">
                  <c:v>6.7325000317446128E-3</c:v>
                </c:pt>
                <c:pt idx="1223">
                  <c:v>-4.9297184533637576E-3</c:v>
                </c:pt>
                <c:pt idx="1224">
                  <c:v>3.8609844405936076E-3</c:v>
                </c:pt>
                <c:pt idx="1225">
                  <c:v>-4.4484117480568615E-3</c:v>
                </c:pt>
                <c:pt idx="1226">
                  <c:v>-1.268772009171657E-3</c:v>
                </c:pt>
                <c:pt idx="1227">
                  <c:v>-2.2262017063279711E-3</c:v>
                </c:pt>
                <c:pt idx="1228">
                  <c:v>3.7001840510569269E-3</c:v>
                </c:pt>
                <c:pt idx="1229">
                  <c:v>6.9425958581239384E-3</c:v>
                </c:pt>
                <c:pt idx="1230">
                  <c:v>-1.0715301108284176E-3</c:v>
                </c:pt>
                <c:pt idx="1231">
                  <c:v>6.8321345855530922E-3</c:v>
                </c:pt>
                <c:pt idx="1232">
                  <c:v>4.2326804924190152E-3</c:v>
                </c:pt>
                <c:pt idx="1233">
                  <c:v>1.1265065084479544E-2</c:v>
                </c:pt>
                <c:pt idx="1234">
                  <c:v>-8.0628449870495081E-4</c:v>
                </c:pt>
                <c:pt idx="1235">
                  <c:v>5.6635789966421862E-3</c:v>
                </c:pt>
                <c:pt idx="1236">
                  <c:v>1.552769053771229E-2</c:v>
                </c:pt>
                <c:pt idx="1237">
                  <c:v>1.3873517099074429E-3</c:v>
                </c:pt>
                <c:pt idx="1238">
                  <c:v>1.0153841530162005E-2</c:v>
                </c:pt>
                <c:pt idx="1239">
                  <c:v>-9.5875650382787284E-3</c:v>
                </c:pt>
                <c:pt idx="1240">
                  <c:v>5.9311183213307224E-3</c:v>
                </c:pt>
                <c:pt idx="1241">
                  <c:v>7.6372143326285625E-3</c:v>
                </c:pt>
                <c:pt idx="1242">
                  <c:v>4.2128382960890422E-3</c:v>
                </c:pt>
                <c:pt idx="1243">
                  <c:v>-9.8495953270613876E-3</c:v>
                </c:pt>
                <c:pt idx="1244">
                  <c:v>-9.3000659571038959E-3</c:v>
                </c:pt>
                <c:pt idx="1245">
                  <c:v>-5.9725786894095523E-4</c:v>
                </c:pt>
                <c:pt idx="1246">
                  <c:v>9.3749589196910794E-3</c:v>
                </c:pt>
                <c:pt idx="1247">
                  <c:v>2.5282745953605947E-3</c:v>
                </c:pt>
                <c:pt idx="1248">
                  <c:v>-3.5547362353366337E-4</c:v>
                </c:pt>
                <c:pt idx="1249">
                  <c:v>1.8738466964866623E-2</c:v>
                </c:pt>
                <c:pt idx="1250">
                  <c:v>3.8895339272309194E-3</c:v>
                </c:pt>
                <c:pt idx="1251">
                  <c:v>2.4123288700154386E-3</c:v>
                </c:pt>
                <c:pt idx="1252">
                  <c:v>2.428638409112394E-3</c:v>
                </c:pt>
                <c:pt idx="1253">
                  <c:v>-3.2126084314703697E-4</c:v>
                </c:pt>
                <c:pt idx="1254">
                  <c:v>-2.1723884663681931E-3</c:v>
                </c:pt>
                <c:pt idx="1255">
                  <c:v>3.7880769753984005E-3</c:v>
                </c:pt>
                <c:pt idx="1256">
                  <c:v>4.8397021180011186E-4</c:v>
                </c:pt>
                <c:pt idx="1257">
                  <c:v>8.6909313200178619E-3</c:v>
                </c:pt>
                <c:pt idx="1258">
                  <c:v>1.4523183281136325E-2</c:v>
                </c:pt>
                <c:pt idx="1259">
                  <c:v>6.4138364191125424E-3</c:v>
                </c:pt>
                <c:pt idx="1260">
                  <c:v>-5.4578205811553438E-3</c:v>
                </c:pt>
                <c:pt idx="1261">
                  <c:v>1.6184744336763542E-2</c:v>
                </c:pt>
                <c:pt idx="1262">
                  <c:v>1.2898310629108992E-2</c:v>
                </c:pt>
                <c:pt idx="1263">
                  <c:v>5.824509771268741E-3</c:v>
                </c:pt>
                <c:pt idx="1264">
                  <c:v>-1.380191394370054E-2</c:v>
                </c:pt>
                <c:pt idx="1265">
                  <c:v>-8.7201257008388319E-3</c:v>
                </c:pt>
                <c:pt idx="1266">
                  <c:v>6.4248332764400742E-4</c:v>
                </c:pt>
                <c:pt idx="1267">
                  <c:v>-3.3946109812713408E-3</c:v>
                </c:pt>
                <c:pt idx="1268">
                  <c:v>3.6519173677160891E-3</c:v>
                </c:pt>
                <c:pt idx="1269">
                  <c:v>-1.5923351002665447E-3</c:v>
                </c:pt>
                <c:pt idx="1270">
                  <c:v>1.1832992107630022E-4</c:v>
                </c:pt>
                <c:pt idx="1271">
                  <c:v>-1.5359494258364302E-2</c:v>
                </c:pt>
                <c:pt idx="1272">
                  <c:v>1.0757404372214647E-3</c:v>
                </c:pt>
                <c:pt idx="1273">
                  <c:v>9.0479020714966454E-3</c:v>
                </c:pt>
                <c:pt idx="1274">
                  <c:v>1.2872066682362983E-3</c:v>
                </c:pt>
                <c:pt idx="1275">
                  <c:v>-8.2707389344871558E-3</c:v>
                </c:pt>
                <c:pt idx="1276">
                  <c:v>1.9595372221212767E-2</c:v>
                </c:pt>
                <c:pt idx="1277">
                  <c:v>-4.9139247961012275E-3</c:v>
                </c:pt>
                <c:pt idx="1278">
                  <c:v>3.4994214078581075E-2</c:v>
                </c:pt>
                <c:pt idx="1279">
                  <c:v>-1.9449959887685511E-2</c:v>
                </c:pt>
                <c:pt idx="1280">
                  <c:v>-3.153578592784205E-2</c:v>
                </c:pt>
                <c:pt idx="1281">
                  <c:v>-4.7114881096365522E-3</c:v>
                </c:pt>
                <c:pt idx="1282">
                  <c:v>-1.119796265131549E-2</c:v>
                </c:pt>
                <c:pt idx="1283">
                  <c:v>1.4163475985072485E-2</c:v>
                </c:pt>
                <c:pt idx="1284">
                  <c:v>1.6257668264925526E-3</c:v>
                </c:pt>
                <c:pt idx="1285">
                  <c:v>-8.1110518317639643E-3</c:v>
                </c:pt>
                <c:pt idx="1286">
                  <c:v>1.4145224039702448E-2</c:v>
                </c:pt>
                <c:pt idx="1287">
                  <c:v>1.5280302487570169E-2</c:v>
                </c:pt>
                <c:pt idx="1288">
                  <c:v>4.3857661658370222E-3</c:v>
                </c:pt>
                <c:pt idx="1289">
                  <c:v>2.3841677088405088E-3</c:v>
                </c:pt>
                <c:pt idx="1290">
                  <c:v>-1.8881888308400251E-3</c:v>
                </c:pt>
                <c:pt idx="1291">
                  <c:v>3.439926392274154E-3</c:v>
                </c:pt>
                <c:pt idx="1292">
                  <c:v>-5.0522484308559816E-3</c:v>
                </c:pt>
                <c:pt idx="1293">
                  <c:v>-1.4427270853314713E-2</c:v>
                </c:pt>
                <c:pt idx="1294">
                  <c:v>1.1022802910866426E-2</c:v>
                </c:pt>
                <c:pt idx="1295">
                  <c:v>1.2638908545955969E-2</c:v>
                </c:pt>
                <c:pt idx="1296">
                  <c:v>1.8464772073233337E-2</c:v>
                </c:pt>
                <c:pt idx="1297">
                  <c:v>1.4078966597197986E-3</c:v>
                </c:pt>
                <c:pt idx="1298">
                  <c:v>-2.4914881972746772E-2</c:v>
                </c:pt>
                <c:pt idx="1299">
                  <c:v>-1.490009568079384E-2</c:v>
                </c:pt>
                <c:pt idx="1300">
                  <c:v>2.5988699450943138E-3</c:v>
                </c:pt>
                <c:pt idx="1301">
                  <c:v>-1.5359539621535133E-2</c:v>
                </c:pt>
                <c:pt idx="1302">
                  <c:v>1.1374550667080751E-2</c:v>
                </c:pt>
                <c:pt idx="1303">
                  <c:v>-2.3027618130208774E-2</c:v>
                </c:pt>
                <c:pt idx="1304">
                  <c:v>-2.5149277490487554E-3</c:v>
                </c:pt>
                <c:pt idx="1305">
                  <c:v>-1.6689647069723851E-3</c:v>
                </c:pt>
                <c:pt idx="1306">
                  <c:v>1.1319922034783727E-3</c:v>
                </c:pt>
                <c:pt idx="1307">
                  <c:v>-8.1855867566205612E-3</c:v>
                </c:pt>
                <c:pt idx="1308">
                  <c:v>-7.7786582020461861E-3</c:v>
                </c:pt>
                <c:pt idx="1309">
                  <c:v>4.0156127021860992E-3</c:v>
                </c:pt>
                <c:pt idx="1310">
                  <c:v>1.2411818851775071E-3</c:v>
                </c:pt>
                <c:pt idx="1311">
                  <c:v>-1.5146498806746691E-3</c:v>
                </c:pt>
                <c:pt idx="1312">
                  <c:v>-4.3471503699274586E-3</c:v>
                </c:pt>
                <c:pt idx="1313">
                  <c:v>1.5047964210284436E-5</c:v>
                </c:pt>
                <c:pt idx="1314">
                  <c:v>-2.735926147814584E-3</c:v>
                </c:pt>
                <c:pt idx="1315">
                  <c:v>1.4875452885078704E-2</c:v>
                </c:pt>
                <c:pt idx="1316">
                  <c:v>8.8269220646608167E-4</c:v>
                </c:pt>
                <c:pt idx="1317">
                  <c:v>-7.3425817014711329E-3</c:v>
                </c:pt>
                <c:pt idx="1318">
                  <c:v>6.49049330128739E-3</c:v>
                </c:pt>
                <c:pt idx="1319">
                  <c:v>-3.9136619298660354E-3</c:v>
                </c:pt>
                <c:pt idx="1320">
                  <c:v>8.4441560086865874E-3</c:v>
                </c:pt>
                <c:pt idx="1321">
                  <c:v>1.1058972972110684E-2</c:v>
                </c:pt>
                <c:pt idx="1322">
                  <c:v>6.4783258369489997E-3</c:v>
                </c:pt>
                <c:pt idx="1323">
                  <c:v>1.3325630075052971E-3</c:v>
                </c:pt>
                <c:pt idx="1324">
                  <c:v>-6.2606585764939928E-4</c:v>
                </c:pt>
                <c:pt idx="1325">
                  <c:v>5.367990624187205E-3</c:v>
                </c:pt>
                <c:pt idx="1326">
                  <c:v>1.4140732765787969E-2</c:v>
                </c:pt>
                <c:pt idx="1327">
                  <c:v>1.2316280845974916E-2</c:v>
                </c:pt>
                <c:pt idx="1328">
                  <c:v>4.568468857509304E-3</c:v>
                </c:pt>
                <c:pt idx="1329">
                  <c:v>-6.1943562030725065E-3</c:v>
                </c:pt>
                <c:pt idx="1330">
                  <c:v>-7.1116007800944327E-3</c:v>
                </c:pt>
                <c:pt idx="1331">
                  <c:v>-7.4407705950703905E-4</c:v>
                </c:pt>
                <c:pt idx="1332">
                  <c:v>1.5330550190043501E-3</c:v>
                </c:pt>
                <c:pt idx="1333">
                  <c:v>-4.1756492931129575E-3</c:v>
                </c:pt>
                <c:pt idx="1334">
                  <c:v>-4.507676441534921E-3</c:v>
                </c:pt>
                <c:pt idx="1335">
                  <c:v>-2.1196203569355167E-3</c:v>
                </c:pt>
                <c:pt idx="1336">
                  <c:v>1.6144153190448832E-2</c:v>
                </c:pt>
                <c:pt idx="1337">
                  <c:v>-2.8711189119875842E-3</c:v>
                </c:pt>
                <c:pt idx="1338">
                  <c:v>-3.3966437385537932E-3</c:v>
                </c:pt>
                <c:pt idx="1339">
                  <c:v>7.1043192074374904E-3</c:v>
                </c:pt>
                <c:pt idx="1340">
                  <c:v>7.7104181605664058E-3</c:v>
                </c:pt>
                <c:pt idx="1341">
                  <c:v>-7.3734168246528788E-3</c:v>
                </c:pt>
                <c:pt idx="1342">
                  <c:v>1.5618807064162464E-2</c:v>
                </c:pt>
                <c:pt idx="1343">
                  <c:v>1.0870508419063046E-2</c:v>
                </c:pt>
                <c:pt idx="1344">
                  <c:v>5.4106852490481468E-3</c:v>
                </c:pt>
                <c:pt idx="1345">
                  <c:v>1.0625266213793439E-2</c:v>
                </c:pt>
                <c:pt idx="1346">
                  <c:v>1.6314246953144092E-2</c:v>
                </c:pt>
                <c:pt idx="1347">
                  <c:v>7.8263440435304111E-4</c:v>
                </c:pt>
                <c:pt idx="1348">
                  <c:v>-5.9886876230174427E-3</c:v>
                </c:pt>
                <c:pt idx="1349">
                  <c:v>2.7665555004720895E-3</c:v>
                </c:pt>
                <c:pt idx="1350">
                  <c:v>1.3210955371989843E-3</c:v>
                </c:pt>
                <c:pt idx="1351">
                  <c:v>8.5644982635005949E-3</c:v>
                </c:pt>
                <c:pt idx="1352">
                  <c:v>8.9026264923742476E-3</c:v>
                </c:pt>
                <c:pt idx="1353">
                  <c:v>8.790036159625909E-3</c:v>
                </c:pt>
                <c:pt idx="1354">
                  <c:v>-1.801322729868057E-3</c:v>
                </c:pt>
                <c:pt idx="1355">
                  <c:v>3.4586276853520348E-3</c:v>
                </c:pt>
                <c:pt idx="1356">
                  <c:v>1.1831038065343247E-2</c:v>
                </c:pt>
                <c:pt idx="1357">
                  <c:v>1.3344522478866987E-3</c:v>
                </c:pt>
                <c:pt idx="1358">
                  <c:v>1.2530645142764099E-2</c:v>
                </c:pt>
                <c:pt idx="1359">
                  <c:v>9.0898939455833529E-3</c:v>
                </c:pt>
                <c:pt idx="1360">
                  <c:v>4.8456414083324056E-3</c:v>
                </c:pt>
                <c:pt idx="1361">
                  <c:v>4.3190881500243198E-3</c:v>
                </c:pt>
                <c:pt idx="1362">
                  <c:v>2.0927332411233828E-3</c:v>
                </c:pt>
                <c:pt idx="1363">
                  <c:v>2.5443250545078518E-3</c:v>
                </c:pt>
                <c:pt idx="1364">
                  <c:v>1.3581171532558476E-2</c:v>
                </c:pt>
                <c:pt idx="1365">
                  <c:v>7.0247909706333579E-3</c:v>
                </c:pt>
                <c:pt idx="1366">
                  <c:v>7.1394708641763609E-3</c:v>
                </c:pt>
                <c:pt idx="1367">
                  <c:v>6.8188229891577154E-3</c:v>
                </c:pt>
                <c:pt idx="1368">
                  <c:v>-9.5496795177856704E-3</c:v>
                </c:pt>
                <c:pt idx="1369">
                  <c:v>-5.2741919048199617E-4</c:v>
                </c:pt>
                <c:pt idx="1370">
                  <c:v>9.3274866974609686E-3</c:v>
                </c:pt>
                <c:pt idx="1371">
                  <c:v>8.9410728928607155E-3</c:v>
                </c:pt>
                <c:pt idx="1372">
                  <c:v>-3.0086598479121471E-3</c:v>
                </c:pt>
                <c:pt idx="1373">
                  <c:v>-1.4088253899571889E-2</c:v>
                </c:pt>
                <c:pt idx="1374">
                  <c:v>5.7535201544678862E-3</c:v>
                </c:pt>
                <c:pt idx="1375">
                  <c:v>-2.2669766815596553E-2</c:v>
                </c:pt>
                <c:pt idx="1376">
                  <c:v>-1.4788243646626342E-2</c:v>
                </c:pt>
                <c:pt idx="1377">
                  <c:v>1.8109184407963704E-3</c:v>
                </c:pt>
                <c:pt idx="1378">
                  <c:v>7.5130158949075158E-3</c:v>
                </c:pt>
                <c:pt idx="1379">
                  <c:v>1.554839383623994E-3</c:v>
                </c:pt>
                <c:pt idx="1380">
                  <c:v>1.8469849548892883E-2</c:v>
                </c:pt>
                <c:pt idx="1381">
                  <c:v>-8.1982080972238594E-3</c:v>
                </c:pt>
                <c:pt idx="1382">
                  <c:v>-1.9268746703183284E-4</c:v>
                </c:pt>
                <c:pt idx="1383">
                  <c:v>1.1347961332045197E-2</c:v>
                </c:pt>
                <c:pt idx="1384">
                  <c:v>2.6742325580298137E-3</c:v>
                </c:pt>
                <c:pt idx="1385">
                  <c:v>6.9982804784746696E-3</c:v>
                </c:pt>
                <c:pt idx="1386">
                  <c:v>-4.1726993336508094E-3</c:v>
                </c:pt>
                <c:pt idx="1387">
                  <c:v>-2.8350142531666871E-3</c:v>
                </c:pt>
                <c:pt idx="1388">
                  <c:v>-6.6085943343615356E-3</c:v>
                </c:pt>
                <c:pt idx="1389">
                  <c:v>1.0459408779241683E-2</c:v>
                </c:pt>
                <c:pt idx="1390">
                  <c:v>-5.9797114412851373E-3</c:v>
                </c:pt>
                <c:pt idx="1391">
                  <c:v>6.017766655129886E-3</c:v>
                </c:pt>
                <c:pt idx="1392">
                  <c:v>3.3199735019458195E-3</c:v>
                </c:pt>
                <c:pt idx="1393">
                  <c:v>2.6789258822571328E-3</c:v>
                </c:pt>
                <c:pt idx="1394">
                  <c:v>9.5911553341730595E-3</c:v>
                </c:pt>
                <c:pt idx="1395">
                  <c:v>4.8395304873883769E-4</c:v>
                </c:pt>
                <c:pt idx="1396">
                  <c:v>-1.0950583951074328E-3</c:v>
                </c:pt>
                <c:pt idx="1397">
                  <c:v>-1.2571683381670662E-2</c:v>
                </c:pt>
                <c:pt idx="1398">
                  <c:v>-7.7831302262982459E-3</c:v>
                </c:pt>
                <c:pt idx="1399">
                  <c:v>2.2440312483783943E-3</c:v>
                </c:pt>
                <c:pt idx="1400">
                  <c:v>-5.7165237438012361E-3</c:v>
                </c:pt>
                <c:pt idx="1401">
                  <c:v>2.873441893624756E-2</c:v>
                </c:pt>
                <c:pt idx="1402">
                  <c:v>1.859867743420876E-2</c:v>
                </c:pt>
                <c:pt idx="1403">
                  <c:v>7.3904743278341541E-3</c:v>
                </c:pt>
                <c:pt idx="1404">
                  <c:v>-1.4991291328089162E-2</c:v>
                </c:pt>
                <c:pt idx="1405">
                  <c:v>-1.3530860559688861E-3</c:v>
                </c:pt>
                <c:pt idx="1406">
                  <c:v>1.190849128409952E-2</c:v>
                </c:pt>
                <c:pt idx="1407">
                  <c:v>1.2768780516690806E-3</c:v>
                </c:pt>
                <c:pt idx="1408">
                  <c:v>-3.2144216432111967E-2</c:v>
                </c:pt>
                <c:pt idx="1409">
                  <c:v>2.0340626763722877E-2</c:v>
                </c:pt>
                <c:pt idx="1410">
                  <c:v>4.7953906642502063E-2</c:v>
                </c:pt>
                <c:pt idx="1411">
                  <c:v>2.7933381110607303E-3</c:v>
                </c:pt>
                <c:pt idx="1412">
                  <c:v>6.2294340599182158E-4</c:v>
                </c:pt>
                <c:pt idx="1413">
                  <c:v>6.1144607722298109E-3</c:v>
                </c:pt>
                <c:pt idx="1414">
                  <c:v>-3.1224167426295191E-2</c:v>
                </c:pt>
                <c:pt idx="1415">
                  <c:v>6.1531599727364271E-3</c:v>
                </c:pt>
                <c:pt idx="1416">
                  <c:v>2.7962366412484823E-2</c:v>
                </c:pt>
                <c:pt idx="1417">
                  <c:v>-8.3338803229426276E-3</c:v>
                </c:pt>
                <c:pt idx="1418">
                  <c:v>2.1334798383866059E-2</c:v>
                </c:pt>
                <c:pt idx="1419">
                  <c:v>-3.2972200498453737E-2</c:v>
                </c:pt>
                <c:pt idx="1420">
                  <c:v>2.7259827448310219E-2</c:v>
                </c:pt>
                <c:pt idx="1421">
                  <c:v>4.3283014020742527E-2</c:v>
                </c:pt>
                <c:pt idx="1422">
                  <c:v>9.3713556171858593E-3</c:v>
                </c:pt>
                <c:pt idx="1423">
                  <c:v>4.3115411804210753E-2</c:v>
                </c:pt>
                <c:pt idx="1424">
                  <c:v>-3.0658597765814378E-3</c:v>
                </c:pt>
                <c:pt idx="1425">
                  <c:v>3.089316101396546E-2</c:v>
                </c:pt>
                <c:pt idx="1426">
                  <c:v>1.4102714772594258E-3</c:v>
                </c:pt>
                <c:pt idx="1427">
                  <c:v>-4.6771851959210062E-2</c:v>
                </c:pt>
                <c:pt idx="1428">
                  <c:v>-6.8560729451883878E-2</c:v>
                </c:pt>
                <c:pt idx="1429">
                  <c:v>1.7842118591442371E-2</c:v>
                </c:pt>
                <c:pt idx="1430">
                  <c:v>-9.4101633841342826E-3</c:v>
                </c:pt>
                <c:pt idx="1431">
                  <c:v>-6.7476614138731045E-2</c:v>
                </c:pt>
                <c:pt idx="1432">
                  <c:v>-3.1704997875903577E-2</c:v>
                </c:pt>
                <c:pt idx="1433">
                  <c:v>-6.5887743172102123E-2</c:v>
                </c:pt>
                <c:pt idx="1434">
                  <c:v>2.8976527038499663E-3</c:v>
                </c:pt>
                <c:pt idx="1435">
                  <c:v>-4.55644256866609E-2</c:v>
                </c:pt>
                <c:pt idx="1436">
                  <c:v>-5.9688426414118299E-4</c:v>
                </c:pt>
                <c:pt idx="1437">
                  <c:v>1.7183433421616181E-2</c:v>
                </c:pt>
                <c:pt idx="1438">
                  <c:v>-3.0369702302505523E-2</c:v>
                </c:pt>
                <c:pt idx="1439">
                  <c:v>-2.9516955795410717E-2</c:v>
                </c:pt>
                <c:pt idx="1440">
                  <c:v>1.2227037196965001E-2</c:v>
                </c:pt>
                <c:pt idx="1441">
                  <c:v>-7.4816937281120361E-3</c:v>
                </c:pt>
                <c:pt idx="1442">
                  <c:v>-2.4587556589297874E-3</c:v>
                </c:pt>
                <c:pt idx="1443">
                  <c:v>3.4559107320471301E-2</c:v>
                </c:pt>
                <c:pt idx="1444">
                  <c:v>-2.7226909113058383E-3</c:v>
                </c:pt>
                <c:pt idx="1445">
                  <c:v>-6.5472335388631177E-3</c:v>
                </c:pt>
                <c:pt idx="1446">
                  <c:v>-1.3384990909313043E-2</c:v>
                </c:pt>
                <c:pt idx="1447">
                  <c:v>-7.2880126651191923E-3</c:v>
                </c:pt>
                <c:pt idx="1448">
                  <c:v>-2.7466122324854941E-2</c:v>
                </c:pt>
                <c:pt idx="1449">
                  <c:v>-5.7416137929160562E-3</c:v>
                </c:pt>
                <c:pt idx="1450">
                  <c:v>-2.2888748899554537E-3</c:v>
                </c:pt>
                <c:pt idx="1451">
                  <c:v>9.9356943996753797E-3</c:v>
                </c:pt>
                <c:pt idx="1452">
                  <c:v>-2.5220392914753371E-3</c:v>
                </c:pt>
                <c:pt idx="1453">
                  <c:v>8.3666184101383067E-4</c:v>
                </c:pt>
                <c:pt idx="1454">
                  <c:v>-5.2447829018792101E-3</c:v>
                </c:pt>
                <c:pt idx="1455">
                  <c:v>-1.867453485752681E-3</c:v>
                </c:pt>
                <c:pt idx="1456">
                  <c:v>2.0563542850639244E-2</c:v>
                </c:pt>
                <c:pt idx="1457">
                  <c:v>1.0630918117806382E-2</c:v>
                </c:pt>
                <c:pt idx="1458">
                  <c:v>-2.109749417279903E-2</c:v>
                </c:pt>
                <c:pt idx="1459">
                  <c:v>-1.4261225638382632E-2</c:v>
                </c:pt>
                <c:pt idx="1460">
                  <c:v>-3.9095739802001142E-3</c:v>
                </c:pt>
                <c:pt idx="1461">
                  <c:v>1.1751479483228959E-2</c:v>
                </c:pt>
                <c:pt idx="1462">
                  <c:v>-2.9342599518531288E-2</c:v>
                </c:pt>
                <c:pt idx="1463">
                  <c:v>-6.5047056917188961E-3</c:v>
                </c:pt>
                <c:pt idx="1464">
                  <c:v>1.1480069787379914E-4</c:v>
                </c:pt>
                <c:pt idx="1465">
                  <c:v>-9.4680300024658909E-3</c:v>
                </c:pt>
                <c:pt idx="1466">
                  <c:v>-5.6427913716350971E-3</c:v>
                </c:pt>
                <c:pt idx="1467">
                  <c:v>-2.2001720262433996E-3</c:v>
                </c:pt>
                <c:pt idx="1468">
                  <c:v>2.9661031901842346E-3</c:v>
                </c:pt>
                <c:pt idx="1469">
                  <c:v>-1.2762777050590764E-3</c:v>
                </c:pt>
                <c:pt idx="1470">
                  <c:v>-1.5298002556159082E-3</c:v>
                </c:pt>
                <c:pt idx="1471">
                  <c:v>-2.8340752458088131E-3</c:v>
                </c:pt>
                <c:pt idx="1472">
                  <c:v>-9.7327242060453768E-3</c:v>
                </c:pt>
                <c:pt idx="1473">
                  <c:v>2.3840650549980902E-3</c:v>
                </c:pt>
                <c:pt idx="1474">
                  <c:v>1.676318231117921E-3</c:v>
                </c:pt>
                <c:pt idx="1475">
                  <c:v>-4.9531280087689884E-3</c:v>
                </c:pt>
                <c:pt idx="1476">
                  <c:v>-2.6909666586216979E-4</c:v>
                </c:pt>
                <c:pt idx="1477">
                  <c:v>2.6893759236039816E-4</c:v>
                </c:pt>
                <c:pt idx="1478">
                  <c:v>1.6084915788065236E-2</c:v>
                </c:pt>
                <c:pt idx="1479">
                  <c:v>2.8181304699793751E-2</c:v>
                </c:pt>
                <c:pt idx="1480">
                  <c:v>-1.305135227816993E-2</c:v>
                </c:pt>
                <c:pt idx="1481">
                  <c:v>1.4728459540142232E-2</c:v>
                </c:pt>
                <c:pt idx="1482">
                  <c:v>-2.4267011315280352E-2</c:v>
                </c:pt>
                <c:pt idx="1483">
                  <c:v>-3.7066191847791594E-3</c:v>
                </c:pt>
                <c:pt idx="1484">
                  <c:v>2.6105314009661883E-2</c:v>
                </c:pt>
                <c:pt idx="1485">
                  <c:v>1.6323031647415404E-2</c:v>
                </c:pt>
                <c:pt idx="1486">
                  <c:v>-3.7307135998622776E-3</c:v>
                </c:pt>
                <c:pt idx="1487">
                  <c:v>9.5694998081947589E-4</c:v>
                </c:pt>
                <c:pt idx="1488">
                  <c:v>-6.7900560667130917E-3</c:v>
                </c:pt>
                <c:pt idx="1489">
                  <c:v>1.9824034326250167E-2</c:v>
                </c:pt>
                <c:pt idx="1490">
                  <c:v>7.9990921881439771E-3</c:v>
                </c:pt>
                <c:pt idx="1491">
                  <c:v>-2.0196904512748078E-2</c:v>
                </c:pt>
                <c:pt idx="1492">
                  <c:v>4.3689185463075438E-3</c:v>
                </c:pt>
                <c:pt idx="1493">
                  <c:v>-2.2794601731432041E-2</c:v>
                </c:pt>
                <c:pt idx="1494">
                  <c:v>-3.9491331539006601E-3</c:v>
                </c:pt>
                <c:pt idx="1495">
                  <c:v>2.9722741427038839E-3</c:v>
                </c:pt>
                <c:pt idx="1496">
                  <c:v>1.7799381620022609E-2</c:v>
                </c:pt>
                <c:pt idx="1497">
                  <c:v>9.9328210352081329E-3</c:v>
                </c:pt>
                <c:pt idx="1498">
                  <c:v>-4.2559574769401122E-4</c:v>
                </c:pt>
                <c:pt idx="1499">
                  <c:v>-3.2750844715059364E-3</c:v>
                </c:pt>
                <c:pt idx="1500">
                  <c:v>5.4842889216373649E-3</c:v>
                </c:pt>
                <c:pt idx="1501">
                  <c:v>-7.1061628071122287E-3</c:v>
                </c:pt>
                <c:pt idx="1502">
                  <c:v>2.2428034674258682E-3</c:v>
                </c:pt>
                <c:pt idx="1503">
                  <c:v>9.2022650812555139E-3</c:v>
                </c:pt>
                <c:pt idx="1504">
                  <c:v>1.2108705153444041E-2</c:v>
                </c:pt>
                <c:pt idx="1505">
                  <c:v>-8.3612840324372145E-3</c:v>
                </c:pt>
                <c:pt idx="1506">
                  <c:v>2.1293459904066538E-2</c:v>
                </c:pt>
                <c:pt idx="1507">
                  <c:v>1.5020305495724716E-2</c:v>
                </c:pt>
                <c:pt idx="1508">
                  <c:v>1.5307144925650521E-2</c:v>
                </c:pt>
                <c:pt idx="1509">
                  <c:v>8.6696538303295857E-3</c:v>
                </c:pt>
                <c:pt idx="1510">
                  <c:v>-1.0918741305151013E-2</c:v>
                </c:pt>
                <c:pt idx="1511">
                  <c:v>7.5539626201589459E-3</c:v>
                </c:pt>
                <c:pt idx="1512">
                  <c:v>2.2222395920791026E-2</c:v>
                </c:pt>
                <c:pt idx="1513">
                  <c:v>-2.4616906183552799E-2</c:v>
                </c:pt>
                <c:pt idx="1514">
                  <c:v>-1.3657425234743944E-2</c:v>
                </c:pt>
                <c:pt idx="1515">
                  <c:v>3.9782294705032794E-3</c:v>
                </c:pt>
                <c:pt idx="1516">
                  <c:v>2.2021935462241887E-2</c:v>
                </c:pt>
                <c:pt idx="1517">
                  <c:v>9.1477101860205981E-3</c:v>
                </c:pt>
                <c:pt idx="1518">
                  <c:v>2.0512842589223861E-3</c:v>
                </c:pt>
                <c:pt idx="1519">
                  <c:v>1.0917826357058113E-2</c:v>
                </c:pt>
                <c:pt idx="1520">
                  <c:v>-1.0200227698210444E-3</c:v>
                </c:pt>
                <c:pt idx="1521">
                  <c:v>2.2928910205524546E-2</c:v>
                </c:pt>
                <c:pt idx="1522">
                  <c:v>6.14231237758181E-3</c:v>
                </c:pt>
                <c:pt idx="1523">
                  <c:v>2.9503555488363934E-3</c:v>
                </c:pt>
                <c:pt idx="1524">
                  <c:v>8.3437245728091667E-3</c:v>
                </c:pt>
                <c:pt idx="1525">
                  <c:v>2.2918316681529382E-3</c:v>
                </c:pt>
                <c:pt idx="1526">
                  <c:v>2.6175467113624201E-2</c:v>
                </c:pt>
                <c:pt idx="1527">
                  <c:v>5.0851253432379288E-3</c:v>
                </c:pt>
                <c:pt idx="1528">
                  <c:v>1.3099867570696744E-2</c:v>
                </c:pt>
                <c:pt idx="1529">
                  <c:v>-1.0681260246686382E-3</c:v>
                </c:pt>
                <c:pt idx="1530">
                  <c:v>-1.8924096594399281E-3</c:v>
                </c:pt>
                <c:pt idx="1531">
                  <c:v>6.0649258737883781E-3</c:v>
                </c:pt>
                <c:pt idx="1532">
                  <c:v>-3.110553490146579E-3</c:v>
                </c:pt>
                <c:pt idx="1533">
                  <c:v>9.65290049040529E-3</c:v>
                </c:pt>
                <c:pt idx="1534">
                  <c:v>7.2511307583130076E-3</c:v>
                </c:pt>
                <c:pt idx="1535">
                  <c:v>3.4526502105350692E-3</c:v>
                </c:pt>
                <c:pt idx="1536">
                  <c:v>-2.318915032853407E-2</c:v>
                </c:pt>
                <c:pt idx="1537">
                  <c:v>-8.3808869757288267E-4</c:v>
                </c:pt>
                <c:pt idx="1538">
                  <c:v>-1.1158630020223945E-2</c:v>
                </c:pt>
                <c:pt idx="1539">
                  <c:v>5.7963479721730021E-3</c:v>
                </c:pt>
                <c:pt idx="1540">
                  <c:v>-3.0050084449133423E-3</c:v>
                </c:pt>
                <c:pt idx="1541">
                  <c:v>-8.3951909301887874E-3</c:v>
                </c:pt>
                <c:pt idx="1542">
                  <c:v>1.3165450500621708E-2</c:v>
                </c:pt>
                <c:pt idx="1543">
                  <c:v>1.5032928903517304E-2</c:v>
                </c:pt>
                <c:pt idx="1544">
                  <c:v>1.4075495076861207E-3</c:v>
                </c:pt>
                <c:pt idx="1545">
                  <c:v>-4.7626380852885944E-3</c:v>
                </c:pt>
                <c:pt idx="1546">
                  <c:v>1.8269432197550835E-2</c:v>
                </c:pt>
                <c:pt idx="1547">
                  <c:v>8.5817004938591908E-3</c:v>
                </c:pt>
                <c:pt idx="1548">
                  <c:v>1.2016679361067427E-2</c:v>
                </c:pt>
                <c:pt idx="1549">
                  <c:v>3.3803223878227425E-3</c:v>
                </c:pt>
                <c:pt idx="1550">
                  <c:v>5.4699591787112437E-3</c:v>
                </c:pt>
                <c:pt idx="1551">
                  <c:v>2.5069525839843877E-4</c:v>
                </c:pt>
                <c:pt idx="1552">
                  <c:v>2.0262207445530984E-2</c:v>
                </c:pt>
                <c:pt idx="1553">
                  <c:v>-4.1602764562630725E-3</c:v>
                </c:pt>
                <c:pt idx="1554">
                  <c:v>-8.295202775812506E-3</c:v>
                </c:pt>
                <c:pt idx="1555">
                  <c:v>2.4575441376880592E-3</c:v>
                </c:pt>
                <c:pt idx="1556">
                  <c:v>-1.1207650936903421E-2</c:v>
                </c:pt>
                <c:pt idx="1557">
                  <c:v>-2.2660306990765389E-3</c:v>
                </c:pt>
                <c:pt idx="1558">
                  <c:v>1.9919208935883309E-2</c:v>
                </c:pt>
                <c:pt idx="1559">
                  <c:v>-1.1076839955723889E-2</c:v>
                </c:pt>
                <c:pt idx="1560">
                  <c:v>-6.1481025602481228E-4</c:v>
                </c:pt>
                <c:pt idx="1561">
                  <c:v>1.4206524442597781E-2</c:v>
                </c:pt>
                <c:pt idx="1562">
                  <c:v>-2.0699529997042243E-3</c:v>
                </c:pt>
                <c:pt idx="1563">
                  <c:v>1.9117533515771168E-2</c:v>
                </c:pt>
                <c:pt idx="1564">
                  <c:v>1.6005080873857821E-2</c:v>
                </c:pt>
                <c:pt idx="1565">
                  <c:v>8.354523301021332E-3</c:v>
                </c:pt>
                <c:pt idx="1566">
                  <c:v>-9.9058579792245228E-4</c:v>
                </c:pt>
                <c:pt idx="1567">
                  <c:v>1.4594252605193992E-2</c:v>
                </c:pt>
                <c:pt idx="1568">
                  <c:v>-8.2379349568773696E-3</c:v>
                </c:pt>
                <c:pt idx="1569">
                  <c:v>1.2980872280106777E-2</c:v>
                </c:pt>
                <c:pt idx="1570">
                  <c:v>-1.6142466451097789E-2</c:v>
                </c:pt>
                <c:pt idx="1571">
                  <c:v>-1.5626167882651806E-2</c:v>
                </c:pt>
                <c:pt idx="1572">
                  <c:v>3.8370805292163518E-3</c:v>
                </c:pt>
                <c:pt idx="1573">
                  <c:v>-2.6456450891084241E-2</c:v>
                </c:pt>
                <c:pt idx="1574">
                  <c:v>-1.6761775724530369E-2</c:v>
                </c:pt>
                <c:pt idx="1575">
                  <c:v>2.9435552219289559E-2</c:v>
                </c:pt>
                <c:pt idx="1576">
                  <c:v>4.7706852145392761E-2</c:v>
                </c:pt>
                <c:pt idx="1577">
                  <c:v>4.5312339125904606E-3</c:v>
                </c:pt>
                <c:pt idx="1578">
                  <c:v>-1.0387726402398545E-2</c:v>
                </c:pt>
                <c:pt idx="1579">
                  <c:v>-4.0731055167517308E-2</c:v>
                </c:pt>
                <c:pt idx="1580">
                  <c:v>-2.1023538822367349E-2</c:v>
                </c:pt>
                <c:pt idx="1581">
                  <c:v>-5.4241465920373006E-3</c:v>
                </c:pt>
                <c:pt idx="1582">
                  <c:v>-3.1112939626431499E-3</c:v>
                </c:pt>
                <c:pt idx="1583">
                  <c:v>8.8558638352498695E-3</c:v>
                </c:pt>
                <c:pt idx="1584">
                  <c:v>-2.3983566010582448E-3</c:v>
                </c:pt>
                <c:pt idx="1585">
                  <c:v>-1.1495402181771541E-2</c:v>
                </c:pt>
                <c:pt idx="1586">
                  <c:v>-1.0575287242960729E-2</c:v>
                </c:pt>
                <c:pt idx="1587">
                  <c:v>1.3888288777645409E-3</c:v>
                </c:pt>
                <c:pt idx="1588">
                  <c:v>-9.6124573143072899E-3</c:v>
                </c:pt>
                <c:pt idx="1589">
                  <c:v>4.0304377381305484E-3</c:v>
                </c:pt>
                <c:pt idx="1590">
                  <c:v>3.8750698193430878E-3</c:v>
                </c:pt>
                <c:pt idx="1591">
                  <c:v>4.6187596604594051E-3</c:v>
                </c:pt>
                <c:pt idx="1592">
                  <c:v>-4.622410362682066E-2</c:v>
                </c:pt>
                <c:pt idx="1593">
                  <c:v>5.8542786742982124E-4</c:v>
                </c:pt>
                <c:pt idx="1594">
                  <c:v>3.345910876077462E-3</c:v>
                </c:pt>
                <c:pt idx="1595">
                  <c:v>-1.3083935019634283E-2</c:v>
                </c:pt>
                <c:pt idx="1596">
                  <c:v>5.6973796877485021E-3</c:v>
                </c:pt>
                <c:pt idx="1597">
                  <c:v>2.7948549890595069E-3</c:v>
                </c:pt>
                <c:pt idx="1598">
                  <c:v>3.7649795318469865E-3</c:v>
                </c:pt>
                <c:pt idx="1599">
                  <c:v>-9.2154083364037499E-3</c:v>
                </c:pt>
                <c:pt idx="1600">
                  <c:v>-2.9850292273145367E-3</c:v>
                </c:pt>
                <c:pt idx="1601">
                  <c:v>-8.1611281056045426E-3</c:v>
                </c:pt>
                <c:pt idx="1602">
                  <c:v>-1.8599155877894191E-2</c:v>
                </c:pt>
                <c:pt idx="1603">
                  <c:v>3.6958604591221232E-3</c:v>
                </c:pt>
                <c:pt idx="1604">
                  <c:v>9.8046174817031113E-3</c:v>
                </c:pt>
                <c:pt idx="1605">
                  <c:v>-7.381410149207866E-4</c:v>
                </c:pt>
                <c:pt idx="1606">
                  <c:v>-1.3850336747152692E-2</c:v>
                </c:pt>
                <c:pt idx="1607">
                  <c:v>-1.1360598432235657E-2</c:v>
                </c:pt>
                <c:pt idx="1608">
                  <c:v>4.798453919391662E-3</c:v>
                </c:pt>
                <c:pt idx="1609">
                  <c:v>2.1443254947727738E-2</c:v>
                </c:pt>
                <c:pt idx="1610">
                  <c:v>-2.3811662994443993E-2</c:v>
                </c:pt>
                <c:pt idx="1611">
                  <c:v>-1.3050805855989708E-2</c:v>
                </c:pt>
                <c:pt idx="1612">
                  <c:v>4.271480387759367E-4</c:v>
                </c:pt>
                <c:pt idx="1613">
                  <c:v>2.8903313601882544E-2</c:v>
                </c:pt>
                <c:pt idx="1614">
                  <c:v>-2.0956445810994023E-2</c:v>
                </c:pt>
                <c:pt idx="1615">
                  <c:v>3.0609628855038356E-2</c:v>
                </c:pt>
                <c:pt idx="1616">
                  <c:v>3.573459800670415E-2</c:v>
                </c:pt>
                <c:pt idx="1617">
                  <c:v>5.7611094436360328E-3</c:v>
                </c:pt>
                <c:pt idx="1618">
                  <c:v>2.5302548164388848E-3</c:v>
                </c:pt>
                <c:pt idx="1619">
                  <c:v>-2.3681880373682115E-2</c:v>
                </c:pt>
                <c:pt idx="1620">
                  <c:v>2.538874767633969E-3</c:v>
                </c:pt>
                <c:pt idx="1621">
                  <c:v>-4.5102739261332391E-4</c:v>
                </c:pt>
                <c:pt idx="1622">
                  <c:v>-2.3508973967156323E-2</c:v>
                </c:pt>
                <c:pt idx="1623">
                  <c:v>-4.9046023176116411E-3</c:v>
                </c:pt>
                <c:pt idx="1624">
                  <c:v>-4.2069323188819712E-3</c:v>
                </c:pt>
                <c:pt idx="1625">
                  <c:v>-1.6019752048985786E-2</c:v>
                </c:pt>
                <c:pt idx="1626">
                  <c:v>-1.4326902979961462E-2</c:v>
                </c:pt>
                <c:pt idx="1627">
                  <c:v>-1.1619905312601674E-2</c:v>
                </c:pt>
                <c:pt idx="1628">
                  <c:v>-6.437776407633362E-3</c:v>
                </c:pt>
                <c:pt idx="1629">
                  <c:v>-6.5313087167568999E-3</c:v>
                </c:pt>
                <c:pt idx="1630">
                  <c:v>1.4300252710300767E-2</c:v>
                </c:pt>
                <c:pt idx="1631">
                  <c:v>-1.0770238436234284E-2</c:v>
                </c:pt>
                <c:pt idx="1632">
                  <c:v>-1.0478791026713941E-2</c:v>
                </c:pt>
                <c:pt idx="1633">
                  <c:v>1.3055846675500792E-2</c:v>
                </c:pt>
                <c:pt idx="1634">
                  <c:v>1.6132205176400147E-3</c:v>
                </c:pt>
                <c:pt idx="1635">
                  <c:v>-1.6836467867513531E-2</c:v>
                </c:pt>
                <c:pt idx="1636">
                  <c:v>-3.2564456987081046E-3</c:v>
                </c:pt>
                <c:pt idx="1637">
                  <c:v>4.4515126331523226E-3</c:v>
                </c:pt>
                <c:pt idx="1638">
                  <c:v>1.4956925750061793E-2</c:v>
                </c:pt>
                <c:pt idx="1639">
                  <c:v>5.6950211212236784E-3</c:v>
                </c:pt>
                <c:pt idx="1640">
                  <c:v>-1.483033786453373E-2</c:v>
                </c:pt>
                <c:pt idx="1641">
                  <c:v>5.6351364271241024E-3</c:v>
                </c:pt>
                <c:pt idx="1642">
                  <c:v>-1.5988034692356105E-2</c:v>
                </c:pt>
                <c:pt idx="1643">
                  <c:v>1.5193472884041256E-4</c:v>
                </c:pt>
                <c:pt idx="1644">
                  <c:v>-1.3325951797342707E-2</c:v>
                </c:pt>
                <c:pt idx="1645">
                  <c:v>-3.4782809877886638E-4</c:v>
                </c:pt>
                <c:pt idx="1646">
                  <c:v>-8.3123777045145449E-3</c:v>
                </c:pt>
                <c:pt idx="1647">
                  <c:v>-7.6195350295761325E-3</c:v>
                </c:pt>
                <c:pt idx="1648">
                  <c:v>2.5001977799364102E-3</c:v>
                </c:pt>
                <c:pt idx="1649">
                  <c:v>-1.0575128814287611E-2</c:v>
                </c:pt>
                <c:pt idx="1650">
                  <c:v>2.1934943425758954E-2</c:v>
                </c:pt>
                <c:pt idx="1651">
                  <c:v>-1.046432472651857E-2</c:v>
                </c:pt>
                <c:pt idx="1652">
                  <c:v>3.8338182052177414E-3</c:v>
                </c:pt>
                <c:pt idx="1653">
                  <c:v>-4.2298177637300561E-3</c:v>
                </c:pt>
                <c:pt idx="1654">
                  <c:v>-1.6732979612492209E-3</c:v>
                </c:pt>
                <c:pt idx="1655">
                  <c:v>-6.1664858520613375E-3</c:v>
                </c:pt>
                <c:pt idx="1656">
                  <c:v>1.4227183317909675E-2</c:v>
                </c:pt>
                <c:pt idx="1657">
                  <c:v>-1.597732072266058E-2</c:v>
                </c:pt>
                <c:pt idx="1658">
                  <c:v>8.3400841566944289E-4</c:v>
                </c:pt>
                <c:pt idx="1659">
                  <c:v>-7.095859096072491E-4</c:v>
                </c:pt>
                <c:pt idx="1660">
                  <c:v>-6.7059937771876102E-4</c:v>
                </c:pt>
                <c:pt idx="1661">
                  <c:v>-8.7511865649040274E-3</c:v>
                </c:pt>
                <c:pt idx="1662">
                  <c:v>-6.9247702063025517E-3</c:v>
                </c:pt>
                <c:pt idx="1663">
                  <c:v>-3.0338755473562368E-3</c:v>
                </c:pt>
                <c:pt idx="1664">
                  <c:v>-1.5403874339805978E-3</c:v>
                </c:pt>
                <c:pt idx="1665">
                  <c:v>5.3296731506427683E-3</c:v>
                </c:pt>
                <c:pt idx="1666">
                  <c:v>1.2403404464518994E-2</c:v>
                </c:pt>
                <c:pt idx="1667">
                  <c:v>9.353446348651288E-3</c:v>
                </c:pt>
                <c:pt idx="1668">
                  <c:v>-3.3223712426589565E-3</c:v>
                </c:pt>
                <c:pt idx="1669">
                  <c:v>-1.9822863705945434E-2</c:v>
                </c:pt>
                <c:pt idx="1670">
                  <c:v>-1.0229375004529338E-2</c:v>
                </c:pt>
                <c:pt idx="1671">
                  <c:v>-1.3620921615814081E-3</c:v>
                </c:pt>
                <c:pt idx="1672">
                  <c:v>-5.1805663344370806E-3</c:v>
                </c:pt>
                <c:pt idx="1673">
                  <c:v>8.0664072716041917E-3</c:v>
                </c:pt>
                <c:pt idx="1674">
                  <c:v>-6.5242033273934606E-3</c:v>
                </c:pt>
                <c:pt idx="1675">
                  <c:v>-6.5997030627610795E-3</c:v>
                </c:pt>
                <c:pt idx="1676">
                  <c:v>-5.0139506820811989E-4</c:v>
                </c:pt>
                <c:pt idx="1677">
                  <c:v>-9.1579270083860223E-4</c:v>
                </c:pt>
                <c:pt idx="1678">
                  <c:v>-1.2850931169062351E-3</c:v>
                </c:pt>
                <c:pt idx="1679">
                  <c:v>6.6891448383979485E-3</c:v>
                </c:pt>
                <c:pt idx="1680">
                  <c:v>-1.3716222743709233E-2</c:v>
                </c:pt>
                <c:pt idx="1681">
                  <c:v>-1.0775958531672861E-2</c:v>
                </c:pt>
                <c:pt idx="1682">
                  <c:v>-4.1664177047575244E-3</c:v>
                </c:pt>
                <c:pt idx="1683">
                  <c:v>-2.6123175180508265E-3</c:v>
                </c:pt>
                <c:pt idx="1684">
                  <c:v>1.2202552446676474E-2</c:v>
                </c:pt>
                <c:pt idx="1685">
                  <c:v>7.6763157997937811E-3</c:v>
                </c:pt>
                <c:pt idx="1686">
                  <c:v>4.7380853406987292E-3</c:v>
                </c:pt>
                <c:pt idx="1687">
                  <c:v>-4.2511407555896342E-4</c:v>
                </c:pt>
                <c:pt idx="1688">
                  <c:v>5.0544172464732987E-3</c:v>
                </c:pt>
                <c:pt idx="1689">
                  <c:v>3.8572171510684442E-3</c:v>
                </c:pt>
                <c:pt idx="1690">
                  <c:v>-6.0512554741783283E-4</c:v>
                </c:pt>
                <c:pt idx="1691">
                  <c:v>5.7743987757706656E-3</c:v>
                </c:pt>
                <c:pt idx="1692">
                  <c:v>3.9005358349825593E-3</c:v>
                </c:pt>
                <c:pt idx="1693">
                  <c:v>9.0643861220111883E-3</c:v>
                </c:pt>
                <c:pt idx="1694">
                  <c:v>6.0364061923599607E-3</c:v>
                </c:pt>
                <c:pt idx="1695">
                  <c:v>1.5954075908377224E-3</c:v>
                </c:pt>
                <c:pt idx="1696">
                  <c:v>-7.1425042918691847E-4</c:v>
                </c:pt>
                <c:pt idx="1697">
                  <c:v>-8.6390804098633381E-3</c:v>
                </c:pt>
                <c:pt idx="1698">
                  <c:v>5.1156294124586037E-3</c:v>
                </c:pt>
                <c:pt idx="1699">
                  <c:v>9.3080297922512167E-3</c:v>
                </c:pt>
                <c:pt idx="1700">
                  <c:v>-1.0539704499429804E-3</c:v>
                </c:pt>
                <c:pt idx="1701">
                  <c:v>4.3315179787927118E-3</c:v>
                </c:pt>
                <c:pt idx="1702">
                  <c:v>-3.3495934959348996E-3</c:v>
                </c:pt>
                <c:pt idx="1703">
                  <c:v>1.2709271207186236E-2</c:v>
                </c:pt>
                <c:pt idx="1704">
                  <c:v>2.7030035829292545E-2</c:v>
                </c:pt>
                <c:pt idx="1705">
                  <c:v>1.4596980822273301E-4</c:v>
                </c:pt>
                <c:pt idx="1706">
                  <c:v>-6.700312870003452E-3</c:v>
                </c:pt>
                <c:pt idx="1707">
                  <c:v>-5.277167768193136E-3</c:v>
                </c:pt>
                <c:pt idx="170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C6-499B-B916-B393DC365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437360"/>
        <c:axId val="1933433008"/>
      </c:scatterChart>
      <c:valAx>
        <c:axId val="193343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Index return</a:t>
                </a:r>
              </a:p>
            </c:rich>
          </c:tx>
          <c:layout>
            <c:manualLayout>
              <c:xMode val="edge"/>
              <c:yMode val="edge"/>
              <c:x val="0.52978588435831775"/>
              <c:y val="0.926973773250201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%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433008"/>
        <c:crosses val="autoZero"/>
        <c:crossBetween val="midCat"/>
      </c:valAx>
      <c:valAx>
        <c:axId val="193343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company return</a:t>
                </a:r>
              </a:p>
            </c:rich>
          </c:tx>
          <c:layout>
            <c:manualLayout>
              <c:xMode val="edge"/>
              <c:yMode val="edge"/>
              <c:x val="2.030138227902465E-2"/>
              <c:y val="0.315989093722786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%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437360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Nestle Pakistan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120211006971133E-2"/>
          <c:y val="0.11369322720370727"/>
          <c:w val="0.83501227048703641"/>
          <c:h val="0.759979249325266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sheet4!$E$3</c:f>
              <c:strCache>
                <c:ptCount val="1"/>
                <c:pt idx="0">
                  <c:v>INDEX RETURN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>
                <a:gsLst>
                  <a:gs pos="0">
                    <a:schemeClr val="accent1">
                      <a:tint val="50000"/>
                    </a:schemeClr>
                  </a:gs>
                  <a:gs pos="35000">
                    <a:schemeClr val="accent1">
                      <a:tint val="37000"/>
                    </a:schemeClr>
                  </a:gs>
                  <a:gs pos="100000">
                    <a:schemeClr val="accent1">
                      <a:tint val="15000"/>
                    </a:schemeClr>
                  </a:gs>
                </a:gsLst>
                <a:lin ang="16200000" scaled="1"/>
                <a:tileRect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sheet4!$D$4:$D$1456</c:f>
              <c:numCache>
                <c:formatCode>0.0000%</c:formatCode>
                <c:ptCount val="1453"/>
                <c:pt idx="0">
                  <c:v>5.0323327378406254E-4</c:v>
                </c:pt>
                <c:pt idx="1">
                  <c:v>-2.5474030292762205E-3</c:v>
                </c:pt>
                <c:pt idx="2">
                  <c:v>-4.6464570764792757E-3</c:v>
                </c:pt>
                <c:pt idx="3">
                  <c:v>-5.4927907121897956E-4</c:v>
                </c:pt>
                <c:pt idx="4">
                  <c:v>6.8707058088694566E-4</c:v>
                </c:pt>
                <c:pt idx="5">
                  <c:v>8.8773302992039963E-4</c:v>
                </c:pt>
                <c:pt idx="6">
                  <c:v>1.8915668687677824E-3</c:v>
                </c:pt>
                <c:pt idx="7">
                  <c:v>-2.7551659361300165E-4</c:v>
                </c:pt>
                <c:pt idx="8">
                  <c:v>-1.8749999999999999E-3</c:v>
                </c:pt>
                <c:pt idx="9">
                  <c:v>6.1627468242988299E-3</c:v>
                </c:pt>
                <c:pt idx="10">
                  <c:v>-6.2616390246341578E-3</c:v>
                </c:pt>
                <c:pt idx="11">
                  <c:v>1.3750000000004546E-4</c:v>
                </c:pt>
                <c:pt idx="12">
                  <c:v>0</c:v>
                </c:pt>
                <c:pt idx="13">
                  <c:v>-5.4080934916392121E-3</c:v>
                </c:pt>
                <c:pt idx="14">
                  <c:v>1.2073987403221163E-3</c:v>
                </c:pt>
                <c:pt idx="15">
                  <c:v>3.5977514053716656E-3</c:v>
                </c:pt>
                <c:pt idx="16">
                  <c:v>-3.1505672266291646E-3</c:v>
                </c:pt>
                <c:pt idx="17">
                  <c:v>9.4276771460535744E-3</c:v>
                </c:pt>
                <c:pt idx="18">
                  <c:v>-5.7366395040743439E-3</c:v>
                </c:pt>
                <c:pt idx="19">
                  <c:v>-6.1203332459006826E-4</c:v>
                </c:pt>
                <c:pt idx="20">
                  <c:v>7.2497281351951569E-4</c:v>
                </c:pt>
                <c:pt idx="21">
                  <c:v>1.0000625039067215E-4</c:v>
                </c:pt>
                <c:pt idx="22">
                  <c:v>6.8976802144826337E-3</c:v>
                </c:pt>
                <c:pt idx="23">
                  <c:v>2.5174649128304877E-5</c:v>
                </c:pt>
                <c:pt idx="24">
                  <c:v>-2.3483021900743192E-3</c:v>
                </c:pt>
                <c:pt idx="25">
                  <c:v>-4.1767751294300758E-3</c:v>
                </c:pt>
                <c:pt idx="26">
                  <c:v>-6.5471531685984893E-3</c:v>
                </c:pt>
                <c:pt idx="27">
                  <c:v>6.7917448405253513E-3</c:v>
                </c:pt>
                <c:pt idx="28">
                  <c:v>-5.6253515844740295E-4</c:v>
                </c:pt>
                <c:pt idx="29">
                  <c:v>1.1889862327909887E-3</c:v>
                </c:pt>
                <c:pt idx="30">
                  <c:v>-1.0502100420083562E-3</c:v>
                </c:pt>
                <c:pt idx="31">
                  <c:v>1.377169041239953E-3</c:v>
                </c:pt>
                <c:pt idx="32">
                  <c:v>-4.2634885808318446E-3</c:v>
                </c:pt>
                <c:pt idx="33">
                  <c:v>2.1989005497251831E-3</c:v>
                </c:pt>
                <c:pt idx="34">
                  <c:v>2.4988130637924247E-5</c:v>
                </c:pt>
                <c:pt idx="35">
                  <c:v>-4.3167257572930048E-3</c:v>
                </c:pt>
                <c:pt idx="36">
                  <c:v>1.4201891093918895E-3</c:v>
                </c:pt>
                <c:pt idx="37">
                  <c:v>-9.0859304988540187E-4</c:v>
                </c:pt>
                <c:pt idx="38">
                  <c:v>3.7103201868901796E-3</c:v>
                </c:pt>
                <c:pt idx="39">
                  <c:v>-5.8496236866291216E-3</c:v>
                </c:pt>
                <c:pt idx="40">
                  <c:v>-4.0967834043030896E-4</c:v>
                </c:pt>
                <c:pt idx="41">
                  <c:v>-2.6249644020157519E-3</c:v>
                </c:pt>
                <c:pt idx="42">
                  <c:v>1.9027190713519673E-2</c:v>
                </c:pt>
                <c:pt idx="43">
                  <c:v>-3.9712960752033228E-3</c:v>
                </c:pt>
                <c:pt idx="44">
                  <c:v>-5.3624999999999541E-3</c:v>
                </c:pt>
                <c:pt idx="45">
                  <c:v>-6.3469588006608239E-3</c:v>
                </c:pt>
                <c:pt idx="46">
                  <c:v>-7.7031157562610919E-3</c:v>
                </c:pt>
                <c:pt idx="47">
                  <c:v>-1.1818002757533305E-3</c:v>
                </c:pt>
                <c:pt idx="48">
                  <c:v>-4.3511833993160678E-3</c:v>
                </c:pt>
                <c:pt idx="49">
                  <c:v>1.7804081432184868E-3</c:v>
                </c:pt>
                <c:pt idx="50">
                  <c:v>1.598780007870917E-3</c:v>
                </c:pt>
                <c:pt idx="51">
                  <c:v>-2.459056705847637E-4</c:v>
                </c:pt>
                <c:pt idx="52">
                  <c:v>-5.5510723106644835E-3</c:v>
                </c:pt>
                <c:pt idx="53">
                  <c:v>-1.8764247150569843E-2</c:v>
                </c:pt>
                <c:pt idx="54">
                  <c:v>1.6203167481498595E-2</c:v>
                </c:pt>
                <c:pt idx="55">
                  <c:v>8.1367765090525606E-3</c:v>
                </c:pt>
                <c:pt idx="56">
                  <c:v>-2.0290448436973172E-2</c:v>
                </c:pt>
                <c:pt idx="57">
                  <c:v>-2.8891992102851117E-4</c:v>
                </c:pt>
                <c:pt idx="58">
                  <c:v>-5.1736526946108653E-3</c:v>
                </c:pt>
                <c:pt idx="59">
                  <c:v>1.4512047398026319E-3</c:v>
                </c:pt>
                <c:pt idx="60">
                  <c:v>-1.4969342785974326E-3</c:v>
                </c:pt>
                <c:pt idx="61">
                  <c:v>-2.9203869047619131E-2</c:v>
                </c:pt>
                <c:pt idx="62">
                  <c:v>2.3792803837318594E-2</c:v>
                </c:pt>
                <c:pt idx="63">
                  <c:v>-3.3688805589494352E-3</c:v>
                </c:pt>
                <c:pt idx="64">
                  <c:v>6.1946480150867293E-3</c:v>
                </c:pt>
                <c:pt idx="65">
                  <c:v>-4.4142736133799125E-4</c:v>
                </c:pt>
                <c:pt idx="66">
                  <c:v>-7.4718768502072663E-3</c:v>
                </c:pt>
                <c:pt idx="67">
                  <c:v>1.1855364552459987E-3</c:v>
                </c:pt>
                <c:pt idx="68">
                  <c:v>4.2383979808081965E-3</c:v>
                </c:pt>
                <c:pt idx="69">
                  <c:v>2.7697523936867441E-3</c:v>
                </c:pt>
                <c:pt idx="70">
                  <c:v>-4.3031715087250852E-3</c:v>
                </c:pt>
                <c:pt idx="71">
                  <c:v>-3.8956579399192022E-3</c:v>
                </c:pt>
                <c:pt idx="72">
                  <c:v>2.3143203019297871E-3</c:v>
                </c:pt>
                <c:pt idx="73">
                  <c:v>9.0778443113771583E-3</c:v>
                </c:pt>
                <c:pt idx="74">
                  <c:v>-2.1868240861344927E-3</c:v>
                </c:pt>
                <c:pt idx="75">
                  <c:v>-3.5836727867834153E-4</c:v>
                </c:pt>
                <c:pt idx="76">
                  <c:v>2.0628863339876239E-2</c:v>
                </c:pt>
                <c:pt idx="77">
                  <c:v>-1.9345042384533447E-2</c:v>
                </c:pt>
                <c:pt idx="78">
                  <c:v>-1.2666446312210913E-2</c:v>
                </c:pt>
                <c:pt idx="79">
                  <c:v>1.2986859659276323E-4</c:v>
                </c:pt>
                <c:pt idx="80">
                  <c:v>2.1177918175149233E-3</c:v>
                </c:pt>
                <c:pt idx="81">
                  <c:v>4.1104352784642135E-3</c:v>
                </c:pt>
                <c:pt idx="82">
                  <c:v>-4.7530090567285714E-3</c:v>
                </c:pt>
                <c:pt idx="83">
                  <c:v>5.0861556743908819E-3</c:v>
                </c:pt>
                <c:pt idx="84">
                  <c:v>3.8531737984180835E-3</c:v>
                </c:pt>
                <c:pt idx="85">
                  <c:v>-6.6949473883780447E-3</c:v>
                </c:pt>
                <c:pt idx="86">
                  <c:v>-9.0648630876895061E-3</c:v>
                </c:pt>
                <c:pt idx="87">
                  <c:v>1.7466727198872059E-2</c:v>
                </c:pt>
                <c:pt idx="88">
                  <c:v>1.0027633309601713E-2</c:v>
                </c:pt>
                <c:pt idx="89">
                  <c:v>7.53790227474438E-3</c:v>
                </c:pt>
                <c:pt idx="90">
                  <c:v>1.5018387343584265E-2</c:v>
                </c:pt>
                <c:pt idx="91">
                  <c:v>-1.5633920870737811E-2</c:v>
                </c:pt>
                <c:pt idx="92">
                  <c:v>-1.4921979705150168E-2</c:v>
                </c:pt>
                <c:pt idx="93">
                  <c:v>-2.6018666603013739E-3</c:v>
                </c:pt>
                <c:pt idx="94">
                  <c:v>3.2329134537094689E-3</c:v>
                </c:pt>
                <c:pt idx="95">
                  <c:v>-5.1578934829478937E-3</c:v>
                </c:pt>
                <c:pt idx="96">
                  <c:v>-2.995112143377136E-2</c:v>
                </c:pt>
                <c:pt idx="97">
                  <c:v>-1.1874721686210479E-2</c:v>
                </c:pt>
                <c:pt idx="98">
                  <c:v>-5.3635824165779308E-4</c:v>
                </c:pt>
                <c:pt idx="99">
                  <c:v>-1.0009715977133602E-2</c:v>
                </c:pt>
                <c:pt idx="100">
                  <c:v>-1.1083055884521789E-2</c:v>
                </c:pt>
                <c:pt idx="101">
                  <c:v>-9.626449499867221E-3</c:v>
                </c:pt>
                <c:pt idx="102">
                  <c:v>-5.5454526452206297E-2</c:v>
                </c:pt>
                <c:pt idx="103">
                  <c:v>0.10000804754952135</c:v>
                </c:pt>
                <c:pt idx="104">
                  <c:v>9.9992412362790078E-2</c:v>
                </c:pt>
                <c:pt idx="105">
                  <c:v>2.4466615113522788E-3</c:v>
                </c:pt>
                <c:pt idx="106">
                  <c:v>3.3853211009174336E-2</c:v>
                </c:pt>
                <c:pt idx="107">
                  <c:v>2.4568733330705421E-3</c:v>
                </c:pt>
                <c:pt idx="108">
                  <c:v>-1.0208327914900258E-2</c:v>
                </c:pt>
                <c:pt idx="109">
                  <c:v>-1.5710409119826867E-3</c:v>
                </c:pt>
                <c:pt idx="110">
                  <c:v>2.7273435673646774E-4</c:v>
                </c:pt>
                <c:pt idx="111">
                  <c:v>-2.2098605501790748E-2</c:v>
                </c:pt>
                <c:pt idx="112">
                  <c:v>5.0400213447171847E-2</c:v>
                </c:pt>
                <c:pt idx="113">
                  <c:v>6.7826203747229866E-3</c:v>
                </c:pt>
                <c:pt idx="114">
                  <c:v>6.1486486486486483E-3</c:v>
                </c:pt>
                <c:pt idx="115">
                  <c:v>1.1896622453165596E-2</c:v>
                </c:pt>
                <c:pt idx="116">
                  <c:v>1.078092605390463E-2</c:v>
                </c:pt>
                <c:pt idx="117">
                  <c:v>-1.3664784883158686E-3</c:v>
                </c:pt>
                <c:pt idx="118">
                  <c:v>6.3758855396582352E-3</c:v>
                </c:pt>
                <c:pt idx="119">
                  <c:v>7.4731303179578525E-3</c:v>
                </c:pt>
                <c:pt idx="120">
                  <c:v>-6.8526676456186783E-4</c:v>
                </c:pt>
                <c:pt idx="121">
                  <c:v>-1.3965505202150688E-3</c:v>
                </c:pt>
                <c:pt idx="122">
                  <c:v>-2.8547556050689321E-3</c:v>
                </c:pt>
                <c:pt idx="123">
                  <c:v>-6.0762086672479397E-3</c:v>
                </c:pt>
                <c:pt idx="124">
                  <c:v>1.9530092429266864E-2</c:v>
                </c:pt>
                <c:pt idx="125">
                  <c:v>6.8768559696508478E-3</c:v>
                </c:pt>
                <c:pt idx="126">
                  <c:v>5.3136025368167991E-3</c:v>
                </c:pt>
                <c:pt idx="127">
                  <c:v>-5.5681027258136567E-3</c:v>
                </c:pt>
                <c:pt idx="128">
                  <c:v>3.5780470420527961E-3</c:v>
                </c:pt>
                <c:pt idx="129">
                  <c:v>-4.3996593812091964E-3</c:v>
                </c:pt>
                <c:pt idx="130">
                  <c:v>2.0764001479080074E-3</c:v>
                </c:pt>
                <c:pt idx="131">
                  <c:v>7.8114922100073099E-3</c:v>
                </c:pt>
                <c:pt idx="132">
                  <c:v>-1.0017736786094411E-2</c:v>
                </c:pt>
                <c:pt idx="133">
                  <c:v>1.5775112273322103E-3</c:v>
                </c:pt>
                <c:pt idx="134">
                  <c:v>4.0668388532941399E-3</c:v>
                </c:pt>
                <c:pt idx="135">
                  <c:v>1.1285714285713766E-3</c:v>
                </c:pt>
                <c:pt idx="136">
                  <c:v>-6.8524440383739462E-4</c:v>
                </c:pt>
                <c:pt idx="137">
                  <c:v>-7.1328711232845443E-4</c:v>
                </c:pt>
                <c:pt idx="138">
                  <c:v>-2.8530670470730113E-5</c:v>
                </c:pt>
                <c:pt idx="139">
                  <c:v>3.5676061362825543E-4</c:v>
                </c:pt>
                <c:pt idx="140">
                  <c:v>-2.8540034533415828E-5</c:v>
                </c:pt>
                <c:pt idx="141">
                  <c:v>-9.6942048613588732E-4</c:v>
                </c:pt>
                <c:pt idx="142">
                  <c:v>2.0714285714285713E-3</c:v>
                </c:pt>
                <c:pt idx="143">
                  <c:v>0</c:v>
                </c:pt>
                <c:pt idx="144">
                  <c:v>-1.2498941963152155E-2</c:v>
                </c:pt>
                <c:pt idx="145">
                  <c:v>7.4472016145079086E-3</c:v>
                </c:pt>
                <c:pt idx="146">
                  <c:v>-6.9859011812523821E-3</c:v>
                </c:pt>
                <c:pt idx="147">
                  <c:v>6.3056537855225078E-3</c:v>
                </c:pt>
                <c:pt idx="148">
                  <c:v>5.7419548356686546E-3</c:v>
                </c:pt>
                <c:pt idx="149">
                  <c:v>-3.4588777863181134E-3</c:v>
                </c:pt>
                <c:pt idx="150">
                  <c:v>2.1968616262481649E-3</c:v>
                </c:pt>
                <c:pt idx="151">
                  <c:v>-4.8478626629019255E-4</c:v>
                </c:pt>
                <c:pt idx="152">
                  <c:v>-7.5512559305856953E-4</c:v>
                </c:pt>
                <c:pt idx="153">
                  <c:v>-5.060671354048512E-3</c:v>
                </c:pt>
                <c:pt idx="154">
                  <c:v>-2.2065063649222578E-3</c:v>
                </c:pt>
                <c:pt idx="155">
                  <c:v>2.8226549978013979E-3</c:v>
                </c:pt>
                <c:pt idx="156">
                  <c:v>-2.6172084995614406E-3</c:v>
                </c:pt>
                <c:pt idx="157">
                  <c:v>-3.2713838517724439E-3</c:v>
                </c:pt>
                <c:pt idx="158">
                  <c:v>-1.2284122562674069E-2</c:v>
                </c:pt>
                <c:pt idx="159">
                  <c:v>1.5113599411856136E-2</c:v>
                </c:pt>
                <c:pt idx="160">
                  <c:v>-1.4136073846849774E-4</c:v>
                </c:pt>
                <c:pt idx="161">
                  <c:v>-1.264533057908907E-2</c:v>
                </c:pt>
                <c:pt idx="162">
                  <c:v>6.405304041241091E-3</c:v>
                </c:pt>
                <c:pt idx="163">
                  <c:v>1.7188660913299448E-2</c:v>
                </c:pt>
                <c:pt idx="164">
                  <c:v>-1.8703906228092263E-2</c:v>
                </c:pt>
                <c:pt idx="165">
                  <c:v>1.6272442291251042E-2</c:v>
                </c:pt>
                <c:pt idx="166">
                  <c:v>-2.3976412995104536E-2</c:v>
                </c:pt>
                <c:pt idx="167">
                  <c:v>4.1739709951755133E-2</c:v>
                </c:pt>
                <c:pt idx="168">
                  <c:v>1.4447383891828362E-2</c:v>
                </c:pt>
                <c:pt idx="169">
                  <c:v>-1.2051691592856106E-2</c:v>
                </c:pt>
                <c:pt idx="170">
                  <c:v>-1.4763526079368233E-2</c:v>
                </c:pt>
                <c:pt idx="171">
                  <c:v>-5.8619161317077675E-4</c:v>
                </c:pt>
                <c:pt idx="172">
                  <c:v>-5.2872249214058558E-4</c:v>
                </c:pt>
                <c:pt idx="173">
                  <c:v>-7.2350688040856859E-3</c:v>
                </c:pt>
                <c:pt idx="174">
                  <c:v>-7.3714949958887167E-4</c:v>
                </c:pt>
                <c:pt idx="175">
                  <c:v>7.5845224321891488E-3</c:v>
                </c:pt>
                <c:pt idx="176">
                  <c:v>-1.3929577464788682E-2</c:v>
                </c:pt>
                <c:pt idx="177">
                  <c:v>4.0018665950196106E-3</c:v>
                </c:pt>
                <c:pt idx="178">
                  <c:v>-3.9859154929577723E-3</c:v>
                </c:pt>
                <c:pt idx="179">
                  <c:v>-2.0801709113397681E-3</c:v>
                </c:pt>
                <c:pt idx="180">
                  <c:v>-8.1552423570741498E-3</c:v>
                </c:pt>
                <c:pt idx="181">
                  <c:v>1.4481890565557503E-2</c:v>
                </c:pt>
                <c:pt idx="182">
                  <c:v>-1.5674810329226751E-2</c:v>
                </c:pt>
                <c:pt idx="183">
                  <c:v>-3.177730905861406E-3</c:v>
                </c:pt>
                <c:pt idx="184">
                  <c:v>-5.0531547701229279E-3</c:v>
                </c:pt>
                <c:pt idx="185">
                  <c:v>5.9722222222222225E-3</c:v>
                </c:pt>
                <c:pt idx="186">
                  <c:v>-2.0408163265306121E-2</c:v>
                </c:pt>
                <c:pt idx="187">
                  <c:v>-6.4882400648824008E-3</c:v>
                </c:pt>
                <c:pt idx="188">
                  <c:v>3.5949264057518822E-3</c:v>
                </c:pt>
                <c:pt idx="189">
                  <c:v>-1.9361477429662571E-3</c:v>
                </c:pt>
                <c:pt idx="190">
                  <c:v>1.4644067796610416E-3</c:v>
                </c:pt>
                <c:pt idx="191">
                  <c:v>1.3559505891654639E-5</c:v>
                </c:pt>
                <c:pt idx="192">
                  <c:v>-3.1898357775225201E-3</c:v>
                </c:pt>
                <c:pt idx="193">
                  <c:v>1.9772748818375607E-3</c:v>
                </c:pt>
                <c:pt idx="194">
                  <c:v>-2.4857138997339402E-3</c:v>
                </c:pt>
                <c:pt idx="195">
                  <c:v>-8.6913434754659902E-3</c:v>
                </c:pt>
                <c:pt idx="196">
                  <c:v>1.5945578231292491E-2</c:v>
                </c:pt>
                <c:pt idx="197">
                  <c:v>1.9083969465648854E-3</c:v>
                </c:pt>
                <c:pt idx="198">
                  <c:v>-1.9047619047619048E-3</c:v>
                </c:pt>
                <c:pt idx="199">
                  <c:v>0</c:v>
                </c:pt>
                <c:pt idx="200">
                  <c:v>-1.3603591348115902E-4</c:v>
                </c:pt>
                <c:pt idx="201">
                  <c:v>4.056656604701326E-3</c:v>
                </c:pt>
                <c:pt idx="202">
                  <c:v>-1.0046514143544835E-2</c:v>
                </c:pt>
                <c:pt idx="203">
                  <c:v>4.5639771801141487E-3</c:v>
                </c:pt>
                <c:pt idx="204">
                  <c:v>-1.8295284830381883E-2</c:v>
                </c:pt>
                <c:pt idx="205">
                  <c:v>2.0299319727891132E-2</c:v>
                </c:pt>
                <c:pt idx="206">
                  <c:v>1.5943747189403291E-3</c:v>
                </c:pt>
                <c:pt idx="207">
                  <c:v>-1.6461689159772877E-3</c:v>
                </c:pt>
                <c:pt idx="208">
                  <c:v>-1.6299032924046507E-3</c:v>
                </c:pt>
                <c:pt idx="209">
                  <c:v>3.8723752386146219E-3</c:v>
                </c:pt>
                <c:pt idx="210">
                  <c:v>3.9973715912824193E-3</c:v>
                </c:pt>
                <c:pt idx="211">
                  <c:v>6.5753424657536742E-4</c:v>
                </c:pt>
                <c:pt idx="212">
                  <c:v>-6.2348552914590896E-3</c:v>
                </c:pt>
                <c:pt idx="213">
                  <c:v>6.6738841457565081E-3</c:v>
                </c:pt>
                <c:pt idx="214">
                  <c:v>-3.972602739725529E-4</c:v>
                </c:pt>
                <c:pt idx="215">
                  <c:v>0</c:v>
                </c:pt>
                <c:pt idx="216">
                  <c:v>6.8548887632235659E-3</c:v>
                </c:pt>
                <c:pt idx="217">
                  <c:v>-1.6695147421813473E-2</c:v>
                </c:pt>
                <c:pt idx="218">
                  <c:v>9.36672775402109E-4</c:v>
                </c:pt>
                <c:pt idx="219">
                  <c:v>-8.546433378196501E-3</c:v>
                </c:pt>
                <c:pt idx="220">
                  <c:v>-1.8807092960773778E-3</c:v>
                </c:pt>
                <c:pt idx="221">
                  <c:v>-1.5424854134531553E-3</c:v>
                </c:pt>
                <c:pt idx="222">
                  <c:v>-4.6923180050945166E-4</c:v>
                </c:pt>
                <c:pt idx="223">
                  <c:v>2.499865598623779E-3</c:v>
                </c:pt>
                <c:pt idx="224">
                  <c:v>6.9154047068057129E-3</c:v>
                </c:pt>
                <c:pt idx="225">
                  <c:v>-7.7079107505068534E-4</c:v>
                </c:pt>
                <c:pt idx="226">
                  <c:v>-5.1792560704916933E-3</c:v>
                </c:pt>
                <c:pt idx="227">
                  <c:v>3.3642847530614991E-4</c:v>
                </c:pt>
                <c:pt idx="228">
                  <c:v>-3.8339857365006654E-3</c:v>
                </c:pt>
                <c:pt idx="229">
                  <c:v>1.2157394843962057E-2</c:v>
                </c:pt>
                <c:pt idx="230">
                  <c:v>-4.8340489886305573E-3</c:v>
                </c:pt>
                <c:pt idx="231">
                  <c:v>-2.5052529497332386E-3</c:v>
                </c:pt>
                <c:pt idx="232">
                  <c:v>-2.1235988279885193E-3</c:v>
                </c:pt>
                <c:pt idx="233">
                  <c:v>-4.2958660653346845E-3</c:v>
                </c:pt>
                <c:pt idx="234">
                  <c:v>3.1548705831811836E-3</c:v>
                </c:pt>
                <c:pt idx="235">
                  <c:v>-1.6886911303507994E-3</c:v>
                </c:pt>
                <c:pt idx="236">
                  <c:v>-3.6454925420967834E-3</c:v>
                </c:pt>
                <c:pt idx="237">
                  <c:v>9.3811917887613658E-3</c:v>
                </c:pt>
                <c:pt idx="238">
                  <c:v>1.3632069105142886E-3</c:v>
                </c:pt>
                <c:pt idx="239">
                  <c:v>-3.6175849594534135E-3</c:v>
                </c:pt>
                <c:pt idx="240">
                  <c:v>-7.752868961836184E-3</c:v>
                </c:pt>
                <c:pt idx="241">
                  <c:v>-1.1462692933117003E-3</c:v>
                </c:pt>
                <c:pt idx="242">
                  <c:v>4.9138606108065856E-2</c:v>
                </c:pt>
                <c:pt idx="243">
                  <c:v>-1.7989069237318394E-2</c:v>
                </c:pt>
                <c:pt idx="244">
                  <c:v>-8.4285344698466179E-3</c:v>
                </c:pt>
                <c:pt idx="245">
                  <c:v>-1.0549148523388565E-2</c:v>
                </c:pt>
                <c:pt idx="246">
                  <c:v>-2.1551724137935935E-4</c:v>
                </c:pt>
                <c:pt idx="247">
                  <c:v>2.5658338960162052E-3</c:v>
                </c:pt>
                <c:pt idx="248">
                  <c:v>-5.5063121138866503E-3</c:v>
                </c:pt>
                <c:pt idx="249">
                  <c:v>-5.369127516778523E-4</c:v>
                </c:pt>
                <c:pt idx="250">
                  <c:v>6.7567567567567571E-3</c:v>
                </c:pt>
                <c:pt idx="251">
                  <c:v>1.6242555495397943E-3</c:v>
                </c:pt>
                <c:pt idx="252">
                  <c:v>-1.4933333333333333E-2</c:v>
                </c:pt>
                <c:pt idx="253">
                  <c:v>3.4625465581459514E-2</c:v>
                </c:pt>
                <c:pt idx="254">
                  <c:v>-6.9863013698630138E-3</c:v>
                </c:pt>
                <c:pt idx="255">
                  <c:v>-6.8027210884353739E-3</c:v>
                </c:pt>
                <c:pt idx="256">
                  <c:v>1.3793103448275862E-2</c:v>
                </c:pt>
                <c:pt idx="257">
                  <c:v>-2.2252191503708697E-2</c:v>
                </c:pt>
                <c:pt idx="258">
                  <c:v>-1.4617940199335547E-2</c:v>
                </c:pt>
                <c:pt idx="259">
                  <c:v>1.9973368841544607E-3</c:v>
                </c:pt>
                <c:pt idx="260">
                  <c:v>1.8142041513260184E-3</c:v>
                </c:pt>
                <c:pt idx="261">
                  <c:v>2.5499316005471905E-2</c:v>
                </c:pt>
                <c:pt idx="262">
                  <c:v>1.5277777777777777E-2</c:v>
                </c:pt>
                <c:pt idx="263">
                  <c:v>-1.3428336530556317E-2</c:v>
                </c:pt>
                <c:pt idx="264">
                  <c:v>-1.2115059221658207E-2</c:v>
                </c:pt>
                <c:pt idx="265">
                  <c:v>0.10261194029850747</c:v>
                </c:pt>
                <c:pt idx="266">
                  <c:v>-6.5243179122182679E-3</c:v>
                </c:pt>
                <c:pt idx="267">
                  <c:v>6.5671641791044772E-3</c:v>
                </c:pt>
                <c:pt idx="268">
                  <c:v>0</c:v>
                </c:pt>
                <c:pt idx="269">
                  <c:v>7.5187969924812026E-3</c:v>
                </c:pt>
                <c:pt idx="270">
                  <c:v>9.104704097116844E-3</c:v>
                </c:pt>
                <c:pt idx="271">
                  <c:v>-1.5151515151515152E-3</c:v>
                </c:pt>
                <c:pt idx="272">
                  <c:v>0</c:v>
                </c:pt>
                <c:pt idx="273">
                  <c:v>-4.2245021122510563E-3</c:v>
                </c:pt>
                <c:pt idx="274">
                  <c:v>-1.0746268656716417E-2</c:v>
                </c:pt>
                <c:pt idx="275">
                  <c:v>0</c:v>
                </c:pt>
                <c:pt idx="276">
                  <c:v>8.2768999247554553E-3</c:v>
                </c:pt>
                <c:pt idx="277">
                  <c:v>-7.5187969924812035E-4</c:v>
                </c:pt>
                <c:pt idx="278">
                  <c:v>7.575757575757576E-3</c:v>
                </c:pt>
                <c:pt idx="279">
                  <c:v>2.2779043280182231E-3</c:v>
                </c:pt>
                <c:pt idx="280">
                  <c:v>-2.2727272727272726E-3</c:v>
                </c:pt>
                <c:pt idx="281">
                  <c:v>3.0395136778115501E-3</c:v>
                </c:pt>
                <c:pt idx="282">
                  <c:v>4.5801526717557254E-3</c:v>
                </c:pt>
                <c:pt idx="283">
                  <c:v>-2.284843869002285E-3</c:v>
                </c:pt>
                <c:pt idx="284">
                  <c:v>-5.0015156107911492E-3</c:v>
                </c:pt>
                <c:pt idx="285">
                  <c:v>-3.0303030303030303E-4</c:v>
                </c:pt>
                <c:pt idx="286">
                  <c:v>1.5153811183512653E-4</c:v>
                </c:pt>
                <c:pt idx="287">
                  <c:v>-3.1722054380664655E-3</c:v>
                </c:pt>
                <c:pt idx="288">
                  <c:v>3.0303030303030303E-3</c:v>
                </c:pt>
                <c:pt idx="289">
                  <c:v>-3.0211480362537764E-3</c:v>
                </c:pt>
                <c:pt idx="290">
                  <c:v>9.1463414634146336E-3</c:v>
                </c:pt>
                <c:pt idx="291">
                  <c:v>1.5267175572519084E-3</c:v>
                </c:pt>
                <c:pt idx="292">
                  <c:v>-1.5777610818933134E-2</c:v>
                </c:pt>
                <c:pt idx="293">
                  <c:v>-3.444144953578916E-3</c:v>
                </c:pt>
                <c:pt idx="294">
                  <c:v>4.2105263157894736E-3</c:v>
                </c:pt>
                <c:pt idx="295">
                  <c:v>1.279317697228145E-2</c:v>
                </c:pt>
                <c:pt idx="296">
                  <c:v>-1.6182199580461493E-2</c:v>
                </c:pt>
                <c:pt idx="297">
                  <c:v>-1.8385056625974408E-2</c:v>
                </c:pt>
                <c:pt idx="298">
                  <c:v>0</c:v>
                </c:pt>
                <c:pt idx="299">
                  <c:v>0</c:v>
                </c:pt>
                <c:pt idx="300">
                  <c:v>-1.4705882352941175E-4</c:v>
                </c:pt>
                <c:pt idx="301">
                  <c:v>0</c:v>
                </c:pt>
                <c:pt idx="302">
                  <c:v>-1.4492753623188406E-2</c:v>
                </c:pt>
                <c:pt idx="303">
                  <c:v>1.4705882352941176E-2</c:v>
                </c:pt>
                <c:pt idx="304">
                  <c:v>0</c:v>
                </c:pt>
                <c:pt idx="305">
                  <c:v>-2.144193409123615E-2</c:v>
                </c:pt>
                <c:pt idx="306">
                  <c:v>2.6440177252584934E-2</c:v>
                </c:pt>
                <c:pt idx="307">
                  <c:v>-2.9455081001472753E-3</c:v>
                </c:pt>
                <c:pt idx="308">
                  <c:v>-1.8218623481781375E-2</c:v>
                </c:pt>
                <c:pt idx="309">
                  <c:v>1.7073780496772065E-2</c:v>
                </c:pt>
                <c:pt idx="310">
                  <c:v>-1.4705882352994675E-5</c:v>
                </c:pt>
                <c:pt idx="311">
                  <c:v>-7.347538574577516E-4</c:v>
                </c:pt>
                <c:pt idx="312">
                  <c:v>7.3529411764705881E-4</c:v>
                </c:pt>
                <c:pt idx="313">
                  <c:v>0</c:v>
                </c:pt>
                <c:pt idx="314">
                  <c:v>0</c:v>
                </c:pt>
                <c:pt idx="315">
                  <c:v>-1.284749945561443E-2</c:v>
                </c:pt>
                <c:pt idx="316">
                  <c:v>-1.6666666666666668E-3</c:v>
                </c:pt>
                <c:pt idx="317">
                  <c:v>-3.6101083032490976E-3</c:v>
                </c:pt>
                <c:pt idx="318">
                  <c:v>-3.6114588279305853E-3</c:v>
                </c:pt>
                <c:pt idx="319">
                  <c:v>-4.1409944118067973E-3</c:v>
                </c:pt>
                <c:pt idx="320">
                  <c:v>2.0261972984036074E-2</c:v>
                </c:pt>
                <c:pt idx="321">
                  <c:v>-2.0000000000000052E-2</c:v>
                </c:pt>
                <c:pt idx="322">
                  <c:v>1.1594202898550725E-2</c:v>
                </c:pt>
                <c:pt idx="323">
                  <c:v>-1.1461318051575931E-2</c:v>
                </c:pt>
                <c:pt idx="324">
                  <c:v>-2.8571428571428571E-3</c:v>
                </c:pt>
                <c:pt idx="325">
                  <c:v>7.1433673833845281E-5</c:v>
                </c:pt>
                <c:pt idx="326">
                  <c:v>4.2324246771879483E-3</c:v>
                </c:pt>
                <c:pt idx="327">
                  <c:v>-1.4326647564469914E-3</c:v>
                </c:pt>
                <c:pt idx="328">
                  <c:v>-2.8571428571428571E-3</c:v>
                </c:pt>
                <c:pt idx="329">
                  <c:v>1.1441647597254005E-3</c:v>
                </c:pt>
                <c:pt idx="330">
                  <c:v>1.1135213304410701E-2</c:v>
                </c:pt>
                <c:pt idx="331">
                  <c:v>2.0286914939863787E-3</c:v>
                </c:pt>
                <c:pt idx="332">
                  <c:v>-1.4142857142857143E-2</c:v>
                </c:pt>
                <c:pt idx="333">
                  <c:v>2.1897810218978103E-2</c:v>
                </c:pt>
                <c:pt idx="334">
                  <c:v>-7.246376811594203E-3</c:v>
                </c:pt>
                <c:pt idx="335">
                  <c:v>7.2516316171138508E-4</c:v>
                </c:pt>
                <c:pt idx="336">
                  <c:v>1.3970588235294118E-2</c:v>
                </c:pt>
                <c:pt idx="337">
                  <c:v>-1.4492753623188406E-2</c:v>
                </c:pt>
                <c:pt idx="338">
                  <c:v>-5.763688760806916E-3</c:v>
                </c:pt>
                <c:pt idx="339">
                  <c:v>1.3138686131386862E-2</c:v>
                </c:pt>
                <c:pt idx="340">
                  <c:v>-7.246376811594203E-3</c:v>
                </c:pt>
                <c:pt idx="341">
                  <c:v>1.4661117891857684E-2</c:v>
                </c:pt>
                <c:pt idx="342">
                  <c:v>-1.0145560407569115E-2</c:v>
                </c:pt>
                <c:pt idx="343">
                  <c:v>-3.6258158085569255E-3</c:v>
                </c:pt>
                <c:pt idx="344">
                  <c:v>6.5693430656934308E-3</c:v>
                </c:pt>
                <c:pt idx="345">
                  <c:v>7.3529411764705881E-3</c:v>
                </c:pt>
                <c:pt idx="346">
                  <c:v>-1.1627906976744186E-2</c:v>
                </c:pt>
                <c:pt idx="347">
                  <c:v>1.1467215524845633E-2</c:v>
                </c:pt>
                <c:pt idx="348">
                  <c:v>-1.4202898550724638E-2</c:v>
                </c:pt>
                <c:pt idx="349">
                  <c:v>0</c:v>
                </c:pt>
                <c:pt idx="350">
                  <c:v>0</c:v>
                </c:pt>
                <c:pt idx="351">
                  <c:v>-2.4577128813069249E-3</c:v>
                </c:pt>
                <c:pt idx="352">
                  <c:v>2.4637681159420288E-3</c:v>
                </c:pt>
                <c:pt idx="353">
                  <c:v>-2.0581973030518098E-2</c:v>
                </c:pt>
                <c:pt idx="354">
                  <c:v>2.1014492753623187E-2</c:v>
                </c:pt>
                <c:pt idx="355">
                  <c:v>-1.1461318051575931E-2</c:v>
                </c:pt>
                <c:pt idx="356">
                  <c:v>1.8234865061998541E-2</c:v>
                </c:pt>
                <c:pt idx="357">
                  <c:v>-1.3527126205209383E-2</c:v>
                </c:pt>
                <c:pt idx="358">
                  <c:v>7.101449275362319E-3</c:v>
                </c:pt>
                <c:pt idx="359">
                  <c:v>0</c:v>
                </c:pt>
                <c:pt idx="360">
                  <c:v>-1.7094017094017096E-2</c:v>
                </c:pt>
                <c:pt idx="361">
                  <c:v>1.0071942446043165E-2</c:v>
                </c:pt>
                <c:pt idx="362">
                  <c:v>-6.8591026007430696E-3</c:v>
                </c:pt>
                <c:pt idx="363">
                  <c:v>-9.9928622412562458E-4</c:v>
                </c:pt>
                <c:pt idx="364">
                  <c:v>-2.0279720279720279E-2</c:v>
                </c:pt>
                <c:pt idx="365">
                  <c:v>0</c:v>
                </c:pt>
                <c:pt idx="366">
                  <c:v>1.4904187366926898E-2</c:v>
                </c:pt>
                <c:pt idx="367">
                  <c:v>-4.1147008328716871E-4</c:v>
                </c:pt>
                <c:pt idx="368">
                  <c:v>3.9743589743589224E-3</c:v>
                </c:pt>
                <c:pt idx="369">
                  <c:v>2.8571428571428571E-3</c:v>
                </c:pt>
                <c:pt idx="370">
                  <c:v>-1.3667746935324784E-2</c:v>
                </c:pt>
                <c:pt idx="371">
                  <c:v>1.3857142857142858E-2</c:v>
                </c:pt>
                <c:pt idx="372">
                  <c:v>6.4701653486700216E-3</c:v>
                </c:pt>
                <c:pt idx="373">
                  <c:v>-1.0837410399362814E-2</c:v>
                </c:pt>
                <c:pt idx="374">
                  <c:v>1.4456788342230532E-2</c:v>
                </c:pt>
                <c:pt idx="375">
                  <c:v>-1.4082503556187767E-2</c:v>
                </c:pt>
                <c:pt idx="376">
                  <c:v>-2.361111111111111E-2</c:v>
                </c:pt>
                <c:pt idx="377">
                  <c:v>4.6359540764423779E-2</c:v>
                </c:pt>
                <c:pt idx="378">
                  <c:v>-1.6859551364480641E-2</c:v>
                </c:pt>
                <c:pt idx="379">
                  <c:v>-2.1118881118881119E-2</c:v>
                </c:pt>
                <c:pt idx="380">
                  <c:v>-6.9444444444444441E-3</c:v>
                </c:pt>
                <c:pt idx="381">
                  <c:v>1.4084507042253521E-2</c:v>
                </c:pt>
                <c:pt idx="382">
                  <c:v>1.4285714285714285E-2</c:v>
                </c:pt>
                <c:pt idx="383">
                  <c:v>0</c:v>
                </c:pt>
                <c:pt idx="384">
                  <c:v>1.4287755393627662E-4</c:v>
                </c:pt>
                <c:pt idx="385">
                  <c:v>5.7183702644746245E-4</c:v>
                </c:pt>
                <c:pt idx="386">
                  <c:v>7.1530758226037196E-4</c:v>
                </c:pt>
                <c:pt idx="387">
                  <c:v>-1.4285714285714286E-3</c:v>
                </c:pt>
                <c:pt idx="388">
                  <c:v>0</c:v>
                </c:pt>
                <c:pt idx="389">
                  <c:v>-3.0202272097533941E-2</c:v>
                </c:pt>
                <c:pt idx="390">
                  <c:v>-1.1232876712328766E-2</c:v>
                </c:pt>
                <c:pt idx="391">
                  <c:v>1.3717421124828531E-3</c:v>
                </c:pt>
                <c:pt idx="392">
                  <c:v>-9.3762739502649822E-3</c:v>
                </c:pt>
                <c:pt idx="393">
                  <c:v>2.923076923076923E-2</c:v>
                </c:pt>
                <c:pt idx="394">
                  <c:v>-6.9444444444444441E-3</c:v>
                </c:pt>
                <c:pt idx="395">
                  <c:v>1.3890818169190166E-4</c:v>
                </c:pt>
                <c:pt idx="396">
                  <c:v>-1.3888888888888889E-4</c:v>
                </c:pt>
                <c:pt idx="397">
                  <c:v>8.8272383354350576E-3</c:v>
                </c:pt>
                <c:pt idx="398">
                  <c:v>-8.7500000000000008E-3</c:v>
                </c:pt>
                <c:pt idx="399">
                  <c:v>0</c:v>
                </c:pt>
                <c:pt idx="400">
                  <c:v>-1.7078265143138028E-2</c:v>
                </c:pt>
                <c:pt idx="401">
                  <c:v>-2.3059482528674263E-2</c:v>
                </c:pt>
                <c:pt idx="402">
                  <c:v>9.1520861372812925E-3</c:v>
                </c:pt>
                <c:pt idx="403">
                  <c:v>2.0604395604395604E-2</c:v>
                </c:pt>
                <c:pt idx="404">
                  <c:v>-1.3550135501355014E-2</c:v>
                </c:pt>
                <c:pt idx="405">
                  <c:v>7.5085324232081908E-3</c:v>
                </c:pt>
                <c:pt idx="406">
                  <c:v>-1.026888258343467E-2</c:v>
                </c:pt>
                <c:pt idx="407">
                  <c:v>-1.0561497326203208E-2</c:v>
                </c:pt>
                <c:pt idx="408">
                  <c:v>-2.6666666666666666E-3</c:v>
                </c:pt>
                <c:pt idx="409">
                  <c:v>0</c:v>
                </c:pt>
                <c:pt idx="410">
                  <c:v>-3.9840637450199202E-3</c:v>
                </c:pt>
                <c:pt idx="411">
                  <c:v>-3.968253968253968E-3</c:v>
                </c:pt>
                <c:pt idx="412">
                  <c:v>-5.263157894736842E-3</c:v>
                </c:pt>
                <c:pt idx="413">
                  <c:v>1.4957264957264958E-2</c:v>
                </c:pt>
                <c:pt idx="414">
                  <c:v>4.0080160320641282E-4</c:v>
                </c:pt>
                <c:pt idx="415">
                  <c:v>5.3468787595241276E-4</c:v>
                </c:pt>
                <c:pt idx="416">
                  <c:v>-2.9701686121919584E-2</c:v>
                </c:pt>
                <c:pt idx="417">
                  <c:v>2.6007802340702211E-3</c:v>
                </c:pt>
                <c:pt idx="418">
                  <c:v>-1.1689829848032212E-3</c:v>
                </c:pt>
                <c:pt idx="419">
                  <c:v>1.9521082769390942E-3</c:v>
                </c:pt>
                <c:pt idx="420">
                  <c:v>4.3131616782119981E-3</c:v>
                </c:pt>
                <c:pt idx="421">
                  <c:v>6.7105263157894741E-3</c:v>
                </c:pt>
                <c:pt idx="422">
                  <c:v>0</c:v>
                </c:pt>
                <c:pt idx="423">
                  <c:v>0</c:v>
                </c:pt>
                <c:pt idx="424">
                  <c:v>9.9667774086378731E-3</c:v>
                </c:pt>
                <c:pt idx="425">
                  <c:v>0</c:v>
                </c:pt>
                <c:pt idx="426">
                  <c:v>-9.9075036511716875E-3</c:v>
                </c:pt>
                <c:pt idx="427">
                  <c:v>3.947368421055025E-5</c:v>
                </c:pt>
                <c:pt idx="428">
                  <c:v>-6.5359477124183009E-3</c:v>
                </c:pt>
                <c:pt idx="429">
                  <c:v>3.3783783783783786E-2</c:v>
                </c:pt>
                <c:pt idx="430">
                  <c:v>0</c:v>
                </c:pt>
                <c:pt idx="431">
                  <c:v>2.7777777777777776E-2</c:v>
                </c:pt>
                <c:pt idx="432">
                  <c:v>-4.1278295605858856E-2</c:v>
                </c:pt>
                <c:pt idx="433">
                  <c:v>1.2129380053908356E-2</c:v>
                </c:pt>
                <c:pt idx="434">
                  <c:v>-1.0666666666666666E-2</c:v>
                </c:pt>
                <c:pt idx="435">
                  <c:v>9.2990081955079962E-3</c:v>
                </c:pt>
                <c:pt idx="436">
                  <c:v>-6.564171122994701E-3</c:v>
                </c:pt>
                <c:pt idx="437">
                  <c:v>-2.2222222222222223E-2</c:v>
                </c:pt>
                <c:pt idx="438">
                  <c:v>-4.9689440993788817E-2</c:v>
                </c:pt>
                <c:pt idx="439">
                  <c:v>2.0278833967046894E-2</c:v>
                </c:pt>
                <c:pt idx="440">
                  <c:v>-3.7804878048780487E-2</c:v>
                </c:pt>
                <c:pt idx="441">
                  <c:v>7.1195297191378182E-2</c:v>
                </c:pt>
                <c:pt idx="442">
                  <c:v>-2.7318932655654382E-2</c:v>
                </c:pt>
                <c:pt idx="443">
                  <c:v>0</c:v>
                </c:pt>
                <c:pt idx="444">
                  <c:v>1.1568123393316195E-2</c:v>
                </c:pt>
                <c:pt idx="445">
                  <c:v>2.9100529100529099E-2</c:v>
                </c:pt>
                <c:pt idx="446">
                  <c:v>-2.1359223300970873E-2</c:v>
                </c:pt>
                <c:pt idx="447">
                  <c:v>-2.3400462699586649E-2</c:v>
                </c:pt>
                <c:pt idx="448">
                  <c:v>-3.5353658536585321E-2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-1.2048192771084338E-2</c:v>
                </c:pt>
                <c:pt idx="453">
                  <c:v>0</c:v>
                </c:pt>
                <c:pt idx="454">
                  <c:v>-1.7751479289940829E-2</c:v>
                </c:pt>
                <c:pt idx="455">
                  <c:v>1.1976047904191617E-2</c:v>
                </c:pt>
                <c:pt idx="456">
                  <c:v>1.8292682926829267E-2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2.5000000000000001E-2</c:v>
                </c:pt>
                <c:pt idx="461">
                  <c:v>-2.4390243902439025E-2</c:v>
                </c:pt>
                <c:pt idx="462">
                  <c:v>0</c:v>
                </c:pt>
                <c:pt idx="463">
                  <c:v>0</c:v>
                </c:pt>
                <c:pt idx="464">
                  <c:v>-6.0606060606060606E-3</c:v>
                </c:pt>
                <c:pt idx="465">
                  <c:v>-1.7857142857142856E-2</c:v>
                </c:pt>
                <c:pt idx="466">
                  <c:v>2.4390243902439025E-2</c:v>
                </c:pt>
                <c:pt idx="467">
                  <c:v>0</c:v>
                </c:pt>
                <c:pt idx="468">
                  <c:v>-1.2048192771084338E-2</c:v>
                </c:pt>
                <c:pt idx="469">
                  <c:v>3.7499999999999999E-2</c:v>
                </c:pt>
                <c:pt idx="470">
                  <c:v>2.564102564102564E-2</c:v>
                </c:pt>
                <c:pt idx="471">
                  <c:v>0</c:v>
                </c:pt>
                <c:pt idx="472">
                  <c:v>0</c:v>
                </c:pt>
                <c:pt idx="473">
                  <c:v>-1.2783192001012531E-2</c:v>
                </c:pt>
                <c:pt idx="474">
                  <c:v>-1.2375000000000001E-2</c:v>
                </c:pt>
                <c:pt idx="475">
                  <c:v>-1.2345679012345678E-2</c:v>
                </c:pt>
                <c:pt idx="476">
                  <c:v>3.014116749332316E-2</c:v>
                </c:pt>
                <c:pt idx="477">
                  <c:v>-7.4941176470588233E-2</c:v>
                </c:pt>
                <c:pt idx="478">
                  <c:v>-7.0538443451681162E-4</c:v>
                </c:pt>
                <c:pt idx="479">
                  <c:v>-2.2298850574712644E-2</c:v>
                </c:pt>
                <c:pt idx="480">
                  <c:v>1.7543859649122806E-2</c:v>
                </c:pt>
                <c:pt idx="481">
                  <c:v>-3.9325842696629212E-2</c:v>
                </c:pt>
                <c:pt idx="482">
                  <c:v>2.2988505747126436E-2</c:v>
                </c:pt>
                <c:pt idx="483">
                  <c:v>0</c:v>
                </c:pt>
                <c:pt idx="484">
                  <c:v>1.1627906976744186E-2</c:v>
                </c:pt>
                <c:pt idx="485">
                  <c:v>5.8479532163742687E-3</c:v>
                </c:pt>
                <c:pt idx="486">
                  <c:v>5.8823529411764705E-3</c:v>
                </c:pt>
                <c:pt idx="487">
                  <c:v>0</c:v>
                </c:pt>
                <c:pt idx="488">
                  <c:v>0</c:v>
                </c:pt>
                <c:pt idx="489">
                  <c:v>5.9171597633136093E-3</c:v>
                </c:pt>
                <c:pt idx="490">
                  <c:v>-1.4002333722287048E-2</c:v>
                </c:pt>
                <c:pt idx="491">
                  <c:v>8.2352941176470594E-3</c:v>
                </c:pt>
                <c:pt idx="492">
                  <c:v>-5.8479532163742687E-3</c:v>
                </c:pt>
                <c:pt idx="493">
                  <c:v>5.8823529411764705E-3</c:v>
                </c:pt>
                <c:pt idx="494">
                  <c:v>0</c:v>
                </c:pt>
                <c:pt idx="495">
                  <c:v>-1.1627906976744186E-2</c:v>
                </c:pt>
                <c:pt idx="496">
                  <c:v>-2.2727272727272728E-2</c:v>
                </c:pt>
                <c:pt idx="497">
                  <c:v>4.7619047619047616E-2</c:v>
                </c:pt>
                <c:pt idx="498">
                  <c:v>0</c:v>
                </c:pt>
                <c:pt idx="499">
                  <c:v>7.0404587448231915E-2</c:v>
                </c:pt>
                <c:pt idx="500">
                  <c:v>7.4999999999999997E-2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1.3888888888888888E-2</c:v>
                </c:pt>
                <c:pt idx="506">
                  <c:v>0</c:v>
                </c:pt>
                <c:pt idx="507">
                  <c:v>0</c:v>
                </c:pt>
                <c:pt idx="508">
                  <c:v>-1.3869625520110957E-3</c:v>
                </c:pt>
                <c:pt idx="509">
                  <c:v>1.1929824561403509E-2</c:v>
                </c:pt>
                <c:pt idx="510">
                  <c:v>-2.3972602739726026E-2</c:v>
                </c:pt>
                <c:pt idx="511">
                  <c:v>0</c:v>
                </c:pt>
                <c:pt idx="512">
                  <c:v>1.3888888888888888E-2</c:v>
                </c:pt>
                <c:pt idx="513">
                  <c:v>0</c:v>
                </c:pt>
                <c:pt idx="514">
                  <c:v>0</c:v>
                </c:pt>
                <c:pt idx="515">
                  <c:v>-2.571041948579161E-2</c:v>
                </c:pt>
                <c:pt idx="516">
                  <c:v>1.2328767123287671E-2</c:v>
                </c:pt>
                <c:pt idx="517">
                  <c:v>-6.8027210884353739E-3</c:v>
                </c:pt>
                <c:pt idx="518">
                  <c:v>6.8493150684931503E-3</c:v>
                </c:pt>
                <c:pt idx="519">
                  <c:v>2.7300872502110891E-2</c:v>
                </c:pt>
                <c:pt idx="520">
                  <c:v>-1.3055555555555556E-2</c:v>
                </c:pt>
                <c:pt idx="521">
                  <c:v>2.8571428571428571E-2</c:v>
                </c:pt>
                <c:pt idx="522">
                  <c:v>2.7146001467351431E-2</c:v>
                </c:pt>
                <c:pt idx="523">
                  <c:v>-4.0140845070422537E-2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-1.3888888888888888E-2</c:v>
                </c:pt>
                <c:pt idx="530">
                  <c:v>1.3908205841446453E-3</c:v>
                </c:pt>
                <c:pt idx="531">
                  <c:v>1.2676056338028169E-2</c:v>
                </c:pt>
                <c:pt idx="532">
                  <c:v>1.4104372355430183E-3</c:v>
                </c:pt>
                <c:pt idx="533">
                  <c:v>-1.4084507042253522E-3</c:v>
                </c:pt>
                <c:pt idx="534">
                  <c:v>0</c:v>
                </c:pt>
                <c:pt idx="535">
                  <c:v>1.4285714285714285E-2</c:v>
                </c:pt>
                <c:pt idx="536">
                  <c:v>0</c:v>
                </c:pt>
                <c:pt idx="537">
                  <c:v>-1.3945626144527398E-2</c:v>
                </c:pt>
                <c:pt idx="538">
                  <c:v>-1.4084507042253522E-4</c:v>
                </c:pt>
                <c:pt idx="539">
                  <c:v>0</c:v>
                </c:pt>
                <c:pt idx="540">
                  <c:v>0</c:v>
                </c:pt>
                <c:pt idx="541">
                  <c:v>1.4285714285714285E-2</c:v>
                </c:pt>
                <c:pt idx="542">
                  <c:v>0</c:v>
                </c:pt>
                <c:pt idx="543">
                  <c:v>0</c:v>
                </c:pt>
                <c:pt idx="544">
                  <c:v>-1.4084507042253521E-2</c:v>
                </c:pt>
                <c:pt idx="545">
                  <c:v>2.7347706554767762E-2</c:v>
                </c:pt>
                <c:pt idx="546">
                  <c:v>-1.2855306384802171E-2</c:v>
                </c:pt>
                <c:pt idx="547">
                  <c:v>-1.3943661971830987E-2</c:v>
                </c:pt>
                <c:pt idx="548">
                  <c:v>0</c:v>
                </c:pt>
                <c:pt idx="549">
                  <c:v>-1.4064697609001407E-3</c:v>
                </c:pt>
                <c:pt idx="550">
                  <c:v>-1.2500000000000001E-2</c:v>
                </c:pt>
                <c:pt idx="551">
                  <c:v>0</c:v>
                </c:pt>
                <c:pt idx="552">
                  <c:v>-2.7027027027027029E-2</c:v>
                </c:pt>
                <c:pt idx="553">
                  <c:v>1.3698630136986301E-2</c:v>
                </c:pt>
                <c:pt idx="554">
                  <c:v>0</c:v>
                </c:pt>
                <c:pt idx="555">
                  <c:v>0</c:v>
                </c:pt>
                <c:pt idx="556">
                  <c:v>1.6571508146497702E-2</c:v>
                </c:pt>
                <c:pt idx="557">
                  <c:v>1.1408450704225352E-2</c:v>
                </c:pt>
                <c:pt idx="558">
                  <c:v>1.4213270480679951E-2</c:v>
                </c:pt>
                <c:pt idx="559">
                  <c:v>7.1428571428571434E-5</c:v>
                </c:pt>
                <c:pt idx="560">
                  <c:v>0</c:v>
                </c:pt>
                <c:pt idx="561">
                  <c:v>-1.4084507042253521E-2</c:v>
                </c:pt>
                <c:pt idx="562">
                  <c:v>4.2432814710042432E-3</c:v>
                </c:pt>
                <c:pt idx="563">
                  <c:v>-1.1188811188811189E-2</c:v>
                </c:pt>
                <c:pt idx="564">
                  <c:v>2.1428571428571429E-2</c:v>
                </c:pt>
                <c:pt idx="565">
                  <c:v>7.1942446043165471E-3</c:v>
                </c:pt>
                <c:pt idx="566">
                  <c:v>8.708272859216255E-3</c:v>
                </c:pt>
                <c:pt idx="567">
                  <c:v>1.3235294117647059E-2</c:v>
                </c:pt>
                <c:pt idx="568">
                  <c:v>-7.2992700729927005E-3</c:v>
                </c:pt>
                <c:pt idx="569">
                  <c:v>7.3529411764705881E-3</c:v>
                </c:pt>
                <c:pt idx="570">
                  <c:v>3.7296926245137668E-2</c:v>
                </c:pt>
                <c:pt idx="571">
                  <c:v>-2.1567164179104478E-2</c:v>
                </c:pt>
                <c:pt idx="572">
                  <c:v>-1.4705882352941176E-2</c:v>
                </c:pt>
                <c:pt idx="573">
                  <c:v>1.4925373134328358E-2</c:v>
                </c:pt>
                <c:pt idx="574">
                  <c:v>3.7955073586367155E-2</c:v>
                </c:pt>
                <c:pt idx="575">
                  <c:v>-3.656716417910448E-2</c:v>
                </c:pt>
                <c:pt idx="576">
                  <c:v>-7.4074074074074077E-3</c:v>
                </c:pt>
                <c:pt idx="577">
                  <c:v>2.9717682020802376E-3</c:v>
                </c:pt>
                <c:pt idx="578">
                  <c:v>5.9790732436472349E-3</c:v>
                </c:pt>
                <c:pt idx="579">
                  <c:v>1.3636363636363636E-2</c:v>
                </c:pt>
                <c:pt idx="580">
                  <c:v>2.2463206816421378E-2</c:v>
                </c:pt>
                <c:pt idx="581">
                  <c:v>-5.0735294117647059E-2</c:v>
                </c:pt>
                <c:pt idx="582">
                  <c:v>5.4263565891472867E-2</c:v>
                </c:pt>
                <c:pt idx="583">
                  <c:v>-2.2727272727272728E-2</c:v>
                </c:pt>
                <c:pt idx="584">
                  <c:v>-4.0697674418604654E-2</c:v>
                </c:pt>
                <c:pt idx="585">
                  <c:v>7.0817120622568092E-2</c:v>
                </c:pt>
                <c:pt idx="586">
                  <c:v>-7.5539568345323743E-2</c:v>
                </c:pt>
                <c:pt idx="587">
                  <c:v>4.6686746987951805E-2</c:v>
                </c:pt>
                <c:pt idx="588">
                  <c:v>-3.7681159420289857E-2</c:v>
                </c:pt>
                <c:pt idx="589">
                  <c:v>3.7593984962406013E-2</c:v>
                </c:pt>
                <c:pt idx="590">
                  <c:v>3.90625E-2</c:v>
                </c:pt>
                <c:pt idx="591">
                  <c:v>0</c:v>
                </c:pt>
                <c:pt idx="592">
                  <c:v>7.0810385523210071E-3</c:v>
                </c:pt>
                <c:pt idx="593">
                  <c:v>-2.9770992366412213E-2</c:v>
                </c:pt>
                <c:pt idx="594">
                  <c:v>2.1681484947746063E-2</c:v>
                </c:pt>
                <c:pt idx="595">
                  <c:v>-6.95210449927431E-2</c:v>
                </c:pt>
                <c:pt idx="596">
                  <c:v>6.8217054263565891E-2</c:v>
                </c:pt>
                <c:pt idx="597">
                  <c:v>-2.2727272727272728E-2</c:v>
                </c:pt>
                <c:pt idx="598">
                  <c:v>1.5384615384615385E-2</c:v>
                </c:pt>
                <c:pt idx="599">
                  <c:v>2.3622047244094488E-2</c:v>
                </c:pt>
                <c:pt idx="600">
                  <c:v>-2.1571648690292759E-2</c:v>
                </c:pt>
                <c:pt idx="601">
                  <c:v>-7.6452599388379203E-3</c:v>
                </c:pt>
                <c:pt idx="602">
                  <c:v>0</c:v>
                </c:pt>
                <c:pt idx="603">
                  <c:v>-3.6818851251840944E-2</c:v>
                </c:pt>
                <c:pt idx="604">
                  <c:v>-1.4513788098693759E-2</c:v>
                </c:pt>
                <c:pt idx="605">
                  <c:v>5.0304878048780491E-2</c:v>
                </c:pt>
                <c:pt idx="606">
                  <c:v>-2.1187705162638019E-2</c:v>
                </c:pt>
                <c:pt idx="607">
                  <c:v>2.9850746268656717E-4</c:v>
                </c:pt>
                <c:pt idx="608">
                  <c:v>0</c:v>
                </c:pt>
                <c:pt idx="609">
                  <c:v>3.0769230769230771E-2</c:v>
                </c:pt>
                <c:pt idx="610">
                  <c:v>-8.3905415713196041E-3</c:v>
                </c:pt>
                <c:pt idx="611">
                  <c:v>1.627906976744186E-2</c:v>
                </c:pt>
                <c:pt idx="612">
                  <c:v>3.2000000000000001E-2</c:v>
                </c:pt>
                <c:pt idx="613">
                  <c:v>5.0420168067226892E-2</c:v>
                </c:pt>
                <c:pt idx="614">
                  <c:v>2.5862068965517241E-2</c:v>
                </c:pt>
                <c:pt idx="615">
                  <c:v>0</c:v>
                </c:pt>
                <c:pt idx="616">
                  <c:v>0</c:v>
                </c:pt>
                <c:pt idx="617">
                  <c:v>1.7543859649122806E-2</c:v>
                </c:pt>
                <c:pt idx="618">
                  <c:v>-1.7241379310344827E-2</c:v>
                </c:pt>
                <c:pt idx="619">
                  <c:v>-1.5280135823429542E-2</c:v>
                </c:pt>
                <c:pt idx="620">
                  <c:v>0</c:v>
                </c:pt>
                <c:pt idx="621">
                  <c:v>3.6716302319850805E-2</c:v>
                </c:pt>
                <c:pt idx="622">
                  <c:v>7.5004730368968708E-2</c:v>
                </c:pt>
                <c:pt idx="623">
                  <c:v>4.7528517110266158E-3</c:v>
                </c:pt>
                <c:pt idx="624">
                  <c:v>-2.0868905331056726E-3</c:v>
                </c:pt>
                <c:pt idx="625">
                  <c:v>-2.388888888888889E-2</c:v>
                </c:pt>
                <c:pt idx="626">
                  <c:v>3.8461538461538464E-2</c:v>
                </c:pt>
                <c:pt idx="627">
                  <c:v>0</c:v>
                </c:pt>
                <c:pt idx="628">
                  <c:v>-2.8037383177570093E-2</c:v>
                </c:pt>
                <c:pt idx="629">
                  <c:v>1.9047619047619049E-2</c:v>
                </c:pt>
                <c:pt idx="630">
                  <c:v>1.3513513513513514E-2</c:v>
                </c:pt>
                <c:pt idx="631">
                  <c:v>2.2684645910248491E-2</c:v>
                </c:pt>
                <c:pt idx="632">
                  <c:v>-6.8626105370482929E-3</c:v>
                </c:pt>
                <c:pt idx="633">
                  <c:v>1.5147292993630646E-2</c:v>
                </c:pt>
                <c:pt idx="634">
                  <c:v>2.7944111776447107E-3</c:v>
                </c:pt>
                <c:pt idx="635">
                  <c:v>-3.653846153846154E-2</c:v>
                </c:pt>
                <c:pt idx="636">
                  <c:v>1.4634146341463415E-2</c:v>
                </c:pt>
                <c:pt idx="637">
                  <c:v>1.9550342130987292E-3</c:v>
                </c:pt>
                <c:pt idx="638">
                  <c:v>1.8924302788844622E-2</c:v>
                </c:pt>
                <c:pt idx="639">
                  <c:v>1.7960486928756735E-3</c:v>
                </c:pt>
                <c:pt idx="640">
                  <c:v>-1.8413320274240939E-2</c:v>
                </c:pt>
                <c:pt idx="641">
                  <c:v>-1.8288109844041528E-2</c:v>
                </c:pt>
                <c:pt idx="642">
                  <c:v>1.7612179800786675E-2</c:v>
                </c:pt>
                <c:pt idx="643">
                  <c:v>1.9607458677280837E-3</c:v>
                </c:pt>
                <c:pt idx="644">
                  <c:v>1.999960000799984E-2</c:v>
                </c:pt>
                <c:pt idx="645">
                  <c:v>-3.4916039374638032E-2</c:v>
                </c:pt>
                <c:pt idx="646">
                  <c:v>1.2903225806451613E-2</c:v>
                </c:pt>
                <c:pt idx="647">
                  <c:v>-3.3081285444234401E-2</c:v>
                </c:pt>
                <c:pt idx="648">
                  <c:v>-1.2138188608776844E-2</c:v>
                </c:pt>
                <c:pt idx="649">
                  <c:v>-2.5477707006369428E-2</c:v>
                </c:pt>
                <c:pt idx="650">
                  <c:v>4.3684710351377019E-2</c:v>
                </c:pt>
                <c:pt idx="651">
                  <c:v>-1.8989745537409798E-4</c:v>
                </c:pt>
                <c:pt idx="652">
                  <c:v>-2.4814814814814814E-2</c:v>
                </c:pt>
                <c:pt idx="653">
                  <c:v>1.9060200037742971E-2</c:v>
                </c:pt>
                <c:pt idx="654">
                  <c:v>-3.0907095830285298E-2</c:v>
                </c:pt>
                <c:pt idx="655">
                  <c:v>4.351145038167939E-2</c:v>
                </c:pt>
                <c:pt idx="656">
                  <c:v>-1.1320754716981131E-2</c:v>
                </c:pt>
                <c:pt idx="657">
                  <c:v>0</c:v>
                </c:pt>
                <c:pt idx="658">
                  <c:v>-2.6345502446368085E-3</c:v>
                </c:pt>
                <c:pt idx="659">
                  <c:v>-1.5743656232635673E-2</c:v>
                </c:pt>
                <c:pt idx="660">
                  <c:v>3.345103140680171E-3</c:v>
                </c:pt>
                <c:pt idx="661">
                  <c:v>5.9824266217984668E-3</c:v>
                </c:pt>
                <c:pt idx="662">
                  <c:v>-9.2609742544915719E-3</c:v>
                </c:pt>
                <c:pt idx="663">
                  <c:v>-9.3577981651376142E-3</c:v>
                </c:pt>
                <c:pt idx="664">
                  <c:v>-1.3574660633484163E-2</c:v>
                </c:pt>
                <c:pt idx="665">
                  <c:v>-1.8066847335140017E-3</c:v>
                </c:pt>
                <c:pt idx="666">
                  <c:v>4.1392285983066796E-2</c:v>
                </c:pt>
                <c:pt idx="667">
                  <c:v>-4.4952238246862711E-3</c:v>
                </c:pt>
                <c:pt idx="668">
                  <c:v>7.3584905660377354E-3</c:v>
                </c:pt>
                <c:pt idx="669">
                  <c:v>-1.1931394481730051E-2</c:v>
                </c:pt>
                <c:pt idx="670">
                  <c:v>1.2075471698113207E-2</c:v>
                </c:pt>
                <c:pt idx="671">
                  <c:v>1.8251681075888569E-2</c:v>
                </c:pt>
                <c:pt idx="672">
                  <c:v>-1.7924528301886792E-2</c:v>
                </c:pt>
                <c:pt idx="673">
                  <c:v>2.7131782945736434E-2</c:v>
                </c:pt>
                <c:pt idx="674">
                  <c:v>-2.2727272727272728E-2</c:v>
                </c:pt>
                <c:pt idx="675">
                  <c:v>-8.4507042253521118E-3</c:v>
                </c:pt>
                <c:pt idx="676">
                  <c:v>2.3841568929052107E-2</c:v>
                </c:pt>
                <c:pt idx="677">
                  <c:v>2.1194605009633911E-3</c:v>
                </c:pt>
                <c:pt idx="678">
                  <c:v>0</c:v>
                </c:pt>
                <c:pt idx="679">
                  <c:v>-2.2598870056497175E-2</c:v>
                </c:pt>
                <c:pt idx="680">
                  <c:v>1.1428571428571429E-2</c:v>
                </c:pt>
                <c:pt idx="681">
                  <c:v>-2.7597703278384886E-2</c:v>
                </c:pt>
                <c:pt idx="682">
                  <c:v>-3.5031277926720283E-2</c:v>
                </c:pt>
                <c:pt idx="683">
                  <c:v>3.6303019077606961E-2</c:v>
                </c:pt>
                <c:pt idx="684">
                  <c:v>-4.4424778761061948E-2</c:v>
                </c:pt>
                <c:pt idx="685">
                  <c:v>-3.4188034188034191E-2</c:v>
                </c:pt>
                <c:pt idx="686">
                  <c:v>4.4624203139229587E-2</c:v>
                </c:pt>
                <c:pt idx="687">
                  <c:v>1.7857142857207823E-5</c:v>
                </c:pt>
                <c:pt idx="688">
                  <c:v>3.7017833003092464E-2</c:v>
                </c:pt>
                <c:pt idx="689">
                  <c:v>-3.7415329768270882E-2</c:v>
                </c:pt>
                <c:pt idx="690">
                  <c:v>-2.4347826086956521E-2</c:v>
                </c:pt>
                <c:pt idx="691">
                  <c:v>-1.7094017094017096E-2</c:v>
                </c:pt>
                <c:pt idx="692">
                  <c:v>-1.680672268907563E-2</c:v>
                </c:pt>
                <c:pt idx="693">
                  <c:v>2.5862068965517241E-2</c:v>
                </c:pt>
                <c:pt idx="694">
                  <c:v>7.1098799630655588E-2</c:v>
                </c:pt>
                <c:pt idx="695">
                  <c:v>-2.7827648114901255E-2</c:v>
                </c:pt>
                <c:pt idx="696">
                  <c:v>6.5029924090326846E-2</c:v>
                </c:pt>
                <c:pt idx="697">
                  <c:v>7.5005138746145866E-2</c:v>
                </c:pt>
                <c:pt idx="698">
                  <c:v>-7.3350983790785002E-2</c:v>
                </c:pt>
                <c:pt idx="699">
                  <c:v>-1.8672897196261615E-2</c:v>
                </c:pt>
                <c:pt idx="700">
                  <c:v>1.9047619047619049E-2</c:v>
                </c:pt>
                <c:pt idx="701">
                  <c:v>-1.9607843137254902E-2</c:v>
                </c:pt>
                <c:pt idx="702">
                  <c:v>-2.2988505747126436E-2</c:v>
                </c:pt>
                <c:pt idx="703">
                  <c:v>-3.4545454545454545E-3</c:v>
                </c:pt>
                <c:pt idx="704">
                  <c:v>-2.6548672566371681E-2</c:v>
                </c:pt>
                <c:pt idx="705">
                  <c:v>-2.266043937035115E-2</c:v>
                </c:pt>
                <c:pt idx="706">
                  <c:v>0</c:v>
                </c:pt>
                <c:pt idx="707">
                  <c:v>0</c:v>
                </c:pt>
                <c:pt idx="708">
                  <c:v>-2.8240040342914774E-2</c:v>
                </c:pt>
                <c:pt idx="709">
                  <c:v>3.2812500000000001E-2</c:v>
                </c:pt>
                <c:pt idx="710">
                  <c:v>-8.6058519793459545E-3</c:v>
                </c:pt>
                <c:pt idx="711">
                  <c:v>-1.5254237288135594E-2</c:v>
                </c:pt>
                <c:pt idx="712">
                  <c:v>8.5470085470085479E-3</c:v>
                </c:pt>
                <c:pt idx="713">
                  <c:v>8.6206896551724137E-3</c:v>
                </c:pt>
                <c:pt idx="714">
                  <c:v>8.6956521739130436E-3</c:v>
                </c:pt>
                <c:pt idx="715">
                  <c:v>-8.6206896551724137E-3</c:v>
                </c:pt>
                <c:pt idx="716">
                  <c:v>0</c:v>
                </c:pt>
                <c:pt idx="717">
                  <c:v>7.819287576020852E-3</c:v>
                </c:pt>
                <c:pt idx="718">
                  <c:v>-3.7625418060200672E-2</c:v>
                </c:pt>
                <c:pt idx="719">
                  <c:v>1.3559322033898305E-2</c:v>
                </c:pt>
                <c:pt idx="720">
                  <c:v>0</c:v>
                </c:pt>
                <c:pt idx="721">
                  <c:v>4.4062997699522211E-2</c:v>
                </c:pt>
                <c:pt idx="722">
                  <c:v>-3.4017094017094018E-2</c:v>
                </c:pt>
                <c:pt idx="723">
                  <c:v>1.3864818024263431E-2</c:v>
                </c:pt>
                <c:pt idx="724">
                  <c:v>-5.1724137931034482E-3</c:v>
                </c:pt>
                <c:pt idx="725">
                  <c:v>1.7543859649122806E-2</c:v>
                </c:pt>
                <c:pt idx="726">
                  <c:v>-4.6822742474916385E-2</c:v>
                </c:pt>
                <c:pt idx="727">
                  <c:v>0</c:v>
                </c:pt>
                <c:pt idx="728">
                  <c:v>-4.9916805324459234E-3</c:v>
                </c:pt>
                <c:pt idx="729">
                  <c:v>8.3263946711074107E-4</c:v>
                </c:pt>
                <c:pt idx="730">
                  <c:v>8.3333333333333339E-4</c:v>
                </c:pt>
                <c:pt idx="731">
                  <c:v>0</c:v>
                </c:pt>
                <c:pt idx="732">
                  <c:v>0</c:v>
                </c:pt>
                <c:pt idx="733">
                  <c:v>2.564102564102564E-2</c:v>
                </c:pt>
                <c:pt idx="734">
                  <c:v>-2.5000000000000001E-2</c:v>
                </c:pt>
                <c:pt idx="735">
                  <c:v>0</c:v>
                </c:pt>
                <c:pt idx="736">
                  <c:v>3.3444816053511705E-3</c:v>
                </c:pt>
                <c:pt idx="737">
                  <c:v>3.4602076124567477E-2</c:v>
                </c:pt>
                <c:pt idx="738">
                  <c:v>-1.1965811965811967E-2</c:v>
                </c:pt>
                <c:pt idx="739">
                  <c:v>1.7391304347826087E-2</c:v>
                </c:pt>
                <c:pt idx="740">
                  <c:v>8.771929824561403E-3</c:v>
                </c:pt>
                <c:pt idx="741">
                  <c:v>0</c:v>
                </c:pt>
                <c:pt idx="742">
                  <c:v>1.7857142857142856E-2</c:v>
                </c:pt>
                <c:pt idx="743">
                  <c:v>-1.8404907975460124E-2</c:v>
                </c:pt>
                <c:pt idx="744">
                  <c:v>9.7345132743362831E-3</c:v>
                </c:pt>
                <c:pt idx="745">
                  <c:v>0</c:v>
                </c:pt>
                <c:pt idx="746">
                  <c:v>-1.7667844522968198E-3</c:v>
                </c:pt>
                <c:pt idx="747">
                  <c:v>-7.0175438596491229E-3</c:v>
                </c:pt>
                <c:pt idx="748">
                  <c:v>-1.0416666666666666E-2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-8.6730268863833475E-4</c:v>
                </c:pt>
                <c:pt idx="753">
                  <c:v>9.4554368762038172E-3</c:v>
                </c:pt>
                <c:pt idx="754">
                  <c:v>-1.5344827586206897E-2</c:v>
                </c:pt>
                <c:pt idx="755">
                  <c:v>0</c:v>
                </c:pt>
                <c:pt idx="756">
                  <c:v>5.1993067590987872E-3</c:v>
                </c:pt>
                <c:pt idx="757">
                  <c:v>-5.4098360655737705E-2</c:v>
                </c:pt>
                <c:pt idx="758">
                  <c:v>4.9423393739703456E-3</c:v>
                </c:pt>
                <c:pt idx="759">
                  <c:v>-2.049378731644344E-2</c:v>
                </c:pt>
                <c:pt idx="760">
                  <c:v>4.0638119227539883E-2</c:v>
                </c:pt>
                <c:pt idx="761">
                  <c:v>-7.4999999999999997E-3</c:v>
                </c:pt>
                <c:pt idx="762">
                  <c:v>0</c:v>
                </c:pt>
                <c:pt idx="763">
                  <c:v>-2.4390243902439025E-2</c:v>
                </c:pt>
                <c:pt idx="764">
                  <c:v>4.2372881355932202E-2</c:v>
                </c:pt>
                <c:pt idx="765">
                  <c:v>-3.2786885245901641E-2</c:v>
                </c:pt>
                <c:pt idx="766">
                  <c:v>7.4318744838976049E-3</c:v>
                </c:pt>
                <c:pt idx="767">
                  <c:v>-3.888888888888889E-2</c:v>
                </c:pt>
                <c:pt idx="768">
                  <c:v>2.4406900925218356E-2</c:v>
                </c:pt>
                <c:pt idx="769">
                  <c:v>-3.2576985413290704E-3</c:v>
                </c:pt>
                <c:pt idx="770">
                  <c:v>2.8333333333333332E-2</c:v>
                </c:pt>
                <c:pt idx="771">
                  <c:v>-4.6104928457869634E-2</c:v>
                </c:pt>
                <c:pt idx="772">
                  <c:v>6.7911714770797965E-2</c:v>
                </c:pt>
                <c:pt idx="773">
                  <c:v>-1.8333333333333333E-2</c:v>
                </c:pt>
                <c:pt idx="774">
                  <c:v>1.6604540833615723E-2</c:v>
                </c:pt>
                <c:pt idx="775">
                  <c:v>-1.3043478260869565E-2</c:v>
                </c:pt>
                <c:pt idx="776">
                  <c:v>5.0420168067226894E-3</c:v>
                </c:pt>
                <c:pt idx="777">
                  <c:v>-8.3333333333333332E-3</c:v>
                </c:pt>
                <c:pt idx="778">
                  <c:v>2.564102564102564E-2</c:v>
                </c:pt>
                <c:pt idx="779">
                  <c:v>3.3568904593639579E-2</c:v>
                </c:pt>
                <c:pt idx="780">
                  <c:v>-2.4137931034482758E-2</c:v>
                </c:pt>
                <c:pt idx="781">
                  <c:v>0</c:v>
                </c:pt>
                <c:pt idx="782">
                  <c:v>-3.1719532554257093E-2</c:v>
                </c:pt>
                <c:pt idx="783">
                  <c:v>5.0877192982456139E-2</c:v>
                </c:pt>
                <c:pt idx="784">
                  <c:v>-2.5657681065280998E-2</c:v>
                </c:pt>
                <c:pt idx="785">
                  <c:v>-5.0850340136053803E-3</c:v>
                </c:pt>
                <c:pt idx="786">
                  <c:v>1.3793103448275862E-2</c:v>
                </c:pt>
                <c:pt idx="787">
                  <c:v>4.311613651711595E-3</c:v>
                </c:pt>
                <c:pt idx="788">
                  <c:v>-4.2931034482757997E-3</c:v>
                </c:pt>
                <c:pt idx="789">
                  <c:v>2.6548672566371681E-2</c:v>
                </c:pt>
                <c:pt idx="790">
                  <c:v>-1.7667844522968198E-3</c:v>
                </c:pt>
                <c:pt idx="791">
                  <c:v>-2.6431718061674008E-3</c:v>
                </c:pt>
                <c:pt idx="792">
                  <c:v>-1.8166089965397925E-2</c:v>
                </c:pt>
                <c:pt idx="793">
                  <c:v>1.2259194395796848E-2</c:v>
                </c:pt>
                <c:pt idx="794">
                  <c:v>-1.4667817083692839E-2</c:v>
                </c:pt>
                <c:pt idx="795">
                  <c:v>3.4632034632034632E-3</c:v>
                </c:pt>
                <c:pt idx="796">
                  <c:v>0</c:v>
                </c:pt>
                <c:pt idx="797">
                  <c:v>-8.4776553227558201E-4</c:v>
                </c:pt>
                <c:pt idx="798">
                  <c:v>-1.7301038062346676E-5</c:v>
                </c:pt>
                <c:pt idx="799">
                  <c:v>0</c:v>
                </c:pt>
                <c:pt idx="800">
                  <c:v>0</c:v>
                </c:pt>
                <c:pt idx="801">
                  <c:v>-3.4482758620689655E-3</c:v>
                </c:pt>
                <c:pt idx="802">
                  <c:v>1.7271157167530224E-3</c:v>
                </c:pt>
                <c:pt idx="803">
                  <c:v>1.5611296263813365E-2</c:v>
                </c:pt>
                <c:pt idx="804">
                  <c:v>6.3548102383053839E-3</c:v>
                </c:pt>
                <c:pt idx="805">
                  <c:v>-2.1419934358265676E-2</c:v>
                </c:pt>
                <c:pt idx="806">
                  <c:v>1.8293755496921724E-2</c:v>
                </c:pt>
                <c:pt idx="807">
                  <c:v>-1.1304347826086957E-2</c:v>
                </c:pt>
                <c:pt idx="808">
                  <c:v>-8.6206896551724137E-3</c:v>
                </c:pt>
                <c:pt idx="809">
                  <c:v>1.7543859649122806E-2</c:v>
                </c:pt>
                <c:pt idx="810">
                  <c:v>-1.7241379310344827E-2</c:v>
                </c:pt>
                <c:pt idx="811">
                  <c:v>-8.5470085470085479E-3</c:v>
                </c:pt>
                <c:pt idx="812">
                  <c:v>8.6206896551724137E-3</c:v>
                </c:pt>
                <c:pt idx="813">
                  <c:v>-8.5470085470085479E-3</c:v>
                </c:pt>
                <c:pt idx="814">
                  <c:v>2.6315789473684209E-2</c:v>
                </c:pt>
                <c:pt idx="815">
                  <c:v>1.4234875444839857E-2</c:v>
                </c:pt>
                <c:pt idx="816">
                  <c:v>2.1632430467187783E-2</c:v>
                </c:pt>
                <c:pt idx="817">
                  <c:v>-1.7678571428571429E-2</c:v>
                </c:pt>
                <c:pt idx="818">
                  <c:v>0</c:v>
                </c:pt>
                <c:pt idx="819">
                  <c:v>3.5842293906810036E-3</c:v>
                </c:pt>
                <c:pt idx="820">
                  <c:v>5.4054054054054057E-3</c:v>
                </c:pt>
                <c:pt idx="821">
                  <c:v>1.928374655647383E-2</c:v>
                </c:pt>
                <c:pt idx="822">
                  <c:v>-1.9801980198019802E-2</c:v>
                </c:pt>
                <c:pt idx="823">
                  <c:v>1.1673860387186138E-2</c:v>
                </c:pt>
                <c:pt idx="824">
                  <c:v>-1.6545454545455207E-3</c:v>
                </c:pt>
                <c:pt idx="825">
                  <c:v>0</c:v>
                </c:pt>
                <c:pt idx="826">
                  <c:v>-6.6530889341479979E-2</c:v>
                </c:pt>
                <c:pt idx="827">
                  <c:v>1.2075510589690329E-2</c:v>
                </c:pt>
                <c:pt idx="828">
                  <c:v>5.8490909090909059E-2</c:v>
                </c:pt>
                <c:pt idx="829">
                  <c:v>0</c:v>
                </c:pt>
                <c:pt idx="830">
                  <c:v>-2.8283414315759597E-3</c:v>
                </c:pt>
                <c:pt idx="831">
                  <c:v>-2.2056737588652418E-2</c:v>
                </c:pt>
                <c:pt idx="832">
                  <c:v>0</c:v>
                </c:pt>
                <c:pt idx="833">
                  <c:v>7.1428571428571426E-3</c:v>
                </c:pt>
                <c:pt idx="834">
                  <c:v>2.399063779988294E-2</c:v>
                </c:pt>
                <c:pt idx="835">
                  <c:v>3.4495412844037033E-3</c:v>
                </c:pt>
                <c:pt idx="836">
                  <c:v>0</c:v>
                </c:pt>
                <c:pt idx="837">
                  <c:v>0</c:v>
                </c:pt>
                <c:pt idx="838">
                  <c:v>1.4897579143389199E-2</c:v>
                </c:pt>
                <c:pt idx="839">
                  <c:v>-5.5555555555555558E-3</c:v>
                </c:pt>
                <c:pt idx="840">
                  <c:v>-2.5270758122743681E-2</c:v>
                </c:pt>
                <c:pt idx="841">
                  <c:v>-3.5683202785030461E-2</c:v>
                </c:pt>
                <c:pt idx="842">
                  <c:v>4.4545454545454548E-2</c:v>
                </c:pt>
                <c:pt idx="843">
                  <c:v>1.8518518518518517E-2</c:v>
                </c:pt>
                <c:pt idx="844">
                  <c:v>-3.5714285714285712E-2</c:v>
                </c:pt>
                <c:pt idx="845">
                  <c:v>-2.5222371146582125E-2</c:v>
                </c:pt>
                <c:pt idx="846">
                  <c:v>-1.0606850982438469E-3</c:v>
                </c:pt>
                <c:pt idx="847">
                  <c:v>3.4788658897199514E-4</c:v>
                </c:pt>
                <c:pt idx="848">
                  <c:v>1.7522123893805308E-2</c:v>
                </c:pt>
                <c:pt idx="849">
                  <c:v>-8.771929824561403E-3</c:v>
                </c:pt>
                <c:pt idx="850">
                  <c:v>1.7838967161300626E-2</c:v>
                </c:pt>
                <c:pt idx="851">
                  <c:v>1.8200000000000067E-2</c:v>
                </c:pt>
                <c:pt idx="852">
                  <c:v>-2.6548672566371681E-2</c:v>
                </c:pt>
                <c:pt idx="853">
                  <c:v>0</c:v>
                </c:pt>
                <c:pt idx="854">
                  <c:v>0</c:v>
                </c:pt>
                <c:pt idx="855">
                  <c:v>-1.0213198325245726E-2</c:v>
                </c:pt>
                <c:pt idx="856">
                  <c:v>1.9339285714285746E-2</c:v>
                </c:pt>
                <c:pt idx="857">
                  <c:v>2.7522935779816515E-2</c:v>
                </c:pt>
                <c:pt idx="858">
                  <c:v>0</c:v>
                </c:pt>
                <c:pt idx="859">
                  <c:v>9.2592592592592587E-3</c:v>
                </c:pt>
                <c:pt idx="860">
                  <c:v>-1.8181818181818181E-2</c:v>
                </c:pt>
                <c:pt idx="861">
                  <c:v>1.6635859519408502E-2</c:v>
                </c:pt>
                <c:pt idx="862">
                  <c:v>-2.0672676586655048E-2</c:v>
                </c:pt>
                <c:pt idx="863">
                  <c:v>2.2999999999999965E-2</c:v>
                </c:pt>
                <c:pt idx="864">
                  <c:v>-1.9981488539228029E-2</c:v>
                </c:pt>
                <c:pt idx="865">
                  <c:v>-3.16168717047451E-2</c:v>
                </c:pt>
                <c:pt idx="866">
                  <c:v>2.5225225225225224E-2</c:v>
                </c:pt>
                <c:pt idx="867">
                  <c:v>6.8757823696956938E-3</c:v>
                </c:pt>
                <c:pt idx="868">
                  <c:v>-3.7271853986551327E-2</c:v>
                </c:pt>
                <c:pt idx="869">
                  <c:v>5.587828492392808E-2</c:v>
                </c:pt>
                <c:pt idx="870">
                  <c:v>-5.0458715596330278E-3</c:v>
                </c:pt>
                <c:pt idx="871">
                  <c:v>-9.0909090909090905E-3</c:v>
                </c:pt>
                <c:pt idx="872">
                  <c:v>1.8518518518518517E-2</c:v>
                </c:pt>
                <c:pt idx="873">
                  <c:v>-4.7619047619047616E-2</c:v>
                </c:pt>
                <c:pt idx="874">
                  <c:v>1.521933751119069E-2</c:v>
                </c:pt>
                <c:pt idx="875">
                  <c:v>3.6370384115791424E-2</c:v>
                </c:pt>
                <c:pt idx="876">
                  <c:v>-1.1192660550458715E-2</c:v>
                </c:pt>
                <c:pt idx="877">
                  <c:v>-5.4744525547445258E-3</c:v>
                </c:pt>
                <c:pt idx="878">
                  <c:v>7.3529411764705881E-3</c:v>
                </c:pt>
                <c:pt idx="879">
                  <c:v>1.5645420260632571E-2</c:v>
                </c:pt>
                <c:pt idx="880">
                  <c:v>-5.8664323374340979E-2</c:v>
                </c:pt>
                <c:pt idx="881">
                  <c:v>7.3584905660377356E-2</c:v>
                </c:pt>
                <c:pt idx="882">
                  <c:v>9.5238095238095247E-3</c:v>
                </c:pt>
                <c:pt idx="883">
                  <c:v>-2.5974025974025976E-2</c:v>
                </c:pt>
                <c:pt idx="884">
                  <c:v>3.148024112525117E-2</c:v>
                </c:pt>
                <c:pt idx="885">
                  <c:v>-2.3271028037383179E-2</c:v>
                </c:pt>
                <c:pt idx="886">
                  <c:v>-3.1060400253554287E-2</c:v>
                </c:pt>
                <c:pt idx="887">
                  <c:v>2.4359021928685425E-2</c:v>
                </c:pt>
                <c:pt idx="888">
                  <c:v>-1.9963636363636395E-2</c:v>
                </c:pt>
                <c:pt idx="889">
                  <c:v>-5.4542479501151188E-5</c:v>
                </c:pt>
                <c:pt idx="890">
                  <c:v>-1.8154230631917141E-2</c:v>
                </c:pt>
                <c:pt idx="891">
                  <c:v>7.5539568345323743E-3</c:v>
                </c:pt>
                <c:pt idx="892">
                  <c:v>-2.456140350877193E-2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2.6208861761445948E-3</c:v>
                </c:pt>
                <c:pt idx="898">
                  <c:v>-1.9136235955055541E-3</c:v>
                </c:pt>
                <c:pt idx="899">
                  <c:v>-5.0655021834061136E-3</c:v>
                </c:pt>
                <c:pt idx="900">
                  <c:v>-2.1367521367521368E-2</c:v>
                </c:pt>
                <c:pt idx="901">
                  <c:v>-3.4071550255536627E-3</c:v>
                </c:pt>
                <c:pt idx="902">
                  <c:v>-2.1014009339559707E-2</c:v>
                </c:pt>
                <c:pt idx="903">
                  <c:v>2.408198121263877E-2</c:v>
                </c:pt>
                <c:pt idx="904">
                  <c:v>-2.4166666666666666E-2</c:v>
                </c:pt>
                <c:pt idx="905">
                  <c:v>1.6949152542372881E-2</c:v>
                </c:pt>
                <c:pt idx="906">
                  <c:v>1.7241379310344827E-2</c:v>
                </c:pt>
                <c:pt idx="907">
                  <c:v>-1.3605442176870748E-2</c:v>
                </c:pt>
                <c:pt idx="908">
                  <c:v>2.7972027972027972E-2</c:v>
                </c:pt>
                <c:pt idx="909">
                  <c:v>0</c:v>
                </c:pt>
                <c:pt idx="910">
                  <c:v>0</c:v>
                </c:pt>
                <c:pt idx="911">
                  <c:v>-1.3793103448275862E-2</c:v>
                </c:pt>
                <c:pt idx="912">
                  <c:v>4.329004329004329E-3</c:v>
                </c:pt>
                <c:pt idx="913">
                  <c:v>-2.1186440677966101E-2</c:v>
                </c:pt>
                <c:pt idx="914">
                  <c:v>8.5470085470085479E-3</c:v>
                </c:pt>
                <c:pt idx="915">
                  <c:v>2.3622047244094488E-2</c:v>
                </c:pt>
                <c:pt idx="916">
                  <c:v>-1.124567474048443E-2</c:v>
                </c:pt>
                <c:pt idx="917">
                  <c:v>-4.3066322136089581E-3</c:v>
                </c:pt>
                <c:pt idx="918">
                  <c:v>-3.2741814546363407E-2</c:v>
                </c:pt>
                <c:pt idx="919">
                  <c:v>1.3972426843279012E-2</c:v>
                </c:pt>
                <c:pt idx="920">
                  <c:v>3.1864406779661325E-3</c:v>
                </c:pt>
                <c:pt idx="921">
                  <c:v>-1.4048034121490415E-3</c:v>
                </c:pt>
                <c:pt idx="922">
                  <c:v>-2.8764805414548529E-4</c:v>
                </c:pt>
                <c:pt idx="923">
                  <c:v>-2.0842307564863015E-2</c:v>
                </c:pt>
                <c:pt idx="924">
                  <c:v>5.3791225099079978E-2</c:v>
                </c:pt>
                <c:pt idx="925">
                  <c:v>-3.1674759393654291E-3</c:v>
                </c:pt>
                <c:pt idx="926">
                  <c:v>-2.8806941431670915E-3</c:v>
                </c:pt>
                <c:pt idx="927">
                  <c:v>2.1739130434782609E-3</c:v>
                </c:pt>
                <c:pt idx="928">
                  <c:v>-8.6206896551724137E-3</c:v>
                </c:pt>
                <c:pt idx="929">
                  <c:v>-1.8612521150592216E-2</c:v>
                </c:pt>
                <c:pt idx="930">
                  <c:v>1.8087855297157621E-2</c:v>
                </c:pt>
                <c:pt idx="931">
                  <c:v>-1.7766497461928935E-2</c:v>
                </c:pt>
                <c:pt idx="932">
                  <c:v>-1.2861199265074327E-2</c:v>
                </c:pt>
                <c:pt idx="933">
                  <c:v>-1.8605032374395543E-2</c:v>
                </c:pt>
                <c:pt idx="934">
                  <c:v>-8.8545897644191716E-3</c:v>
                </c:pt>
                <c:pt idx="935">
                  <c:v>-3.8281250000000003E-2</c:v>
                </c:pt>
                <c:pt idx="936">
                  <c:v>7.3663665554366594E-3</c:v>
                </c:pt>
                <c:pt idx="937">
                  <c:v>9.2454328832406382E-3</c:v>
                </c:pt>
                <c:pt idx="938">
                  <c:v>2.1169600129775326E-2</c:v>
                </c:pt>
                <c:pt idx="939">
                  <c:v>1.4932990878856698E-2</c:v>
                </c:pt>
                <c:pt idx="940">
                  <c:v>7.5008849557522156E-2</c:v>
                </c:pt>
                <c:pt idx="941">
                  <c:v>3.552397868561279E-3</c:v>
                </c:pt>
                <c:pt idx="942">
                  <c:v>-3.5398230088495575E-3</c:v>
                </c:pt>
                <c:pt idx="943">
                  <c:v>0</c:v>
                </c:pt>
                <c:pt idx="944">
                  <c:v>1.5274034141958671E-2</c:v>
                </c:pt>
                <c:pt idx="945">
                  <c:v>-6.2500000000000003E-3</c:v>
                </c:pt>
                <c:pt idx="946">
                  <c:v>-8.8495575221238937E-3</c:v>
                </c:pt>
                <c:pt idx="947">
                  <c:v>-8.771929824561403E-3</c:v>
                </c:pt>
                <c:pt idx="948">
                  <c:v>0</c:v>
                </c:pt>
                <c:pt idx="949">
                  <c:v>0</c:v>
                </c:pt>
                <c:pt idx="950">
                  <c:v>1.1032672318989644E-2</c:v>
                </c:pt>
                <c:pt idx="951">
                  <c:v>-2.1215277777777746E-2</c:v>
                </c:pt>
                <c:pt idx="952">
                  <c:v>0</c:v>
                </c:pt>
                <c:pt idx="953">
                  <c:v>-1.5552896940693898E-2</c:v>
                </c:pt>
                <c:pt idx="954">
                  <c:v>1.7094017094017094E-4</c:v>
                </c:pt>
                <c:pt idx="955">
                  <c:v>0</c:v>
                </c:pt>
                <c:pt idx="956">
                  <c:v>-2.2556390977443608E-2</c:v>
                </c:pt>
                <c:pt idx="957">
                  <c:v>-2.5000000000000001E-3</c:v>
                </c:pt>
                <c:pt idx="958">
                  <c:v>7.556675062972292E-3</c:v>
                </c:pt>
                <c:pt idx="959">
                  <c:v>-4.7131969514640692E-3</c:v>
                </c:pt>
                <c:pt idx="960">
                  <c:v>-1.1041322314049617E-2</c:v>
                </c:pt>
                <c:pt idx="961">
                  <c:v>2.917410904142213E-2</c:v>
                </c:pt>
                <c:pt idx="962">
                  <c:v>-5.3299492385786799E-3</c:v>
                </c:pt>
                <c:pt idx="963">
                  <c:v>1.6949152542372881E-3</c:v>
                </c:pt>
                <c:pt idx="964">
                  <c:v>-4.5554243293403074E-3</c:v>
                </c:pt>
                <c:pt idx="965">
                  <c:v>-3.8655462184873949E-3</c:v>
                </c:pt>
                <c:pt idx="966">
                  <c:v>-1.8453279651065259E-3</c:v>
                </c:pt>
                <c:pt idx="967">
                  <c:v>2.5564263850112378E-3</c:v>
                </c:pt>
                <c:pt idx="968">
                  <c:v>-2.3825503355704393E-3</c:v>
                </c:pt>
                <c:pt idx="969">
                  <c:v>1.1884550084889643E-2</c:v>
                </c:pt>
                <c:pt idx="970">
                  <c:v>-1.6949152542372881E-3</c:v>
                </c:pt>
                <c:pt idx="971">
                  <c:v>1.4617368873602751E-2</c:v>
                </c:pt>
                <c:pt idx="972">
                  <c:v>-1.0212765957446808E-2</c:v>
                </c:pt>
                <c:pt idx="973">
                  <c:v>-3.5303776683087026E-2</c:v>
                </c:pt>
                <c:pt idx="974">
                  <c:v>1.6694490818030049E-2</c:v>
                </c:pt>
                <c:pt idx="975">
                  <c:v>2.9209621993127148E-2</c:v>
                </c:pt>
                <c:pt idx="976">
                  <c:v>-1.2722646310432569E-2</c:v>
                </c:pt>
                <c:pt idx="977">
                  <c:v>1.6379310344827588E-2</c:v>
                </c:pt>
                <c:pt idx="978">
                  <c:v>8.973562504313899E-4</c:v>
                </c:pt>
                <c:pt idx="979">
                  <c:v>-3.4737747205502698E-3</c:v>
                </c:pt>
                <c:pt idx="980">
                  <c:v>9.5486111111111119E-3</c:v>
                </c:pt>
                <c:pt idx="981">
                  <c:v>1.7391304347826088E-3</c:v>
                </c:pt>
                <c:pt idx="982">
                  <c:v>-1.736111111111111E-3</c:v>
                </c:pt>
                <c:pt idx="983">
                  <c:v>1.7391304347826088E-3</c:v>
                </c:pt>
                <c:pt idx="984">
                  <c:v>0</c:v>
                </c:pt>
                <c:pt idx="985">
                  <c:v>-5.1903114186851208E-3</c:v>
                </c:pt>
                <c:pt idx="986">
                  <c:v>5.2173913043478265E-3</c:v>
                </c:pt>
                <c:pt idx="987">
                  <c:v>3.4904013961605585E-3</c:v>
                </c:pt>
                <c:pt idx="988">
                  <c:v>-1.189860320744956E-2</c:v>
                </c:pt>
                <c:pt idx="989">
                  <c:v>-8.6214328821450129E-5</c:v>
                </c:pt>
                <c:pt idx="990">
                  <c:v>-8.6206896551724131E-5</c:v>
                </c:pt>
                <c:pt idx="991">
                  <c:v>1.4855383107907058E-2</c:v>
                </c:pt>
                <c:pt idx="992">
                  <c:v>-1.0577888577265236E-2</c:v>
                </c:pt>
                <c:pt idx="993">
                  <c:v>1.2178667180682357E-2</c:v>
                </c:pt>
                <c:pt idx="994">
                  <c:v>-1.5047329099085549E-3</c:v>
                </c:pt>
                <c:pt idx="995">
                  <c:v>4.6582759105611021E-3</c:v>
                </c:pt>
                <c:pt idx="996">
                  <c:v>1.8348459624438356E-2</c:v>
                </c:pt>
                <c:pt idx="997">
                  <c:v>-1.9947368421052599E-2</c:v>
                </c:pt>
                <c:pt idx="998">
                  <c:v>3.0796304443466782E-3</c:v>
                </c:pt>
                <c:pt idx="999">
                  <c:v>7.7490709920565609E-4</c:v>
                </c:pt>
                <c:pt idx="1000">
                  <c:v>-1.1644908616187926E-2</c:v>
                </c:pt>
                <c:pt idx="1001">
                  <c:v>-8.6956521739130438E-4</c:v>
                </c:pt>
                <c:pt idx="1002">
                  <c:v>-1.8747396194973235E-3</c:v>
                </c:pt>
                <c:pt idx="1003">
                  <c:v>-6.4160055191445015E-3</c:v>
                </c:pt>
                <c:pt idx="1004">
                  <c:v>4.4628218294506569E-2</c:v>
                </c:pt>
                <c:pt idx="1005">
                  <c:v>5.405405405408683E-5</c:v>
                </c:pt>
                <c:pt idx="1006">
                  <c:v>-8.9285714285714281E-3</c:v>
                </c:pt>
                <c:pt idx="1007">
                  <c:v>0</c:v>
                </c:pt>
                <c:pt idx="1008">
                  <c:v>0</c:v>
                </c:pt>
                <c:pt idx="1009">
                  <c:v>-1.7825311942959001E-3</c:v>
                </c:pt>
                <c:pt idx="1010">
                  <c:v>-2.0087336244541485E-2</c:v>
                </c:pt>
                <c:pt idx="1011">
                  <c:v>-2.3525311492550317E-3</c:v>
                </c:pt>
                <c:pt idx="1012">
                  <c:v>-2.8670721112076455E-3</c:v>
                </c:pt>
                <c:pt idx="1013">
                  <c:v>-1.7346053772766695E-3</c:v>
                </c:pt>
                <c:pt idx="1014">
                  <c:v>-1.2926975430185771E-2</c:v>
                </c:pt>
                <c:pt idx="1015">
                  <c:v>1.573913043478261E-2</c:v>
                </c:pt>
                <c:pt idx="1016">
                  <c:v>7.0052539404553416E-3</c:v>
                </c:pt>
                <c:pt idx="1017">
                  <c:v>2.627660506262591E-4</c:v>
                </c:pt>
                <c:pt idx="1018">
                  <c:v>-3.0562347188264061E-3</c:v>
                </c:pt>
                <c:pt idx="1019">
                  <c:v>-1.2758620689655173E-2</c:v>
                </c:pt>
                <c:pt idx="1020">
                  <c:v>1.5761821366024518E-2</c:v>
                </c:pt>
                <c:pt idx="1021">
                  <c:v>-9.8494832489422514E-3</c:v>
                </c:pt>
                <c:pt idx="1022">
                  <c:v>-1.4474920960437464E-2</c:v>
                </c:pt>
                <c:pt idx="1023">
                  <c:v>7.1428571428571426E-3</c:v>
                </c:pt>
                <c:pt idx="1024">
                  <c:v>-6.8376068376068376E-3</c:v>
                </c:pt>
                <c:pt idx="1025">
                  <c:v>5.1546391752577319E-3</c:v>
                </c:pt>
                <c:pt idx="1026">
                  <c:v>-4.9581124978628826E-3</c:v>
                </c:pt>
                <c:pt idx="1027">
                  <c:v>8.4482758620689647E-3</c:v>
                </c:pt>
                <c:pt idx="1028">
                  <c:v>-1.7211703958691911E-3</c:v>
                </c:pt>
                <c:pt idx="1029">
                  <c:v>-6.8376068376068376E-3</c:v>
                </c:pt>
                <c:pt idx="1030">
                  <c:v>0</c:v>
                </c:pt>
                <c:pt idx="1031">
                  <c:v>-8.4745762711864406E-3</c:v>
                </c:pt>
                <c:pt idx="1032">
                  <c:v>8.5470085470085479E-3</c:v>
                </c:pt>
                <c:pt idx="1033">
                  <c:v>1.7094309304494746E-5</c:v>
                </c:pt>
                <c:pt idx="1034">
                  <c:v>-1.7094017094079281E-5</c:v>
                </c:pt>
                <c:pt idx="1035">
                  <c:v>4.2753313381787086E-4</c:v>
                </c:pt>
                <c:pt idx="1036">
                  <c:v>-1.5572390572390573E-2</c:v>
                </c:pt>
                <c:pt idx="1037">
                  <c:v>-9.5873280533555656E-3</c:v>
                </c:pt>
                <c:pt idx="1038">
                  <c:v>7.9831932773109238E-3</c:v>
                </c:pt>
                <c:pt idx="1039">
                  <c:v>2.6897989375300317E-4</c:v>
                </c:pt>
                <c:pt idx="1040">
                  <c:v>1.5952177625960656E-2</c:v>
                </c:pt>
                <c:pt idx="1041">
                  <c:v>-2.4166666666666666E-2</c:v>
                </c:pt>
                <c:pt idx="1042">
                  <c:v>8.4033613445378148E-3</c:v>
                </c:pt>
                <c:pt idx="1043">
                  <c:v>8.4745762711864406E-3</c:v>
                </c:pt>
                <c:pt idx="1044">
                  <c:v>-2.2563864683078728E-2</c:v>
                </c:pt>
                <c:pt idx="1045">
                  <c:v>4.9773913043478231E-2</c:v>
                </c:pt>
                <c:pt idx="1046">
                  <c:v>6.9170825672007705E-3</c:v>
                </c:pt>
                <c:pt idx="1047">
                  <c:v>-3.9929388029589778E-2</c:v>
                </c:pt>
                <c:pt idx="1048">
                  <c:v>3.5939055460880729E-3</c:v>
                </c:pt>
                <c:pt idx="1049">
                  <c:v>-2.6814449917898223E-2</c:v>
                </c:pt>
                <c:pt idx="1050">
                  <c:v>1.4800197335964479E-3</c:v>
                </c:pt>
                <c:pt idx="1051">
                  <c:v>-3.114754098360656E-3</c:v>
                </c:pt>
                <c:pt idx="1052">
                  <c:v>2.6298487836949377E-3</c:v>
                </c:pt>
                <c:pt idx="1053">
                  <c:v>-2.7864284543517455E-3</c:v>
                </c:pt>
                <c:pt idx="1054">
                  <c:v>0</c:v>
                </c:pt>
                <c:pt idx="1055">
                  <c:v>-4.1947541090635769E-3</c:v>
                </c:pt>
                <c:pt idx="1056">
                  <c:v>-1.2555200979918213E-2</c:v>
                </c:pt>
                <c:pt idx="1057">
                  <c:v>8.8780487804878648E-3</c:v>
                </c:pt>
                <c:pt idx="1058">
                  <c:v>2.6411033943069253E-3</c:v>
                </c:pt>
                <c:pt idx="1059">
                  <c:v>2.2385255142889525E-3</c:v>
                </c:pt>
                <c:pt idx="1060">
                  <c:v>-1.2887096774193489E-2</c:v>
                </c:pt>
                <c:pt idx="1061">
                  <c:v>1.280710925248295E-2</c:v>
                </c:pt>
                <c:pt idx="1062">
                  <c:v>-1.2645161290322521E-2</c:v>
                </c:pt>
                <c:pt idx="1063">
                  <c:v>-1.5942285705083234E-3</c:v>
                </c:pt>
                <c:pt idx="1064">
                  <c:v>1.4352523786485465E-3</c:v>
                </c:pt>
                <c:pt idx="1065">
                  <c:v>-5.1577963315170658E-4</c:v>
                </c:pt>
                <c:pt idx="1066">
                  <c:v>-2.5401929260450455E-3</c:v>
                </c:pt>
                <c:pt idx="1067">
                  <c:v>-1.2698412698412698E-2</c:v>
                </c:pt>
                <c:pt idx="1068">
                  <c:v>2.6991410380576E-4</c:v>
                </c:pt>
                <c:pt idx="1069">
                  <c:v>-2.2124580797416471E-2</c:v>
                </c:pt>
                <c:pt idx="1070">
                  <c:v>-5.2818532818532538E-3</c:v>
                </c:pt>
                <c:pt idx="1071">
                  <c:v>4.635352286773795E-4</c:v>
                </c:pt>
                <c:pt idx="1072">
                  <c:v>-1.1420810568879274E-3</c:v>
                </c:pt>
                <c:pt idx="1073">
                  <c:v>6.48628613787963E-4</c:v>
                </c:pt>
                <c:pt idx="1074">
                  <c:v>8.037094281298019E-4</c:v>
                </c:pt>
                <c:pt idx="1075">
                  <c:v>-4.6153846153846158E-3</c:v>
                </c:pt>
                <c:pt idx="1076">
                  <c:v>4.6367851622874804E-3</c:v>
                </c:pt>
                <c:pt idx="1077">
                  <c:v>7.7881619937694704E-3</c:v>
                </c:pt>
                <c:pt idx="1078">
                  <c:v>-2.3574144486692015E-2</c:v>
                </c:pt>
                <c:pt idx="1079">
                  <c:v>-3.787878787878788E-3</c:v>
                </c:pt>
                <c:pt idx="1080">
                  <c:v>0</c:v>
                </c:pt>
                <c:pt idx="1081">
                  <c:v>2.2463206816421378E-2</c:v>
                </c:pt>
                <c:pt idx="1082">
                  <c:v>-2.4010402491759682E-2</c:v>
                </c:pt>
                <c:pt idx="1083">
                  <c:v>-2.5337073568003168E-3</c:v>
                </c:pt>
                <c:pt idx="1084">
                  <c:v>-1.5501113585746049E-2</c:v>
                </c:pt>
                <c:pt idx="1085">
                  <c:v>1.1200528496787035E-2</c:v>
                </c:pt>
                <c:pt idx="1086">
                  <c:v>-1.6189069423929153E-2</c:v>
                </c:pt>
                <c:pt idx="1087">
                  <c:v>-5.4501917115952992E-3</c:v>
                </c:pt>
                <c:pt idx="1088">
                  <c:v>1.5985074626865724E-2</c:v>
                </c:pt>
                <c:pt idx="1089">
                  <c:v>1.0939268200678989E-2</c:v>
                </c:pt>
                <c:pt idx="1090">
                  <c:v>-5.6264066016504122E-3</c:v>
                </c:pt>
                <c:pt idx="1091">
                  <c:v>-2.6296566837107377E-2</c:v>
                </c:pt>
                <c:pt idx="1092">
                  <c:v>3.4144130533313187E-2</c:v>
                </c:pt>
                <c:pt idx="1093">
                  <c:v>2.8787878787878787E-3</c:v>
                </c:pt>
                <c:pt idx="1094">
                  <c:v>-5.6497175141242938E-3</c:v>
                </c:pt>
                <c:pt idx="1095">
                  <c:v>-9.3283582089552231E-3</c:v>
                </c:pt>
                <c:pt idx="1096">
                  <c:v>-5.196733481811433E-3</c:v>
                </c:pt>
                <c:pt idx="1097">
                  <c:v>-2.391304347826087E-2</c:v>
                </c:pt>
                <c:pt idx="1098">
                  <c:v>-4.329004329004329E-3</c:v>
                </c:pt>
                <c:pt idx="1099">
                  <c:v>1.6203533983429871E-2</c:v>
                </c:pt>
                <c:pt idx="1100">
                  <c:v>0</c:v>
                </c:pt>
                <c:pt idx="1101">
                  <c:v>1.4052044609665427E-2</c:v>
                </c:pt>
                <c:pt idx="1102">
                  <c:v>-3.7037037037037038E-3</c:v>
                </c:pt>
                <c:pt idx="1103">
                  <c:v>2.2727272727272728E-2</c:v>
                </c:pt>
                <c:pt idx="1104">
                  <c:v>-2.2222222222222223E-2</c:v>
                </c:pt>
                <c:pt idx="1105">
                  <c:v>2.5041381300207988E-2</c:v>
                </c:pt>
                <c:pt idx="1106">
                  <c:v>3.7956159873175433E-3</c:v>
                </c:pt>
                <c:pt idx="1107">
                  <c:v>1.5572519083969188E-3</c:v>
                </c:pt>
                <c:pt idx="1108">
                  <c:v>7.6923076923076927E-3</c:v>
                </c:pt>
                <c:pt idx="1109">
                  <c:v>-1.3657056145675266E-2</c:v>
                </c:pt>
                <c:pt idx="1110">
                  <c:v>9.1883614088820835E-3</c:v>
                </c:pt>
                <c:pt idx="1111">
                  <c:v>4.5072069161782857E-3</c:v>
                </c:pt>
                <c:pt idx="1112">
                  <c:v>-3.5368291557745377E-4</c:v>
                </c:pt>
                <c:pt idx="1113">
                  <c:v>4.6153846153846153E-4</c:v>
                </c:pt>
                <c:pt idx="1114">
                  <c:v>-7.6335877862595417E-3</c:v>
                </c:pt>
                <c:pt idx="1115">
                  <c:v>7.6923076923076927E-3</c:v>
                </c:pt>
                <c:pt idx="1116">
                  <c:v>-3.4037594676642573E-3</c:v>
                </c:pt>
                <c:pt idx="1117">
                  <c:v>8.0680061823801882E-3</c:v>
                </c:pt>
                <c:pt idx="1118">
                  <c:v>-2.9280320542456463E-3</c:v>
                </c:pt>
                <c:pt idx="1119">
                  <c:v>1.390625E-2</c:v>
                </c:pt>
                <c:pt idx="1120">
                  <c:v>0</c:v>
                </c:pt>
                <c:pt idx="1121">
                  <c:v>1.1058451816745656E-2</c:v>
                </c:pt>
                <c:pt idx="1122">
                  <c:v>-4.89491718115988E-4</c:v>
                </c:pt>
                <c:pt idx="1123">
                  <c:v>5.253968253968312E-3</c:v>
                </c:pt>
                <c:pt idx="1124">
                  <c:v>1.0619525810901828E-2</c:v>
                </c:pt>
                <c:pt idx="1125">
                  <c:v>-1.0507936507936478E-2</c:v>
                </c:pt>
                <c:pt idx="1126">
                  <c:v>-7.874015748031496E-3</c:v>
                </c:pt>
                <c:pt idx="1127">
                  <c:v>1.4166387171993007E-2</c:v>
                </c:pt>
                <c:pt idx="1128">
                  <c:v>-1.2241871618104002E-2</c:v>
                </c:pt>
                <c:pt idx="1129">
                  <c:v>6.1746031746031165E-3</c:v>
                </c:pt>
                <c:pt idx="1130">
                  <c:v>-1.5594237319916276E-2</c:v>
                </c:pt>
                <c:pt idx="1131">
                  <c:v>-9.9012964510040522E-3</c:v>
                </c:pt>
                <c:pt idx="1132">
                  <c:v>3.6956521739130717E-3</c:v>
                </c:pt>
                <c:pt idx="1133">
                  <c:v>2.2878309184006687E-3</c:v>
                </c:pt>
                <c:pt idx="1134">
                  <c:v>-1.1492307692307665E-2</c:v>
                </c:pt>
                <c:pt idx="1135">
                  <c:v>7.7519379844961239E-3</c:v>
                </c:pt>
                <c:pt idx="1136">
                  <c:v>0</c:v>
                </c:pt>
                <c:pt idx="1137">
                  <c:v>7.8125E-3</c:v>
                </c:pt>
                <c:pt idx="1138">
                  <c:v>-3.8910505836575876E-3</c:v>
                </c:pt>
                <c:pt idx="1139">
                  <c:v>-2.6515151515151516E-2</c:v>
                </c:pt>
                <c:pt idx="1140">
                  <c:v>3.125E-2</c:v>
                </c:pt>
                <c:pt idx="1141">
                  <c:v>0</c:v>
                </c:pt>
                <c:pt idx="1142">
                  <c:v>-1.5051248114746557E-2</c:v>
                </c:pt>
                <c:pt idx="1143">
                  <c:v>-1.8740399385560396E-3</c:v>
                </c:pt>
                <c:pt idx="1144">
                  <c:v>-1.3636363636363636E-2</c:v>
                </c:pt>
                <c:pt idx="1145">
                  <c:v>1.2658227848101266E-2</c:v>
                </c:pt>
                <c:pt idx="1146">
                  <c:v>-1.2500000000000001E-2</c:v>
                </c:pt>
                <c:pt idx="1147">
                  <c:v>-1.3452914798206279E-2</c:v>
                </c:pt>
                <c:pt idx="1148">
                  <c:v>-1.4925373134328358E-3</c:v>
                </c:pt>
                <c:pt idx="1149">
                  <c:v>1.5151515151515152E-2</c:v>
                </c:pt>
                <c:pt idx="1150">
                  <c:v>-1.4925373134328358E-2</c:v>
                </c:pt>
                <c:pt idx="1151">
                  <c:v>-1.3254786450662739E-2</c:v>
                </c:pt>
                <c:pt idx="1152">
                  <c:v>2.7045014520813194E-2</c:v>
                </c:pt>
                <c:pt idx="1153">
                  <c:v>-4.046444121915823E-2</c:v>
                </c:pt>
                <c:pt idx="1154">
                  <c:v>-4.335260115606936E-3</c:v>
                </c:pt>
                <c:pt idx="1155">
                  <c:v>2.8985507246376812E-3</c:v>
                </c:pt>
                <c:pt idx="1156">
                  <c:v>-1.3341340997812217E-2</c:v>
                </c:pt>
                <c:pt idx="1157">
                  <c:v>1.6320302281645136E-2</c:v>
                </c:pt>
                <c:pt idx="1158">
                  <c:v>-1.7000000000000001E-2</c:v>
                </c:pt>
                <c:pt idx="1159">
                  <c:v>3.1383527331663476E-2</c:v>
                </c:pt>
                <c:pt idx="1160">
                  <c:v>2.0601503759398496E-2</c:v>
                </c:pt>
                <c:pt idx="1161">
                  <c:v>-4.6731651376146786E-2</c:v>
                </c:pt>
                <c:pt idx="1162">
                  <c:v>5.9860224855666971E-2</c:v>
                </c:pt>
                <c:pt idx="1163">
                  <c:v>1.2880291768616379E-2</c:v>
                </c:pt>
                <c:pt idx="1164">
                  <c:v>-1.0770887828893955E-4</c:v>
                </c:pt>
                <c:pt idx="1165">
                  <c:v>2.9952456418383518E-2</c:v>
                </c:pt>
                <c:pt idx="1166">
                  <c:v>-1.019607843137255E-2</c:v>
                </c:pt>
                <c:pt idx="1167">
                  <c:v>1.0301109350237718E-2</c:v>
                </c:pt>
                <c:pt idx="1168">
                  <c:v>2.6934657010334446E-2</c:v>
                </c:pt>
                <c:pt idx="1169">
                  <c:v>1.2557058813835805E-2</c:v>
                </c:pt>
                <c:pt idx="1170">
                  <c:v>1.1383333333333363E-2</c:v>
                </c:pt>
                <c:pt idx="1171">
                  <c:v>-1.1532125205930808E-2</c:v>
                </c:pt>
                <c:pt idx="1172">
                  <c:v>1.0656010656010656E-2</c:v>
                </c:pt>
                <c:pt idx="1173">
                  <c:v>-3.5444135738031353E-2</c:v>
                </c:pt>
                <c:pt idx="1174">
                  <c:v>2.0770491803278657E-2</c:v>
                </c:pt>
                <c:pt idx="1175">
                  <c:v>-8.130081300813009E-3</c:v>
                </c:pt>
                <c:pt idx="1176">
                  <c:v>-9.6618357487922701E-3</c:v>
                </c:pt>
                <c:pt idx="1177">
                  <c:v>-1.2718600953895072E-2</c:v>
                </c:pt>
                <c:pt idx="1178">
                  <c:v>-3.1695721077654518E-3</c:v>
                </c:pt>
                <c:pt idx="1179">
                  <c:v>1.5873015873015873E-3</c:v>
                </c:pt>
                <c:pt idx="1180">
                  <c:v>-1.1415525114154962E-3</c:v>
                </c:pt>
                <c:pt idx="1181">
                  <c:v>6.9810243066567817E-4</c:v>
                </c:pt>
                <c:pt idx="1182">
                  <c:v>-6.3533603443111696E-3</c:v>
                </c:pt>
                <c:pt idx="1183">
                  <c:v>-1.5551037511833969E-2</c:v>
                </c:pt>
                <c:pt idx="1184">
                  <c:v>2.8482490272373822E-3</c:v>
                </c:pt>
                <c:pt idx="1185">
                  <c:v>2.3400936037441498E-3</c:v>
                </c:pt>
                <c:pt idx="1186">
                  <c:v>-6.2015503875968991E-3</c:v>
                </c:pt>
                <c:pt idx="1187">
                  <c:v>-6.1633281972265025E-3</c:v>
                </c:pt>
                <c:pt idx="1188">
                  <c:v>3.6030742109577035E-3</c:v>
                </c:pt>
                <c:pt idx="1189">
                  <c:v>-5.1230769230769507E-3</c:v>
                </c:pt>
                <c:pt idx="1190">
                  <c:v>-1.1722491675662581E-2</c:v>
                </c:pt>
                <c:pt idx="1191">
                  <c:v>-2.1017221618564192E-2</c:v>
                </c:pt>
                <c:pt idx="1192">
                  <c:v>-1.2014705882352915E-2</c:v>
                </c:pt>
                <c:pt idx="1193">
                  <c:v>7.4074074074074077E-3</c:v>
                </c:pt>
                <c:pt idx="1194">
                  <c:v>-2.1739130434782608E-2</c:v>
                </c:pt>
                <c:pt idx="1195">
                  <c:v>1.4705882352941176E-2</c:v>
                </c:pt>
                <c:pt idx="1196">
                  <c:v>0</c:v>
                </c:pt>
                <c:pt idx="1197">
                  <c:v>0</c:v>
                </c:pt>
                <c:pt idx="1198">
                  <c:v>-1.1763321962124777E-4</c:v>
                </c:pt>
                <c:pt idx="1199">
                  <c:v>1.5044776119403013E-2</c:v>
                </c:pt>
                <c:pt idx="1200">
                  <c:v>-7.4074074074074077E-3</c:v>
                </c:pt>
                <c:pt idx="1201">
                  <c:v>-1.3878743608473338E-2</c:v>
                </c:pt>
                <c:pt idx="1202">
                  <c:v>-6.5312046444121917E-3</c:v>
                </c:pt>
                <c:pt idx="1203">
                  <c:v>2.8941787879692989E-2</c:v>
                </c:pt>
                <c:pt idx="1204">
                  <c:v>-5.7609502598367007E-3</c:v>
                </c:pt>
                <c:pt idx="1205">
                  <c:v>3.6153846153846154E-2</c:v>
                </c:pt>
                <c:pt idx="1206">
                  <c:v>-5.1094890510948905E-2</c:v>
                </c:pt>
                <c:pt idx="1207">
                  <c:v>6.2015503875968991E-2</c:v>
                </c:pt>
                <c:pt idx="1208">
                  <c:v>2.6363537676594111E-4</c:v>
                </c:pt>
                <c:pt idx="1209">
                  <c:v>-7.9538461538461256E-3</c:v>
                </c:pt>
                <c:pt idx="1210">
                  <c:v>0</c:v>
                </c:pt>
                <c:pt idx="1211">
                  <c:v>1.546633338540853E-2</c:v>
                </c:pt>
                <c:pt idx="1212">
                  <c:v>-2.0504973221117061E-2</c:v>
                </c:pt>
                <c:pt idx="1213">
                  <c:v>9.2664092664092659E-3</c:v>
                </c:pt>
                <c:pt idx="1214">
                  <c:v>-2.6315789473684209E-2</c:v>
                </c:pt>
                <c:pt idx="1215">
                  <c:v>-5.9790732436472349E-3</c:v>
                </c:pt>
                <c:pt idx="1216">
                  <c:v>1.6717325227963525E-2</c:v>
                </c:pt>
                <c:pt idx="1217">
                  <c:v>-3.0303030303030303E-3</c:v>
                </c:pt>
                <c:pt idx="1218">
                  <c:v>-2.9411764705882353E-2</c:v>
                </c:pt>
                <c:pt idx="1219">
                  <c:v>6.9151377844905186E-3</c:v>
                </c:pt>
                <c:pt idx="1220">
                  <c:v>0</c:v>
                </c:pt>
                <c:pt idx="1221">
                  <c:v>-1.7458862555104534E-2</c:v>
                </c:pt>
                <c:pt idx="1222">
                  <c:v>-3.6002805049088336E-2</c:v>
                </c:pt>
                <c:pt idx="1223">
                  <c:v>0</c:v>
                </c:pt>
                <c:pt idx="1224">
                  <c:v>1.1347517730496455E-2</c:v>
                </c:pt>
                <c:pt idx="1225">
                  <c:v>1.6758487409501258E-2</c:v>
                </c:pt>
                <c:pt idx="1226">
                  <c:v>3.6442451420029921E-2</c:v>
                </c:pt>
                <c:pt idx="1227">
                  <c:v>5.3958251280031511E-2</c:v>
                </c:pt>
                <c:pt idx="1228">
                  <c:v>4.2744730833045821E-2</c:v>
                </c:pt>
                <c:pt idx="1229">
                  <c:v>-2.0819672131147243E-3</c:v>
                </c:pt>
                <c:pt idx="1230">
                  <c:v>4.4967880085653104E-2</c:v>
                </c:pt>
                <c:pt idx="1231">
                  <c:v>-1.3118966712312616E-2</c:v>
                </c:pt>
                <c:pt idx="1232">
                  <c:v>1.4753564015028049E-2</c:v>
                </c:pt>
                <c:pt idx="1233">
                  <c:v>2.2649122807017606E-2</c:v>
                </c:pt>
                <c:pt idx="1234">
                  <c:v>0</c:v>
                </c:pt>
                <c:pt idx="1235">
                  <c:v>5.2634349176304351E-5</c:v>
                </c:pt>
                <c:pt idx="1236">
                  <c:v>-1.3892733564013873E-2</c:v>
                </c:pt>
                <c:pt idx="1237">
                  <c:v>4.1816870944484497E-2</c:v>
                </c:pt>
                <c:pt idx="1238">
                  <c:v>-2.323943661971831E-2</c:v>
                </c:pt>
                <c:pt idx="1239">
                  <c:v>9.0064484038867732E-3</c:v>
                </c:pt>
                <c:pt idx="1240">
                  <c:v>2.8682391505737126E-3</c:v>
                </c:pt>
                <c:pt idx="1241">
                  <c:v>-1.521079317181E-2</c:v>
                </c:pt>
                <c:pt idx="1242">
                  <c:v>1.4217081850533744E-2</c:v>
                </c:pt>
                <c:pt idx="1243">
                  <c:v>3.5714285714285713E-3</c:v>
                </c:pt>
                <c:pt idx="1244">
                  <c:v>7.1942446043165471E-3</c:v>
                </c:pt>
                <c:pt idx="1245">
                  <c:v>-4.3029259896729774E-2</c:v>
                </c:pt>
                <c:pt idx="1246">
                  <c:v>-5.7353776263486658E-2</c:v>
                </c:pt>
                <c:pt idx="1247">
                  <c:v>-6.4719271623672234E-2</c:v>
                </c:pt>
                <c:pt idx="1248">
                  <c:v>0</c:v>
                </c:pt>
                <c:pt idx="1249">
                  <c:v>-1.5151515151515152E-3</c:v>
                </c:pt>
                <c:pt idx="1250">
                  <c:v>-1.4925373134328358E-2</c:v>
                </c:pt>
                <c:pt idx="1251">
                  <c:v>0</c:v>
                </c:pt>
                <c:pt idx="1252">
                  <c:v>-6.9896578052335664E-2</c:v>
                </c:pt>
                <c:pt idx="1253">
                  <c:v>0</c:v>
                </c:pt>
                <c:pt idx="1254">
                  <c:v>-6.4480519480519485E-2</c:v>
                </c:pt>
                <c:pt idx="1255">
                  <c:v>1.3157894736842105E-2</c:v>
                </c:pt>
                <c:pt idx="1256">
                  <c:v>6.0095835649802282E-3</c:v>
                </c:pt>
                <c:pt idx="1257">
                  <c:v>-3.1461538461538416E-2</c:v>
                </c:pt>
                <c:pt idx="1258">
                  <c:v>0</c:v>
                </c:pt>
                <c:pt idx="1259">
                  <c:v>5.0505050505050504E-2</c:v>
                </c:pt>
                <c:pt idx="1260">
                  <c:v>3.3783783783783786E-3</c:v>
                </c:pt>
                <c:pt idx="1261">
                  <c:v>-9.7684999330924661E-3</c:v>
                </c:pt>
                <c:pt idx="1262">
                  <c:v>-0.06</c:v>
                </c:pt>
                <c:pt idx="1263">
                  <c:v>-4.8817123544874202E-3</c:v>
                </c:pt>
                <c:pt idx="1264">
                  <c:v>-1.3749999999999999E-3</c:v>
                </c:pt>
                <c:pt idx="1265">
                  <c:v>0</c:v>
                </c:pt>
                <c:pt idx="1266">
                  <c:v>-9.2879256965944269E-3</c:v>
                </c:pt>
                <c:pt idx="1267">
                  <c:v>9.2488438945131854E-3</c:v>
                </c:pt>
                <c:pt idx="1268">
                  <c:v>1.25E-4</c:v>
                </c:pt>
                <c:pt idx="1269">
                  <c:v>-2.1406727828746176E-2</c:v>
                </c:pt>
                <c:pt idx="1270">
                  <c:v>-9.0909090909090905E-3</c:v>
                </c:pt>
                <c:pt idx="1271">
                  <c:v>2.4844720496894408E-2</c:v>
                </c:pt>
                <c:pt idx="1272">
                  <c:v>-6.1728395061728392E-3</c:v>
                </c:pt>
                <c:pt idx="1273">
                  <c:v>1.4592597231790568E-2</c:v>
                </c:pt>
                <c:pt idx="1274">
                  <c:v>-1.9377422177772221E-3</c:v>
                </c:pt>
                <c:pt idx="1275">
                  <c:v>3.0094043887147334E-3</c:v>
                </c:pt>
                <c:pt idx="1276">
                  <c:v>2.2435897435897436E-2</c:v>
                </c:pt>
                <c:pt idx="1277">
                  <c:v>4.3478260869565216E-2</c:v>
                </c:pt>
                <c:pt idx="1278">
                  <c:v>-4.8982188295165395E-2</c:v>
                </c:pt>
                <c:pt idx="1279">
                  <c:v>-4.1463414634146344E-2</c:v>
                </c:pt>
                <c:pt idx="1280">
                  <c:v>-3.3018867924528301E-2</c:v>
                </c:pt>
                <c:pt idx="1281">
                  <c:v>4.6913580246913583E-2</c:v>
                </c:pt>
                <c:pt idx="1282">
                  <c:v>2.4752475247524753E-3</c:v>
                </c:pt>
                <c:pt idx="1283">
                  <c:v>1.6352201257861635E-2</c:v>
                </c:pt>
                <c:pt idx="1284">
                  <c:v>-4.7072963092794282E-3</c:v>
                </c:pt>
                <c:pt idx="1285">
                  <c:v>5.0005258176464472E-2</c:v>
                </c:pt>
                <c:pt idx="1286">
                  <c:v>4.9993098688750841E-2</c:v>
                </c:pt>
                <c:pt idx="1287">
                  <c:v>0.05</c:v>
                </c:pt>
                <c:pt idx="1288">
                  <c:v>2.2222222222222223E-2</c:v>
                </c:pt>
                <c:pt idx="1289">
                  <c:v>-9.465111160026414E-3</c:v>
                </c:pt>
                <c:pt idx="1290">
                  <c:v>0.05</c:v>
                </c:pt>
                <c:pt idx="1291">
                  <c:v>1.4395348473717996E-2</c:v>
                </c:pt>
                <c:pt idx="1292">
                  <c:v>0</c:v>
                </c:pt>
                <c:pt idx="1293">
                  <c:v>0</c:v>
                </c:pt>
                <c:pt idx="1294">
                  <c:v>1.406909488822317E-4</c:v>
                </c:pt>
                <c:pt idx="1295">
                  <c:v>1.0954616588419405E-3</c:v>
                </c:pt>
                <c:pt idx="1296">
                  <c:v>-1.2503907471084713E-3</c:v>
                </c:pt>
                <c:pt idx="1297">
                  <c:v>1.2021512179689971E-2</c:v>
                </c:pt>
                <c:pt idx="1298">
                  <c:v>1.5582329317269076E-2</c:v>
                </c:pt>
                <c:pt idx="1299">
                  <c:v>-1.7363851617995266E-2</c:v>
                </c:pt>
                <c:pt idx="1300">
                  <c:v>9.3687262993531403E-3</c:v>
                </c:pt>
                <c:pt idx="1301">
                  <c:v>-4.5619050515495273E-2</c:v>
                </c:pt>
                <c:pt idx="1302">
                  <c:v>3.9999999999999723E-3</c:v>
                </c:pt>
                <c:pt idx="1303">
                  <c:v>3.0535283520079713E-5</c:v>
                </c:pt>
                <c:pt idx="1304">
                  <c:v>3.0321592649311152E-3</c:v>
                </c:pt>
                <c:pt idx="1305">
                  <c:v>-3.0534351145038168E-3</c:v>
                </c:pt>
                <c:pt idx="1306">
                  <c:v>0</c:v>
                </c:pt>
                <c:pt idx="1307">
                  <c:v>-3.3780793627378666E-2</c:v>
                </c:pt>
                <c:pt idx="1308">
                  <c:v>4.8569218870842999E-2</c:v>
                </c:pt>
                <c:pt idx="1309">
                  <c:v>2.4810048069468134E-3</c:v>
                </c:pt>
                <c:pt idx="1310">
                  <c:v>0</c:v>
                </c:pt>
                <c:pt idx="1311">
                  <c:v>7.6562499999999999E-3</c:v>
                </c:pt>
                <c:pt idx="1312">
                  <c:v>-3.6869826937547028E-2</c:v>
                </c:pt>
                <c:pt idx="1313">
                  <c:v>-2.1643109540636044E-2</c:v>
                </c:pt>
                <c:pt idx="1314">
                  <c:v>-1.9913419913419914E-2</c:v>
                </c:pt>
                <c:pt idx="1315">
                  <c:v>4.8411497730711045E-2</c:v>
                </c:pt>
                <c:pt idx="1316">
                  <c:v>4.9206349206349205E-2</c:v>
                </c:pt>
                <c:pt idx="1317">
                  <c:v>0.05</c:v>
                </c:pt>
                <c:pt idx="1318">
                  <c:v>4.0907671489538909E-2</c:v>
                </c:pt>
                <c:pt idx="1319">
                  <c:v>4.3294117647058789E-2</c:v>
                </c:pt>
                <c:pt idx="1320">
                  <c:v>-7.1877807726864335E-3</c:v>
                </c:pt>
                <c:pt idx="1321">
                  <c:v>3.7278657968313138E-2</c:v>
                </c:pt>
                <c:pt idx="1322">
                  <c:v>-2.8079710144927536E-2</c:v>
                </c:pt>
                <c:pt idx="1323">
                  <c:v>0</c:v>
                </c:pt>
                <c:pt idx="1324">
                  <c:v>1.8148820326678765E-3</c:v>
                </c:pt>
                <c:pt idx="1325">
                  <c:v>-1.2544802867383513E-2</c:v>
                </c:pt>
                <c:pt idx="1326">
                  <c:v>1.0869565217391304E-2</c:v>
                </c:pt>
                <c:pt idx="1327">
                  <c:v>-1.1372794841945016E-2</c:v>
                </c:pt>
                <c:pt idx="1328">
                  <c:v>-2.8956521739130436E-2</c:v>
                </c:pt>
                <c:pt idx="1329">
                  <c:v>1.8997660735804885E-2</c:v>
                </c:pt>
                <c:pt idx="1330">
                  <c:v>-4.1969439728353111E-2</c:v>
                </c:pt>
                <c:pt idx="1331">
                  <c:v>2.4347826086956521E-2</c:v>
                </c:pt>
                <c:pt idx="1332">
                  <c:v>0</c:v>
                </c:pt>
                <c:pt idx="1333">
                  <c:v>2.3204498540821343E-2</c:v>
                </c:pt>
                <c:pt idx="1334">
                  <c:v>-4.7363959993219129E-2</c:v>
                </c:pt>
                <c:pt idx="1335">
                  <c:v>1.8790369935408134E-2</c:v>
                </c:pt>
                <c:pt idx="1336">
                  <c:v>-5.0008203445447118E-2</c:v>
                </c:pt>
                <c:pt idx="1337">
                  <c:v>8.2101806239737272E-4</c:v>
                </c:pt>
                <c:pt idx="1338">
                  <c:v>0.05</c:v>
                </c:pt>
                <c:pt idx="1339">
                  <c:v>-1.2429763323684659E-2</c:v>
                </c:pt>
                <c:pt idx="1340">
                  <c:v>-4.9983824005176321E-2</c:v>
                </c:pt>
                <c:pt idx="1341">
                  <c:v>2.4810676699045164E-3</c:v>
                </c:pt>
                <c:pt idx="1342">
                  <c:v>-3.3777231883121961E-3</c:v>
                </c:pt>
                <c:pt idx="1343">
                  <c:v>9.3964110929853767E-3</c:v>
                </c:pt>
                <c:pt idx="1344">
                  <c:v>2.5049329453864452E-2</c:v>
                </c:pt>
                <c:pt idx="1345">
                  <c:v>-5.0007942811755392E-2</c:v>
                </c:pt>
                <c:pt idx="1346">
                  <c:v>-7.9365079365079365E-4</c:v>
                </c:pt>
                <c:pt idx="1347">
                  <c:v>4.7729918509895226E-2</c:v>
                </c:pt>
                <c:pt idx="1348">
                  <c:v>1.9325309374470249E-2</c:v>
                </c:pt>
                <c:pt idx="1349">
                  <c:v>3.4912280701754388E-2</c:v>
                </c:pt>
                <c:pt idx="1350">
                  <c:v>3.6363636363636362E-2</c:v>
                </c:pt>
                <c:pt idx="1351">
                  <c:v>-3.5087719298245612E-2</c:v>
                </c:pt>
                <c:pt idx="1352">
                  <c:v>2.6102610261026102E-2</c:v>
                </c:pt>
                <c:pt idx="1353">
                  <c:v>-4.6875536186129475E-2</c:v>
                </c:pt>
                <c:pt idx="1354">
                  <c:v>-5.0008149959250237E-2</c:v>
                </c:pt>
                <c:pt idx="1355">
                  <c:v>4.8717948717948718E-2</c:v>
                </c:pt>
                <c:pt idx="1356">
                  <c:v>-4.6874236277432889E-2</c:v>
                </c:pt>
                <c:pt idx="1357">
                  <c:v>-4.9891640866873095E-2</c:v>
                </c:pt>
                <c:pt idx="1358">
                  <c:v>-0.05</c:v>
                </c:pt>
                <c:pt idx="1359">
                  <c:v>-4.2253521126760563E-2</c:v>
                </c:pt>
                <c:pt idx="1360">
                  <c:v>4.4117647058823532E-2</c:v>
                </c:pt>
                <c:pt idx="1361">
                  <c:v>0</c:v>
                </c:pt>
                <c:pt idx="1362">
                  <c:v>1.4708045300779526E-4</c:v>
                </c:pt>
                <c:pt idx="1363">
                  <c:v>-1.4705882352941175E-4</c:v>
                </c:pt>
                <c:pt idx="1364">
                  <c:v>0</c:v>
                </c:pt>
                <c:pt idx="1365">
                  <c:v>7.556675062972292E-3</c:v>
                </c:pt>
                <c:pt idx="1366">
                  <c:v>-1.4814814814814815E-4</c:v>
                </c:pt>
                <c:pt idx="1367">
                  <c:v>-3.5576510930132879E-2</c:v>
                </c:pt>
                <c:pt idx="1368">
                  <c:v>4.9813256536021297E-2</c:v>
                </c:pt>
                <c:pt idx="1369">
                  <c:v>-1.9429327842329806E-2</c:v>
                </c:pt>
                <c:pt idx="1370">
                  <c:v>1.7007464137735004E-2</c:v>
                </c:pt>
                <c:pt idx="1371">
                  <c:v>-3.3567040115648691E-2</c:v>
                </c:pt>
                <c:pt idx="1372">
                  <c:v>1.0148948598130841E-2</c:v>
                </c:pt>
                <c:pt idx="1373">
                  <c:v>2.208955223880597E-2</c:v>
                </c:pt>
                <c:pt idx="1374">
                  <c:v>-2.1755000730033582E-2</c:v>
                </c:pt>
                <c:pt idx="1375">
                  <c:v>1.432104616204846E-2</c:v>
                </c:pt>
                <c:pt idx="1376">
                  <c:v>-3.4005722460658055E-2</c:v>
                </c:pt>
                <c:pt idx="1377">
                  <c:v>-1.3687032594892056E-2</c:v>
                </c:pt>
                <c:pt idx="1378">
                  <c:v>2.0152583849143514E-2</c:v>
                </c:pt>
                <c:pt idx="1379">
                  <c:v>-2.8187731691963348E-2</c:v>
                </c:pt>
                <c:pt idx="1380">
                  <c:v>2.1199697147183557E-2</c:v>
                </c:pt>
                <c:pt idx="1381">
                  <c:v>-4.6307901907356896E-2</c:v>
                </c:pt>
                <c:pt idx="1382">
                  <c:v>3.5406968542812806E-2</c:v>
                </c:pt>
                <c:pt idx="1383">
                  <c:v>3.5646457268078892E-2</c:v>
                </c:pt>
                <c:pt idx="1384">
                  <c:v>-2.754691784227644E-2</c:v>
                </c:pt>
                <c:pt idx="1385">
                  <c:v>-2.2103362045012554E-2</c:v>
                </c:pt>
                <c:pt idx="1386">
                  <c:v>1.2519126443177077E-3</c:v>
                </c:pt>
                <c:pt idx="1387">
                  <c:v>-8.2770037246516753E-3</c:v>
                </c:pt>
                <c:pt idx="1388">
                  <c:v>7.9955503024403806E-3</c:v>
                </c:pt>
                <c:pt idx="1389">
                  <c:v>-0.05</c:v>
                </c:pt>
                <c:pt idx="1390">
                  <c:v>4.9566724436741767E-2</c:v>
                </c:pt>
                <c:pt idx="1391">
                  <c:v>-3.3824514400535834E-2</c:v>
                </c:pt>
                <c:pt idx="1392">
                  <c:v>0</c:v>
                </c:pt>
                <c:pt idx="1393">
                  <c:v>3.1077348066298343E-2</c:v>
                </c:pt>
                <c:pt idx="1394">
                  <c:v>-1.6638370118845502E-2</c:v>
                </c:pt>
                <c:pt idx="1395">
                  <c:v>-0.05</c:v>
                </c:pt>
                <c:pt idx="1396">
                  <c:v>1.5727391874180863E-2</c:v>
                </c:pt>
                <c:pt idx="1397">
                  <c:v>-5.2540317849367277E-3</c:v>
                </c:pt>
                <c:pt idx="1398">
                  <c:v>-3.8571428571428333E-3</c:v>
                </c:pt>
                <c:pt idx="1399">
                  <c:v>-3.7379672459057385E-2</c:v>
                </c:pt>
                <c:pt idx="1400">
                  <c:v>2.6829268292682926E-2</c:v>
                </c:pt>
                <c:pt idx="1401">
                  <c:v>1.2838618564642445E-4</c:v>
                </c:pt>
                <c:pt idx="1402">
                  <c:v>-1.4050632911392405E-2</c:v>
                </c:pt>
                <c:pt idx="1403">
                  <c:v>4.7814841833012801E-2</c:v>
                </c:pt>
                <c:pt idx="1404">
                  <c:v>-8.2867477803354166E-3</c:v>
                </c:pt>
                <c:pt idx="1405">
                  <c:v>-3.7536397012280037E-2</c:v>
                </c:pt>
                <c:pt idx="1406">
                  <c:v>-1.9975186104218362E-2</c:v>
                </c:pt>
                <c:pt idx="1407">
                  <c:v>3.5989717223650387E-2</c:v>
                </c:pt>
                <c:pt idx="1408">
                  <c:v>-1.1682992900335549E-3</c:v>
                </c:pt>
                <c:pt idx="1409">
                  <c:v>2.7162718846550416E-3</c:v>
                </c:pt>
                <c:pt idx="1410">
                  <c:v>3.7296192930682252E-2</c:v>
                </c:pt>
                <c:pt idx="1411">
                  <c:v>6.2800641368249838E-4</c:v>
                </c:pt>
                <c:pt idx="1412">
                  <c:v>2.5992542224172018E-2</c:v>
                </c:pt>
                <c:pt idx="1413">
                  <c:v>3.2557612819206161E-2</c:v>
                </c:pt>
                <c:pt idx="1414">
                  <c:v>-2.0906317097977431E-3</c:v>
                </c:pt>
                <c:pt idx="1415">
                  <c:v>4.0217471163029879E-2</c:v>
                </c:pt>
                <c:pt idx="1416">
                  <c:v>-2.7785714285714285E-2</c:v>
                </c:pt>
                <c:pt idx="1417">
                  <c:v>-2.6669262215300783E-2</c:v>
                </c:pt>
                <c:pt idx="1418">
                  <c:v>2.2724687144482392E-2</c:v>
                </c:pt>
                <c:pt idx="1419">
                  <c:v>4.6431887991999427E-3</c:v>
                </c:pt>
                <c:pt idx="1420">
                  <c:v>-4.3927825053612209E-2</c:v>
                </c:pt>
                <c:pt idx="1421">
                  <c:v>-1.0608681550354073E-2</c:v>
                </c:pt>
                <c:pt idx="1422">
                  <c:v>-5.000577730418148E-2</c:v>
                </c:pt>
                <c:pt idx="1423">
                  <c:v>-4.9993901695328656E-2</c:v>
                </c:pt>
                <c:pt idx="1424">
                  <c:v>-1.2195121951219512E-4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-3.5294117647058823E-2</c:v>
                </c:pt>
                <c:pt idx="1430">
                  <c:v>-1.1627906976744186E-2</c:v>
                </c:pt>
                <c:pt idx="1431">
                  <c:v>-3.3707865168539325E-2</c:v>
                </c:pt>
                <c:pt idx="1432">
                  <c:v>1.1363636363636364E-2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-2.2222222222222223E-2</c:v>
                </c:pt>
                <c:pt idx="1437">
                  <c:v>1.1235955056179775E-2</c:v>
                </c:pt>
                <c:pt idx="1438">
                  <c:v>4.5828437132784956E-2</c:v>
                </c:pt>
                <c:pt idx="1439">
                  <c:v>-1.0465116279069767E-2</c:v>
                </c:pt>
                <c:pt idx="1440">
                  <c:v>4.878048780487805E-2</c:v>
                </c:pt>
                <c:pt idx="1441">
                  <c:v>0</c:v>
                </c:pt>
                <c:pt idx="1442">
                  <c:v>1.2345679012345678E-2</c:v>
                </c:pt>
                <c:pt idx="1443">
                  <c:v>8.5917071348524474E-3</c:v>
                </c:pt>
                <c:pt idx="1444">
                  <c:v>1.6582278481012659E-2</c:v>
                </c:pt>
                <c:pt idx="1445">
                  <c:v>-2.4691358024691357E-2</c:v>
                </c:pt>
                <c:pt idx="1446">
                  <c:v>-2.4096385542168676E-2</c:v>
                </c:pt>
                <c:pt idx="1447">
                  <c:v>1.2318575436028784E-2</c:v>
                </c:pt>
                <c:pt idx="1448">
                  <c:v>-1.2195121951219512E-4</c:v>
                </c:pt>
                <c:pt idx="1449">
                  <c:v>-3.5407599105987529E-2</c:v>
                </c:pt>
                <c:pt idx="1450">
                  <c:v>-4.8040313549832028E-2</c:v>
                </c:pt>
                <c:pt idx="1451">
                  <c:v>-0.05</c:v>
                </c:pt>
                <c:pt idx="1452">
                  <c:v>0</c:v>
                </c:pt>
              </c:numCache>
            </c:numRef>
          </c:xVal>
          <c:yVal>
            <c:numRef>
              <c:f>sheet4!$E$4:$E$1456</c:f>
              <c:numCache>
                <c:formatCode>0.0000%</c:formatCode>
                <c:ptCount val="1453"/>
                <c:pt idx="0">
                  <c:v>-2.3985973744904119E-3</c:v>
                </c:pt>
                <c:pt idx="1">
                  <c:v>3.3149633856583288E-3</c:v>
                </c:pt>
                <c:pt idx="2">
                  <c:v>8.6751952848458692E-3</c:v>
                </c:pt>
                <c:pt idx="3">
                  <c:v>9.1933968123439121E-3</c:v>
                </c:pt>
                <c:pt idx="4">
                  <c:v>-1.4234213517178196E-3</c:v>
                </c:pt>
                <c:pt idx="5">
                  <c:v>-7.6201406052031704E-4</c:v>
                </c:pt>
                <c:pt idx="6">
                  <c:v>-1.1685225497023656E-3</c:v>
                </c:pt>
                <c:pt idx="7">
                  <c:v>-3.2343444134256814E-3</c:v>
                </c:pt>
                <c:pt idx="8">
                  <c:v>9.6692071919456096E-3</c:v>
                </c:pt>
                <c:pt idx="9">
                  <c:v>-7.8288127767352331E-4</c:v>
                </c:pt>
                <c:pt idx="10">
                  <c:v>-1.7221371227378686E-3</c:v>
                </c:pt>
                <c:pt idx="11">
                  <c:v>5.1618192450183552E-3</c:v>
                </c:pt>
                <c:pt idx="12">
                  <c:v>7.6514451843274723E-3</c:v>
                </c:pt>
                <c:pt idx="13">
                  <c:v>-5.1765144389679984E-3</c:v>
                </c:pt>
                <c:pt idx="14">
                  <c:v>-2.6732541629312057E-5</c:v>
                </c:pt>
                <c:pt idx="15">
                  <c:v>6.8515610958196829E-3</c:v>
                </c:pt>
                <c:pt idx="16">
                  <c:v>7.2877025055065369E-3</c:v>
                </c:pt>
                <c:pt idx="17">
                  <c:v>4.8232672444147298E-3</c:v>
                </c:pt>
                <c:pt idx="18">
                  <c:v>8.3186203115893508E-4</c:v>
                </c:pt>
                <c:pt idx="19">
                  <c:v>-8.9293703235246054E-3</c:v>
                </c:pt>
                <c:pt idx="20">
                  <c:v>-2.4985393799759688E-3</c:v>
                </c:pt>
                <c:pt idx="21">
                  <c:v>8.3063901169741997E-3</c:v>
                </c:pt>
                <c:pt idx="22">
                  <c:v>7.8875484804652816E-3</c:v>
                </c:pt>
                <c:pt idx="23">
                  <c:v>1.3388073291670676E-2</c:v>
                </c:pt>
                <c:pt idx="24">
                  <c:v>9.2524401876944943E-3</c:v>
                </c:pt>
                <c:pt idx="25">
                  <c:v>-1.8002385295987158E-3</c:v>
                </c:pt>
                <c:pt idx="26">
                  <c:v>-7.3305280373738046E-4</c:v>
                </c:pt>
                <c:pt idx="27">
                  <c:v>-5.118667381380732E-3</c:v>
                </c:pt>
                <c:pt idx="28">
                  <c:v>4.3806712451275069E-3</c:v>
                </c:pt>
                <c:pt idx="29">
                  <c:v>8.0227977570838278E-3</c:v>
                </c:pt>
                <c:pt idx="30">
                  <c:v>-4.6513270469973386E-3</c:v>
                </c:pt>
                <c:pt idx="31">
                  <c:v>-1.5314768828196021E-3</c:v>
                </c:pt>
                <c:pt idx="32">
                  <c:v>7.952881129110077E-3</c:v>
                </c:pt>
                <c:pt idx="33">
                  <c:v>1.5637174315093209E-2</c:v>
                </c:pt>
                <c:pt idx="34">
                  <c:v>1.985488105757641E-3</c:v>
                </c:pt>
                <c:pt idx="35">
                  <c:v>-2.2706116768142038E-2</c:v>
                </c:pt>
                <c:pt idx="36">
                  <c:v>1.2190391164620031E-2</c:v>
                </c:pt>
                <c:pt idx="37">
                  <c:v>3.1182902484526097E-3</c:v>
                </c:pt>
                <c:pt idx="38">
                  <c:v>-3.0166403065482444E-3</c:v>
                </c:pt>
                <c:pt idx="39">
                  <c:v>-1.0562756100704918E-2</c:v>
                </c:pt>
                <c:pt idx="40">
                  <c:v>-9.3449660313719585E-3</c:v>
                </c:pt>
                <c:pt idx="41">
                  <c:v>7.2475249754487747E-3</c:v>
                </c:pt>
                <c:pt idx="42">
                  <c:v>3.1256045317357824E-2</c:v>
                </c:pt>
                <c:pt idx="43">
                  <c:v>-1.0930990087026081E-2</c:v>
                </c:pt>
                <c:pt idx="44">
                  <c:v>-1.0218360244153339E-2</c:v>
                </c:pt>
                <c:pt idx="45">
                  <c:v>-1.2720347406736427E-2</c:v>
                </c:pt>
                <c:pt idx="46">
                  <c:v>-6.9827995164605267E-3</c:v>
                </c:pt>
                <c:pt idx="47">
                  <c:v>-7.8150361251302473E-3</c:v>
                </c:pt>
                <c:pt idx="48">
                  <c:v>-1.1785237732934443E-2</c:v>
                </c:pt>
                <c:pt idx="49">
                  <c:v>-4.7419482042174834E-3</c:v>
                </c:pt>
                <c:pt idx="50">
                  <c:v>6.6404034914931635E-3</c:v>
                </c:pt>
                <c:pt idx="51">
                  <c:v>1.4875442458778441E-2</c:v>
                </c:pt>
                <c:pt idx="52">
                  <c:v>-3.8827637640174765E-3</c:v>
                </c:pt>
                <c:pt idx="53">
                  <c:v>-7.494037832198419E-3</c:v>
                </c:pt>
                <c:pt idx="54">
                  <c:v>1.2712415974230897E-3</c:v>
                </c:pt>
                <c:pt idx="55">
                  <c:v>4.4385560473259013E-2</c:v>
                </c:pt>
                <c:pt idx="56">
                  <c:v>-2.8539679073078552E-2</c:v>
                </c:pt>
                <c:pt idx="57">
                  <c:v>-8.7073053369152893E-3</c:v>
                </c:pt>
                <c:pt idx="58">
                  <c:v>-4.4530433375134584E-3</c:v>
                </c:pt>
                <c:pt idx="59">
                  <c:v>-5.4581424563145504E-3</c:v>
                </c:pt>
                <c:pt idx="60">
                  <c:v>-9.4106546666006367E-3</c:v>
                </c:pt>
                <c:pt idx="61">
                  <c:v>-7.3238035420544511E-3</c:v>
                </c:pt>
                <c:pt idx="62">
                  <c:v>2.970093767788516E-3</c:v>
                </c:pt>
                <c:pt idx="63">
                  <c:v>1.7201667178418062E-2</c:v>
                </c:pt>
                <c:pt idx="64">
                  <c:v>8.8674129312198743E-4</c:v>
                </c:pt>
                <c:pt idx="65">
                  <c:v>1.0045304880404442E-2</c:v>
                </c:pt>
                <c:pt idx="66">
                  <c:v>9.8033971041746795E-3</c:v>
                </c:pt>
                <c:pt idx="67">
                  <c:v>1.8689906566476656E-2</c:v>
                </c:pt>
                <c:pt idx="68">
                  <c:v>6.5939195265016862E-3</c:v>
                </c:pt>
                <c:pt idx="69">
                  <c:v>1.8465918174190318E-3</c:v>
                </c:pt>
                <c:pt idx="70">
                  <c:v>2.4776798096609477E-3</c:v>
                </c:pt>
                <c:pt idx="71">
                  <c:v>-3.0544672405984023E-3</c:v>
                </c:pt>
                <c:pt idx="72">
                  <c:v>5.3123239394489718E-4</c:v>
                </c:pt>
                <c:pt idx="73">
                  <c:v>1.1369476880230319E-2</c:v>
                </c:pt>
                <c:pt idx="74">
                  <c:v>-2.0040857738496492E-5</c:v>
                </c:pt>
                <c:pt idx="75">
                  <c:v>5.1254783938581069E-3</c:v>
                </c:pt>
                <c:pt idx="76">
                  <c:v>6.1177926477318572E-3</c:v>
                </c:pt>
                <c:pt idx="77">
                  <c:v>-1.0897568707820628E-2</c:v>
                </c:pt>
                <c:pt idx="78">
                  <c:v>-5.6014871915057649E-3</c:v>
                </c:pt>
                <c:pt idx="79">
                  <c:v>2.9206674121360801E-3</c:v>
                </c:pt>
                <c:pt idx="80">
                  <c:v>3.0509847341209299E-3</c:v>
                </c:pt>
                <c:pt idx="81">
                  <c:v>1.1732907502398736E-2</c:v>
                </c:pt>
                <c:pt idx="82">
                  <c:v>1.0555545802947781E-2</c:v>
                </c:pt>
                <c:pt idx="83">
                  <c:v>3.0475313445536712E-3</c:v>
                </c:pt>
                <c:pt idx="84">
                  <c:v>8.1231733788824124E-3</c:v>
                </c:pt>
                <c:pt idx="85">
                  <c:v>6.6969556073892744E-3</c:v>
                </c:pt>
                <c:pt idx="86">
                  <c:v>9.1062455649654154E-3</c:v>
                </c:pt>
                <c:pt idx="87">
                  <c:v>8.6482255887466875E-3</c:v>
                </c:pt>
                <c:pt idx="88">
                  <c:v>-1.0204480818648003E-3</c:v>
                </c:pt>
                <c:pt idx="89">
                  <c:v>-6.3396747372217784E-3</c:v>
                </c:pt>
                <c:pt idx="90">
                  <c:v>-2.55518064639989E-3</c:v>
                </c:pt>
                <c:pt idx="91">
                  <c:v>-4.5336552746997084E-3</c:v>
                </c:pt>
                <c:pt idx="92">
                  <c:v>1.7274066646578129E-3</c:v>
                </c:pt>
                <c:pt idx="93">
                  <c:v>-9.0027292467678051E-3</c:v>
                </c:pt>
                <c:pt idx="94">
                  <c:v>5.4767035619438372E-3</c:v>
                </c:pt>
                <c:pt idx="95">
                  <c:v>1.0623266068100613E-2</c:v>
                </c:pt>
                <c:pt idx="96">
                  <c:v>1.1637456692918279E-2</c:v>
                </c:pt>
                <c:pt idx="97">
                  <c:v>-2.5714991765123996E-4</c:v>
                </c:pt>
                <c:pt idx="98">
                  <c:v>-3.2379782743902244E-3</c:v>
                </c:pt>
                <c:pt idx="99">
                  <c:v>5.1364651319297128E-4</c:v>
                </c:pt>
                <c:pt idx="100">
                  <c:v>1.0641148746619327E-2</c:v>
                </c:pt>
                <c:pt idx="101">
                  <c:v>-1.8149343680900674E-3</c:v>
                </c:pt>
                <c:pt idx="102">
                  <c:v>3.8503396203008093E-3</c:v>
                </c:pt>
                <c:pt idx="103">
                  <c:v>1.4341237316146475E-2</c:v>
                </c:pt>
                <c:pt idx="104">
                  <c:v>6.9305988356712879E-3</c:v>
                </c:pt>
                <c:pt idx="105">
                  <c:v>7.2157985203386635E-3</c:v>
                </c:pt>
                <c:pt idx="106">
                  <c:v>1.1798228314399207E-2</c:v>
                </c:pt>
                <c:pt idx="107">
                  <c:v>7.0670767941422297E-3</c:v>
                </c:pt>
                <c:pt idx="108">
                  <c:v>3.2431458427696334E-3</c:v>
                </c:pt>
                <c:pt idx="109">
                  <c:v>-1.0153891453339883E-2</c:v>
                </c:pt>
                <c:pt idx="110">
                  <c:v>1.2410268714356885E-3</c:v>
                </c:pt>
                <c:pt idx="111">
                  <c:v>3.7105782158492985E-3</c:v>
                </c:pt>
                <c:pt idx="112">
                  <c:v>-4.0335541379097452E-3</c:v>
                </c:pt>
                <c:pt idx="113">
                  <c:v>-1.185414134293848E-3</c:v>
                </c:pt>
                <c:pt idx="114">
                  <c:v>8.6967952991219896E-3</c:v>
                </c:pt>
                <c:pt idx="115">
                  <c:v>-2.7401676337846471E-3</c:v>
                </c:pt>
                <c:pt idx="116">
                  <c:v>-4.9139836513057659E-4</c:v>
                </c:pt>
                <c:pt idx="117">
                  <c:v>1.675854599469408E-2</c:v>
                </c:pt>
                <c:pt idx="118">
                  <c:v>3.23738699784049E-3</c:v>
                </c:pt>
                <c:pt idx="119">
                  <c:v>-4.1220475368407682E-3</c:v>
                </c:pt>
                <c:pt idx="120">
                  <c:v>1.640196405399651E-2</c:v>
                </c:pt>
                <c:pt idx="121">
                  <c:v>3.8677003257679078E-3</c:v>
                </c:pt>
                <c:pt idx="122">
                  <c:v>9.0917744543584107E-3</c:v>
                </c:pt>
                <c:pt idx="123">
                  <c:v>-6.193330159496125E-3</c:v>
                </c:pt>
                <c:pt idx="124">
                  <c:v>2.4765659724783139E-4</c:v>
                </c:pt>
                <c:pt idx="125">
                  <c:v>1.0770065357040103E-2</c:v>
                </c:pt>
                <c:pt idx="126">
                  <c:v>9.6597464500201794E-3</c:v>
                </c:pt>
                <c:pt idx="127">
                  <c:v>2.6286589420321336E-3</c:v>
                </c:pt>
                <c:pt idx="128">
                  <c:v>1.6728623520401033E-2</c:v>
                </c:pt>
                <c:pt idx="129">
                  <c:v>2.0474210583670025E-2</c:v>
                </c:pt>
                <c:pt idx="130">
                  <c:v>1.0035772095739184E-2</c:v>
                </c:pt>
                <c:pt idx="131">
                  <c:v>1.9112475691634156E-2</c:v>
                </c:pt>
                <c:pt idx="132">
                  <c:v>-5.825761206839474E-3</c:v>
                </c:pt>
                <c:pt idx="133">
                  <c:v>4.2127947238468069E-3</c:v>
                </c:pt>
                <c:pt idx="134">
                  <c:v>5.2331087179569274E-2</c:v>
                </c:pt>
                <c:pt idx="135">
                  <c:v>-3.2125195087218145E-2</c:v>
                </c:pt>
                <c:pt idx="136">
                  <c:v>1.7207961928162327E-4</c:v>
                </c:pt>
                <c:pt idx="137">
                  <c:v>-3.8462327066249896E-3</c:v>
                </c:pt>
                <c:pt idx="138">
                  <c:v>-1.2339896421314441E-2</c:v>
                </c:pt>
                <c:pt idx="139">
                  <c:v>-2.080746581560545E-3</c:v>
                </c:pt>
                <c:pt idx="140">
                  <c:v>6.696218229088407E-4</c:v>
                </c:pt>
                <c:pt idx="141">
                  <c:v>-1.5710379431188356E-2</c:v>
                </c:pt>
                <c:pt idx="142">
                  <c:v>-2.0872891521115404E-3</c:v>
                </c:pt>
                <c:pt idx="143">
                  <c:v>1.9080112148025352E-2</c:v>
                </c:pt>
                <c:pt idx="144">
                  <c:v>3.152226634111873E-3</c:v>
                </c:pt>
                <c:pt idx="145">
                  <c:v>-1.2961532401737008E-3</c:v>
                </c:pt>
                <c:pt idx="146">
                  <c:v>1.1191284878224624E-2</c:v>
                </c:pt>
                <c:pt idx="147">
                  <c:v>1.3232578897609214E-2</c:v>
                </c:pt>
                <c:pt idx="148">
                  <c:v>-6.7948249113613957E-3</c:v>
                </c:pt>
                <c:pt idx="149">
                  <c:v>6.0491844217026008E-3</c:v>
                </c:pt>
                <c:pt idx="150">
                  <c:v>5.395793951150191E-3</c:v>
                </c:pt>
                <c:pt idx="151">
                  <c:v>9.4560092139211798E-4</c:v>
                </c:pt>
                <c:pt idx="152">
                  <c:v>-7.4015972941664778E-3</c:v>
                </c:pt>
                <c:pt idx="153">
                  <c:v>-4.2273365413081652E-4</c:v>
                </c:pt>
                <c:pt idx="154">
                  <c:v>-6.4905405137235285E-3</c:v>
                </c:pt>
                <c:pt idx="155">
                  <c:v>8.0719582977820063E-3</c:v>
                </c:pt>
                <c:pt idx="156">
                  <c:v>-6.0030263273434794E-3</c:v>
                </c:pt>
                <c:pt idx="157">
                  <c:v>3.3840610973054412E-4</c:v>
                </c:pt>
                <c:pt idx="158">
                  <c:v>-2.6072442494455453E-3</c:v>
                </c:pt>
                <c:pt idx="159">
                  <c:v>1.2024816316117948E-2</c:v>
                </c:pt>
                <c:pt idx="160">
                  <c:v>-3.3193931751219059E-4</c:v>
                </c:pt>
                <c:pt idx="161">
                  <c:v>1.0896715563037781E-2</c:v>
                </c:pt>
                <c:pt idx="162">
                  <c:v>9.4454154452956379E-2</c:v>
                </c:pt>
                <c:pt idx="163">
                  <c:v>3.5235507088887619E-2</c:v>
                </c:pt>
                <c:pt idx="164">
                  <c:v>-5.8924344665160597E-2</c:v>
                </c:pt>
                <c:pt idx="165">
                  <c:v>-3.1342138767163505E-2</c:v>
                </c:pt>
                <c:pt idx="166">
                  <c:v>-4.6776469944850374E-3</c:v>
                </c:pt>
                <c:pt idx="167">
                  <c:v>-1.0252910380622287E-4</c:v>
                </c:pt>
                <c:pt idx="168">
                  <c:v>2.5037686417744984E-2</c:v>
                </c:pt>
                <c:pt idx="169">
                  <c:v>-3.0865610803242276E-2</c:v>
                </c:pt>
                <c:pt idx="170">
                  <c:v>7.0862034350920745E-3</c:v>
                </c:pt>
                <c:pt idx="171">
                  <c:v>-1.2171628228616612E-2</c:v>
                </c:pt>
                <c:pt idx="172">
                  <c:v>3.9082829376710796E-3</c:v>
                </c:pt>
                <c:pt idx="173">
                  <c:v>-1.8821141869796009E-2</c:v>
                </c:pt>
                <c:pt idx="174">
                  <c:v>-1.0168001698888939E-2</c:v>
                </c:pt>
                <c:pt idx="175">
                  <c:v>3.9676177517486969E-4</c:v>
                </c:pt>
                <c:pt idx="176">
                  <c:v>9.1018593521969941E-3</c:v>
                </c:pt>
                <c:pt idx="177">
                  <c:v>3.5453891677522009E-3</c:v>
                </c:pt>
                <c:pt idx="178">
                  <c:v>7.5936835433098974E-3</c:v>
                </c:pt>
                <c:pt idx="179">
                  <c:v>-6.4687370210360856E-3</c:v>
                </c:pt>
                <c:pt idx="180">
                  <c:v>3.3117954079232761E-3</c:v>
                </c:pt>
                <c:pt idx="181">
                  <c:v>1.3379760081836476E-2</c:v>
                </c:pt>
                <c:pt idx="182">
                  <c:v>-1.1497453162819547E-2</c:v>
                </c:pt>
                <c:pt idx="183">
                  <c:v>1.7836124729267266E-2</c:v>
                </c:pt>
                <c:pt idx="184">
                  <c:v>-1.1938379552823303E-2</c:v>
                </c:pt>
                <c:pt idx="185">
                  <c:v>5.4211362351359125E-3</c:v>
                </c:pt>
                <c:pt idx="186">
                  <c:v>-3.2680492889820702E-2</c:v>
                </c:pt>
                <c:pt idx="187">
                  <c:v>-1.2313126549597694E-3</c:v>
                </c:pt>
                <c:pt idx="188">
                  <c:v>9.6035244160457747E-3</c:v>
                </c:pt>
                <c:pt idx="189">
                  <c:v>2.9242867020271853E-4</c:v>
                </c:pt>
                <c:pt idx="190">
                  <c:v>9.7668613482768188E-3</c:v>
                </c:pt>
                <c:pt idx="191">
                  <c:v>1.6622348990833439E-3</c:v>
                </c:pt>
                <c:pt idx="192">
                  <c:v>-1.6907490220122577E-2</c:v>
                </c:pt>
                <c:pt idx="193">
                  <c:v>-2.7581934359223819E-3</c:v>
                </c:pt>
                <c:pt idx="194">
                  <c:v>6.7450438032845474E-3</c:v>
                </c:pt>
                <c:pt idx="195">
                  <c:v>8.3156490251501281E-3</c:v>
                </c:pt>
                <c:pt idx="196">
                  <c:v>6.8976146989847388E-3</c:v>
                </c:pt>
                <c:pt idx="197">
                  <c:v>5.7420979075210668E-3</c:v>
                </c:pt>
                <c:pt idx="198">
                  <c:v>3.8397229956945978E-3</c:v>
                </c:pt>
                <c:pt idx="199">
                  <c:v>8.8504542333256702E-3</c:v>
                </c:pt>
                <c:pt idx="200">
                  <c:v>-8.1557110208783305E-4</c:v>
                </c:pt>
                <c:pt idx="201">
                  <c:v>-1.5624844236882102E-3</c:v>
                </c:pt>
                <c:pt idx="202">
                  <c:v>-3.7028392805163506E-4</c:v>
                </c:pt>
                <c:pt idx="203">
                  <c:v>6.0285008298950407E-3</c:v>
                </c:pt>
                <c:pt idx="204">
                  <c:v>1.3001078983902173E-2</c:v>
                </c:pt>
                <c:pt idx="205">
                  <c:v>-4.3464917804793531E-3</c:v>
                </c:pt>
                <c:pt idx="206">
                  <c:v>6.7589161552749927E-3</c:v>
                </c:pt>
                <c:pt idx="207">
                  <c:v>-1.1167870637139381E-2</c:v>
                </c:pt>
                <c:pt idx="208">
                  <c:v>-4.6811374960220743E-3</c:v>
                </c:pt>
                <c:pt idx="209">
                  <c:v>-6.8521345031323413E-4</c:v>
                </c:pt>
                <c:pt idx="210">
                  <c:v>-5.8130717101804001E-3</c:v>
                </c:pt>
                <c:pt idx="211">
                  <c:v>1.7317399355024677E-3</c:v>
                </c:pt>
                <c:pt idx="212">
                  <c:v>1.3556359863345213E-2</c:v>
                </c:pt>
                <c:pt idx="213">
                  <c:v>-8.2489619230528034E-3</c:v>
                </c:pt>
                <c:pt idx="214">
                  <c:v>3.5001893377273434E-3</c:v>
                </c:pt>
                <c:pt idx="215">
                  <c:v>2.2456752447287858E-3</c:v>
                </c:pt>
                <c:pt idx="216">
                  <c:v>1.2036043608072854E-2</c:v>
                </c:pt>
                <c:pt idx="217">
                  <c:v>-3.0491955680183223E-3</c:v>
                </c:pt>
                <c:pt idx="218">
                  <c:v>-4.2533994858750578E-3</c:v>
                </c:pt>
                <c:pt idx="219">
                  <c:v>-3.1955739803802472E-3</c:v>
                </c:pt>
                <c:pt idx="220">
                  <c:v>-7.5603674635907185E-4</c:v>
                </c:pt>
                <c:pt idx="221">
                  <c:v>1.4656489070504729E-2</c:v>
                </c:pt>
                <c:pt idx="222">
                  <c:v>9.563106276899427E-3</c:v>
                </c:pt>
                <c:pt idx="223">
                  <c:v>1.9745939208616514E-4</c:v>
                </c:pt>
                <c:pt idx="224">
                  <c:v>-1.4599673490186937E-2</c:v>
                </c:pt>
                <c:pt idx="225">
                  <c:v>-7.1810716944367657E-3</c:v>
                </c:pt>
                <c:pt idx="226">
                  <c:v>-1.3222269027557753E-2</c:v>
                </c:pt>
                <c:pt idx="227">
                  <c:v>9.2691755943127042E-3</c:v>
                </c:pt>
                <c:pt idx="228">
                  <c:v>1.5419147067434313E-2</c:v>
                </c:pt>
                <c:pt idx="229">
                  <c:v>-4.8469004294907202E-3</c:v>
                </c:pt>
                <c:pt idx="230">
                  <c:v>-1.3125051092174567E-2</c:v>
                </c:pt>
                <c:pt idx="231">
                  <c:v>-1.1839869415598751E-2</c:v>
                </c:pt>
                <c:pt idx="232">
                  <c:v>7.3896556571292002E-3</c:v>
                </c:pt>
                <c:pt idx="233">
                  <c:v>5.2392633050675624E-3</c:v>
                </c:pt>
                <c:pt idx="234">
                  <c:v>-1.3897676723117003E-2</c:v>
                </c:pt>
                <c:pt idx="235">
                  <c:v>-6.9279748546374961E-3</c:v>
                </c:pt>
                <c:pt idx="236">
                  <c:v>4.9685925681223521E-3</c:v>
                </c:pt>
                <c:pt idx="237">
                  <c:v>1.2608758824260045E-2</c:v>
                </c:pt>
                <c:pt idx="238">
                  <c:v>-5.7554121460096728E-3</c:v>
                </c:pt>
                <c:pt idx="239">
                  <c:v>-2.6868362011588241E-3</c:v>
                </c:pt>
                <c:pt idx="240">
                  <c:v>5.0259099925186118E-3</c:v>
                </c:pt>
                <c:pt idx="241">
                  <c:v>8.6780884558032619E-3</c:v>
                </c:pt>
                <c:pt idx="242">
                  <c:v>5.4069549724933509E-3</c:v>
                </c:pt>
                <c:pt idx="243">
                  <c:v>-1.3230139066265209E-2</c:v>
                </c:pt>
                <c:pt idx="244">
                  <c:v>-1.6408238051891493E-2</c:v>
                </c:pt>
                <c:pt idx="245">
                  <c:v>-1.7414285287884641E-3</c:v>
                </c:pt>
                <c:pt idx="246">
                  <c:v>-1.1326509108406315E-2</c:v>
                </c:pt>
                <c:pt idx="247">
                  <c:v>3.9901072117182754E-3</c:v>
                </c:pt>
                <c:pt idx="248">
                  <c:v>9.5360935757600452E-4</c:v>
                </c:pt>
                <c:pt idx="249">
                  <c:v>1.6340056059878341E-2</c:v>
                </c:pt>
                <c:pt idx="250">
                  <c:v>-1.1461144032136824E-3</c:v>
                </c:pt>
                <c:pt idx="251">
                  <c:v>3.5094554004726372E-2</c:v>
                </c:pt>
                <c:pt idx="252">
                  <c:v>8.4027540559366079E-3</c:v>
                </c:pt>
                <c:pt idx="253">
                  <c:v>-1.7715548333889376E-2</c:v>
                </c:pt>
                <c:pt idx="254">
                  <c:v>-1.3250978148495298E-2</c:v>
                </c:pt>
                <c:pt idx="255">
                  <c:v>4.02807334096408E-2</c:v>
                </c:pt>
                <c:pt idx="256">
                  <c:v>3.0469730504771662E-2</c:v>
                </c:pt>
                <c:pt idx="257">
                  <c:v>-4.3173651567849497E-2</c:v>
                </c:pt>
                <c:pt idx="258">
                  <c:v>-3.2999975883829434E-2</c:v>
                </c:pt>
                <c:pt idx="259">
                  <c:v>-1.1265616309835792E-2</c:v>
                </c:pt>
                <c:pt idx="260">
                  <c:v>1.6339287745249859E-2</c:v>
                </c:pt>
                <c:pt idx="261">
                  <c:v>1.0622653550943866E-3</c:v>
                </c:pt>
                <c:pt idx="262">
                  <c:v>3.0414974358863232E-2</c:v>
                </c:pt>
                <c:pt idx="263">
                  <c:v>1.7572349562635831E-2</c:v>
                </c:pt>
                <c:pt idx="264">
                  <c:v>-9.7639009918943209E-3</c:v>
                </c:pt>
                <c:pt idx="265">
                  <c:v>8.403547051711582E-3</c:v>
                </c:pt>
                <c:pt idx="266">
                  <c:v>7.5294508068581576E-3</c:v>
                </c:pt>
                <c:pt idx="267">
                  <c:v>2.9823982530122018E-2</c:v>
                </c:pt>
                <c:pt idx="268">
                  <c:v>5.2149469194780473E-3</c:v>
                </c:pt>
                <c:pt idx="269">
                  <c:v>1.2433992947951172E-2</c:v>
                </c:pt>
                <c:pt idx="270">
                  <c:v>1.8919501817924841E-2</c:v>
                </c:pt>
                <c:pt idx="271">
                  <c:v>1.2734959274208766E-2</c:v>
                </c:pt>
                <c:pt idx="272">
                  <c:v>8.1950855879338678E-3</c:v>
                </c:pt>
                <c:pt idx="273">
                  <c:v>4.9644532925272572E-2</c:v>
                </c:pt>
                <c:pt idx="274">
                  <c:v>-3.5742535311559583E-2</c:v>
                </c:pt>
                <c:pt idx="275">
                  <c:v>2.8788864583745833E-3</c:v>
                </c:pt>
                <c:pt idx="276">
                  <c:v>4.8272652175521411E-3</c:v>
                </c:pt>
                <c:pt idx="277">
                  <c:v>1.8649984520619473E-2</c:v>
                </c:pt>
                <c:pt idx="278">
                  <c:v>-3.2361858595754667E-3</c:v>
                </c:pt>
                <c:pt idx="279">
                  <c:v>9.0635710027625466E-3</c:v>
                </c:pt>
                <c:pt idx="280">
                  <c:v>2.4485129528582783E-3</c:v>
                </c:pt>
                <c:pt idx="281">
                  <c:v>6.0700555005319462E-3</c:v>
                </c:pt>
                <c:pt idx="282">
                  <c:v>8.9599501603710302E-3</c:v>
                </c:pt>
                <c:pt idx="283">
                  <c:v>1.4038146170922701E-3</c:v>
                </c:pt>
                <c:pt idx="284">
                  <c:v>-4.5251207362694461E-3</c:v>
                </c:pt>
                <c:pt idx="285">
                  <c:v>3.8229561307075695E-3</c:v>
                </c:pt>
                <c:pt idx="286">
                  <c:v>8.3353427981195053E-3</c:v>
                </c:pt>
                <c:pt idx="287">
                  <c:v>5.423192682053257E-3</c:v>
                </c:pt>
                <c:pt idx="288">
                  <c:v>-3.0646452950414955E-3</c:v>
                </c:pt>
                <c:pt idx="289">
                  <c:v>3.9843150836091868E-3</c:v>
                </c:pt>
                <c:pt idx="290">
                  <c:v>1.1866187320361951E-2</c:v>
                </c:pt>
                <c:pt idx="291">
                  <c:v>2.1278506570486955E-2</c:v>
                </c:pt>
                <c:pt idx="292">
                  <c:v>-1.4617899428453233E-2</c:v>
                </c:pt>
                <c:pt idx="293">
                  <c:v>-6.3558662173361282E-3</c:v>
                </c:pt>
                <c:pt idx="294">
                  <c:v>7.4124524144879083E-3</c:v>
                </c:pt>
                <c:pt idx="295">
                  <c:v>2.239594497275794E-3</c:v>
                </c:pt>
                <c:pt idx="296">
                  <c:v>1.1782206257977407E-2</c:v>
                </c:pt>
                <c:pt idx="297">
                  <c:v>2.0086693501680401E-2</c:v>
                </c:pt>
                <c:pt idx="298">
                  <c:v>8.4189752850175395E-3</c:v>
                </c:pt>
                <c:pt idx="299">
                  <c:v>4.7533324223147221E-3</c:v>
                </c:pt>
                <c:pt idx="300">
                  <c:v>9.4713096490573519E-3</c:v>
                </c:pt>
                <c:pt idx="301">
                  <c:v>-3.9181902807521856E-3</c:v>
                </c:pt>
                <c:pt idx="302">
                  <c:v>-7.1947712017982396E-3</c:v>
                </c:pt>
                <c:pt idx="303">
                  <c:v>4.2558079336592449E-3</c:v>
                </c:pt>
                <c:pt idx="304">
                  <c:v>6.7902951148227477E-3</c:v>
                </c:pt>
                <c:pt idx="305">
                  <c:v>-2.5971124218268668E-3</c:v>
                </c:pt>
                <c:pt idx="306">
                  <c:v>3.5317569074627046E-4</c:v>
                </c:pt>
                <c:pt idx="307">
                  <c:v>-2.522024230856121E-3</c:v>
                </c:pt>
                <c:pt idx="308">
                  <c:v>6.1869644627799341E-5</c:v>
                </c:pt>
                <c:pt idx="309">
                  <c:v>8.8761905210556664E-3</c:v>
                </c:pt>
                <c:pt idx="310">
                  <c:v>1.6500750132045224E-2</c:v>
                </c:pt>
                <c:pt idx="311">
                  <c:v>9.7941569673860012E-3</c:v>
                </c:pt>
                <c:pt idx="312">
                  <c:v>9.2080948176590724E-3</c:v>
                </c:pt>
                <c:pt idx="313">
                  <c:v>1.9854631628860712E-3</c:v>
                </c:pt>
                <c:pt idx="314">
                  <c:v>8.5113334040155669E-3</c:v>
                </c:pt>
                <c:pt idx="315">
                  <c:v>-2.1887727631199668E-3</c:v>
                </c:pt>
                <c:pt idx="316">
                  <c:v>-4.4801505597064986E-3</c:v>
                </c:pt>
                <c:pt idx="317">
                  <c:v>-7.1728257687245717E-3</c:v>
                </c:pt>
                <c:pt idx="318">
                  <c:v>9.3795515271531665E-3</c:v>
                </c:pt>
                <c:pt idx="319">
                  <c:v>-4.4820740252044956E-3</c:v>
                </c:pt>
                <c:pt idx="320">
                  <c:v>-2.7286201735131589E-3</c:v>
                </c:pt>
                <c:pt idx="321">
                  <c:v>7.5517476275573179E-3</c:v>
                </c:pt>
                <c:pt idx="322">
                  <c:v>1.2402850859804188E-2</c:v>
                </c:pt>
                <c:pt idx="323">
                  <c:v>1.2205133804849158E-2</c:v>
                </c:pt>
                <c:pt idx="324">
                  <c:v>1.9926119073183581E-3</c:v>
                </c:pt>
                <c:pt idx="325">
                  <c:v>3.9920210201218713E-3</c:v>
                </c:pt>
                <c:pt idx="326">
                  <c:v>4.6511332226343511E-3</c:v>
                </c:pt>
                <c:pt idx="327">
                  <c:v>-8.0081486513381966E-3</c:v>
                </c:pt>
                <c:pt idx="328">
                  <c:v>8.5446797684920854E-3</c:v>
                </c:pt>
                <c:pt idx="329">
                  <c:v>-3.5834998041134507E-3</c:v>
                </c:pt>
                <c:pt idx="330">
                  <c:v>4.3607080298652606E-4</c:v>
                </c:pt>
                <c:pt idx="331">
                  <c:v>1.9442469125094909E-4</c:v>
                </c:pt>
                <c:pt idx="332">
                  <c:v>6.2750522229730512E-3</c:v>
                </c:pt>
                <c:pt idx="333">
                  <c:v>9.3276599223594391E-4</c:v>
                </c:pt>
                <c:pt idx="334">
                  <c:v>-2.6108376518157532E-3</c:v>
                </c:pt>
                <c:pt idx="335">
                  <c:v>1.7684824669309052E-3</c:v>
                </c:pt>
                <c:pt idx="336">
                  <c:v>4.5756793672852318E-3</c:v>
                </c:pt>
                <c:pt idx="337">
                  <c:v>-1.1711710327207082E-3</c:v>
                </c:pt>
                <c:pt idx="338">
                  <c:v>-6.1959199735881435E-3</c:v>
                </c:pt>
                <c:pt idx="339">
                  <c:v>-2.9234241053746786E-3</c:v>
                </c:pt>
                <c:pt idx="340">
                  <c:v>1.0178516198232216E-4</c:v>
                </c:pt>
                <c:pt idx="341">
                  <c:v>6.8048063872541515E-3</c:v>
                </c:pt>
                <c:pt idx="342">
                  <c:v>6.6285491434104043E-3</c:v>
                </c:pt>
                <c:pt idx="343">
                  <c:v>-1.0898063660006168E-3</c:v>
                </c:pt>
                <c:pt idx="344">
                  <c:v>-2.7544256022559352E-3</c:v>
                </c:pt>
                <c:pt idx="345">
                  <c:v>-7.7676510812614162E-4</c:v>
                </c:pt>
                <c:pt idx="346">
                  <c:v>2.9348686692496706E-3</c:v>
                </c:pt>
                <c:pt idx="347">
                  <c:v>-1.3191795003583001E-3</c:v>
                </c:pt>
                <c:pt idx="348">
                  <c:v>-7.5003573265432968E-3</c:v>
                </c:pt>
                <c:pt idx="349">
                  <c:v>8.9293992286535312E-3</c:v>
                </c:pt>
                <c:pt idx="350">
                  <c:v>9.8519746418603803E-3</c:v>
                </c:pt>
                <c:pt idx="351">
                  <c:v>-9.9557800136636145E-4</c:v>
                </c:pt>
                <c:pt idx="352">
                  <c:v>1.3861413625489546E-3</c:v>
                </c:pt>
                <c:pt idx="353">
                  <c:v>-1.4592210925321623E-2</c:v>
                </c:pt>
                <c:pt idx="354">
                  <c:v>6.2473380926831691E-3</c:v>
                </c:pt>
                <c:pt idx="355">
                  <c:v>-1.8832413474960011E-3</c:v>
                </c:pt>
                <c:pt idx="356">
                  <c:v>-9.4344553860091791E-3</c:v>
                </c:pt>
                <c:pt idx="357">
                  <c:v>-2.5236040003177506E-3</c:v>
                </c:pt>
                <c:pt idx="358">
                  <c:v>1.0229847656354762E-2</c:v>
                </c:pt>
                <c:pt idx="359">
                  <c:v>-5.6049924218800765E-3</c:v>
                </c:pt>
                <c:pt idx="360">
                  <c:v>-1.1684067195981222E-2</c:v>
                </c:pt>
                <c:pt idx="361">
                  <c:v>5.1897088498892453E-3</c:v>
                </c:pt>
                <c:pt idx="362">
                  <c:v>5.7028854002695237E-3</c:v>
                </c:pt>
                <c:pt idx="363">
                  <c:v>-1.9704712642831673E-2</c:v>
                </c:pt>
                <c:pt idx="364">
                  <c:v>-2.1040725142980464E-2</c:v>
                </c:pt>
                <c:pt idx="365">
                  <c:v>8.4313333360441743E-3</c:v>
                </c:pt>
                <c:pt idx="366">
                  <c:v>1.5154464181846999E-2</c:v>
                </c:pt>
                <c:pt idx="367">
                  <c:v>-6.0318267934371221E-4</c:v>
                </c:pt>
                <c:pt idx="368">
                  <c:v>1.888615402805358E-3</c:v>
                </c:pt>
                <c:pt idx="369">
                  <c:v>-1.0294766242488415E-2</c:v>
                </c:pt>
                <c:pt idx="370">
                  <c:v>1.3138262306243681E-3</c:v>
                </c:pt>
                <c:pt idx="371">
                  <c:v>4.4060305095984425E-3</c:v>
                </c:pt>
                <c:pt idx="372">
                  <c:v>-8.7204233036228566E-4</c:v>
                </c:pt>
                <c:pt idx="373">
                  <c:v>6.123364417956284E-4</c:v>
                </c:pt>
                <c:pt idx="374">
                  <c:v>8.5575772294381614E-3</c:v>
                </c:pt>
                <c:pt idx="375">
                  <c:v>9.2428314963158929E-3</c:v>
                </c:pt>
                <c:pt idx="376">
                  <c:v>4.8361296888926363E-3</c:v>
                </c:pt>
                <c:pt idx="377">
                  <c:v>-1.0606374139242069E-3</c:v>
                </c:pt>
                <c:pt idx="378">
                  <c:v>3.2270572010581304E-3</c:v>
                </c:pt>
                <c:pt idx="379">
                  <c:v>4.2990442206100139E-3</c:v>
                </c:pt>
                <c:pt idx="380">
                  <c:v>-3.7263476245684834E-3</c:v>
                </c:pt>
                <c:pt idx="381">
                  <c:v>-7.3389976385123271E-3</c:v>
                </c:pt>
                <c:pt idx="382">
                  <c:v>1.1370337606397239E-4</c:v>
                </c:pt>
                <c:pt idx="383">
                  <c:v>2.7308671711766701E-2</c:v>
                </c:pt>
                <c:pt idx="384">
                  <c:v>6.5427376805843439E-3</c:v>
                </c:pt>
                <c:pt idx="385">
                  <c:v>4.6852340803789513E-2</c:v>
                </c:pt>
                <c:pt idx="386">
                  <c:v>2.8646020243424737E-3</c:v>
                </c:pt>
                <c:pt idx="387">
                  <c:v>-9.0518338198691279E-3</c:v>
                </c:pt>
                <c:pt idx="388">
                  <c:v>-6.7990870192567998E-3</c:v>
                </c:pt>
                <c:pt idx="389">
                  <c:v>-1.4744879467953539E-3</c:v>
                </c:pt>
                <c:pt idx="390">
                  <c:v>-4.8034585008996204E-3</c:v>
                </c:pt>
                <c:pt idx="391">
                  <c:v>-5.9895541062102032E-3</c:v>
                </c:pt>
                <c:pt idx="392">
                  <c:v>-1.2022452850310953E-2</c:v>
                </c:pt>
                <c:pt idx="393">
                  <c:v>-3.996126437957128E-3</c:v>
                </c:pt>
                <c:pt idx="394">
                  <c:v>1.3359843970441574E-2</c:v>
                </c:pt>
                <c:pt idx="395">
                  <c:v>5.5881971716924045E-4</c:v>
                </c:pt>
                <c:pt idx="396">
                  <c:v>-9.0202945039619606E-3</c:v>
                </c:pt>
                <c:pt idx="397">
                  <c:v>-6.1270251887788167E-3</c:v>
                </c:pt>
                <c:pt idx="398">
                  <c:v>1.1563284677372981E-2</c:v>
                </c:pt>
                <c:pt idx="399">
                  <c:v>2.1052162536036208E-3</c:v>
                </c:pt>
                <c:pt idx="400">
                  <c:v>-3.3254984890323811E-3</c:v>
                </c:pt>
                <c:pt idx="401">
                  <c:v>1.635102019072027E-3</c:v>
                </c:pt>
                <c:pt idx="402">
                  <c:v>-3.429014359122138E-3</c:v>
                </c:pt>
                <c:pt idx="403">
                  <c:v>5.4937428850926088E-3</c:v>
                </c:pt>
                <c:pt idx="404">
                  <c:v>3.5722713951225368E-3</c:v>
                </c:pt>
                <c:pt idx="405">
                  <c:v>1.7816701974031756E-3</c:v>
                </c:pt>
                <c:pt idx="406">
                  <c:v>9.9199028280964607E-3</c:v>
                </c:pt>
                <c:pt idx="407">
                  <c:v>9.764043483317492E-3</c:v>
                </c:pt>
                <c:pt idx="408">
                  <c:v>5.8830370482004001E-3</c:v>
                </c:pt>
                <c:pt idx="409">
                  <c:v>7.744984905336522E-4</c:v>
                </c:pt>
                <c:pt idx="410">
                  <c:v>-2.1904531536037081E-3</c:v>
                </c:pt>
                <c:pt idx="411">
                  <c:v>-4.177876385444483E-5</c:v>
                </c:pt>
                <c:pt idx="412">
                  <c:v>1.1990611121318015E-2</c:v>
                </c:pt>
                <c:pt idx="413">
                  <c:v>1.7612391243183288E-2</c:v>
                </c:pt>
                <c:pt idx="414">
                  <c:v>-6.2573001952813713E-3</c:v>
                </c:pt>
                <c:pt idx="415">
                  <c:v>-8.2638922112173736E-3</c:v>
                </c:pt>
                <c:pt idx="416">
                  <c:v>-1.4403084843506758E-2</c:v>
                </c:pt>
                <c:pt idx="417">
                  <c:v>1.0717451654407248E-2</c:v>
                </c:pt>
                <c:pt idx="418">
                  <c:v>-1.1171115705640093E-3</c:v>
                </c:pt>
                <c:pt idx="419">
                  <c:v>9.7041161074621542E-3</c:v>
                </c:pt>
                <c:pt idx="420">
                  <c:v>-1.036629053107646E-3</c:v>
                </c:pt>
                <c:pt idx="421">
                  <c:v>7.3834542144328545E-3</c:v>
                </c:pt>
                <c:pt idx="422">
                  <c:v>8.8174554261679864E-3</c:v>
                </c:pt>
                <c:pt idx="423">
                  <c:v>-6.1421812591829362E-4</c:v>
                </c:pt>
                <c:pt idx="424">
                  <c:v>-2.1329766360032453E-3</c:v>
                </c:pt>
                <c:pt idx="425">
                  <c:v>-8.6356740659591783E-4</c:v>
                </c:pt>
                <c:pt idx="426">
                  <c:v>3.2690167862433439E-3</c:v>
                </c:pt>
                <c:pt idx="427">
                  <c:v>9.9788868111011769E-3</c:v>
                </c:pt>
                <c:pt idx="428">
                  <c:v>1.7586475130808646E-2</c:v>
                </c:pt>
                <c:pt idx="429">
                  <c:v>9.7517505450437376E-3</c:v>
                </c:pt>
                <c:pt idx="430">
                  <c:v>1.3003866563925071E-2</c:v>
                </c:pt>
                <c:pt idx="431">
                  <c:v>1.3464813630449666E-3</c:v>
                </c:pt>
                <c:pt idx="432">
                  <c:v>-3.1160310012175729E-3</c:v>
                </c:pt>
                <c:pt idx="433">
                  <c:v>-2.0405968712336573E-3</c:v>
                </c:pt>
                <c:pt idx="434">
                  <c:v>8.9308750899166119E-3</c:v>
                </c:pt>
                <c:pt idx="435">
                  <c:v>9.7336702966696765E-3</c:v>
                </c:pt>
                <c:pt idx="436">
                  <c:v>5.8088702668343982E-3</c:v>
                </c:pt>
                <c:pt idx="437">
                  <c:v>5.7376745979353105E-3</c:v>
                </c:pt>
                <c:pt idx="438">
                  <c:v>-4.0596232806562127E-3</c:v>
                </c:pt>
                <c:pt idx="439">
                  <c:v>-4.7829216274194297E-3</c:v>
                </c:pt>
                <c:pt idx="440">
                  <c:v>3.4989450800425488E-3</c:v>
                </c:pt>
                <c:pt idx="441">
                  <c:v>9.4326581806799866E-3</c:v>
                </c:pt>
                <c:pt idx="442">
                  <c:v>1.1423022574355078E-3</c:v>
                </c:pt>
                <c:pt idx="443">
                  <c:v>1.1991392764601273E-2</c:v>
                </c:pt>
                <c:pt idx="444">
                  <c:v>-2.5957903627859033E-2</c:v>
                </c:pt>
                <c:pt idx="445">
                  <c:v>-5.8440192504573523E-4</c:v>
                </c:pt>
                <c:pt idx="446">
                  <c:v>2.9064179751288888E-3</c:v>
                </c:pt>
                <c:pt idx="447">
                  <c:v>-8.1530240210353261E-4</c:v>
                </c:pt>
                <c:pt idx="448">
                  <c:v>-1.05620238188697E-3</c:v>
                </c:pt>
                <c:pt idx="449">
                  <c:v>-3.4220482161726818E-3</c:v>
                </c:pt>
                <c:pt idx="450">
                  <c:v>9.5833660539979531E-3</c:v>
                </c:pt>
                <c:pt idx="451">
                  <c:v>2.5465496766658716E-2</c:v>
                </c:pt>
                <c:pt idx="452">
                  <c:v>7.6614504160925825E-3</c:v>
                </c:pt>
                <c:pt idx="453">
                  <c:v>-1.3715934668363887E-3</c:v>
                </c:pt>
                <c:pt idx="454">
                  <c:v>7.8023338706714419E-3</c:v>
                </c:pt>
                <c:pt idx="455">
                  <c:v>1.4560116444752592E-2</c:v>
                </c:pt>
                <c:pt idx="456">
                  <c:v>5.769734349851314E-3</c:v>
                </c:pt>
                <c:pt idx="457">
                  <c:v>1.8108554742439591E-2</c:v>
                </c:pt>
                <c:pt idx="458">
                  <c:v>7.4264283262798192E-5</c:v>
                </c:pt>
                <c:pt idx="459">
                  <c:v>9.8005844374489063E-3</c:v>
                </c:pt>
                <c:pt idx="460">
                  <c:v>-1.8798736022219556E-2</c:v>
                </c:pt>
                <c:pt idx="461">
                  <c:v>-1.8241511707080351E-2</c:v>
                </c:pt>
                <c:pt idx="462">
                  <c:v>1.5138926612848238E-2</c:v>
                </c:pt>
                <c:pt idx="463">
                  <c:v>2.6465103269744691E-3</c:v>
                </c:pt>
                <c:pt idx="464">
                  <c:v>-4.7994453717868951E-2</c:v>
                </c:pt>
                <c:pt idx="465">
                  <c:v>5.4052554412278722E-3</c:v>
                </c:pt>
                <c:pt idx="466">
                  <c:v>1.2635922271539137E-2</c:v>
                </c:pt>
                <c:pt idx="467">
                  <c:v>9.7634794772680777E-3</c:v>
                </c:pt>
                <c:pt idx="468">
                  <c:v>6.6886977207507052E-3</c:v>
                </c:pt>
                <c:pt idx="469">
                  <c:v>2.2224471691773603E-3</c:v>
                </c:pt>
                <c:pt idx="470">
                  <c:v>-3.0892108919396748E-2</c:v>
                </c:pt>
                <c:pt idx="471">
                  <c:v>-7.5422240906056716E-3</c:v>
                </c:pt>
                <c:pt idx="472">
                  <c:v>-8.0901009110580738E-3</c:v>
                </c:pt>
                <c:pt idx="473">
                  <c:v>5.7127368851876432E-3</c:v>
                </c:pt>
                <c:pt idx="474">
                  <c:v>8.0515287832652448E-3</c:v>
                </c:pt>
                <c:pt idx="475">
                  <c:v>1.038490584165571E-2</c:v>
                </c:pt>
                <c:pt idx="476">
                  <c:v>1.2630849461413133E-3</c:v>
                </c:pt>
                <c:pt idx="477">
                  <c:v>-5.7409984435402685E-3</c:v>
                </c:pt>
                <c:pt idx="478">
                  <c:v>-2.6690740421724153E-3</c:v>
                </c:pt>
                <c:pt idx="479">
                  <c:v>-8.2764140559625481E-3</c:v>
                </c:pt>
                <c:pt idx="480">
                  <c:v>-5.6972995920024621E-3</c:v>
                </c:pt>
                <c:pt idx="481">
                  <c:v>3.1059663803513054E-4</c:v>
                </c:pt>
                <c:pt idx="482">
                  <c:v>1.0915545014576868E-2</c:v>
                </c:pt>
                <c:pt idx="483">
                  <c:v>-3.9072422284480391E-3</c:v>
                </c:pt>
                <c:pt idx="484">
                  <c:v>-1.034450067196399E-3</c:v>
                </c:pt>
                <c:pt idx="485">
                  <c:v>-4.3070670496273356E-3</c:v>
                </c:pt>
                <c:pt idx="486">
                  <c:v>-1.9223640901274402E-3</c:v>
                </c:pt>
                <c:pt idx="487">
                  <c:v>-1.1895397842269272E-4</c:v>
                </c:pt>
                <c:pt idx="488">
                  <c:v>4.6192983328567699E-3</c:v>
                </c:pt>
                <c:pt idx="489">
                  <c:v>-4.8278906024548087E-3</c:v>
                </c:pt>
                <c:pt idx="490">
                  <c:v>3.5399570607631159E-2</c:v>
                </c:pt>
                <c:pt idx="491">
                  <c:v>6.426842931052979E-3</c:v>
                </c:pt>
                <c:pt idx="492">
                  <c:v>1.9529236019809458E-2</c:v>
                </c:pt>
                <c:pt idx="493">
                  <c:v>2.8605914588536462E-2</c:v>
                </c:pt>
                <c:pt idx="494">
                  <c:v>-4.1068086927674739E-2</c:v>
                </c:pt>
                <c:pt idx="495">
                  <c:v>-1.5766848179167389E-2</c:v>
                </c:pt>
                <c:pt idx="496">
                  <c:v>3.932230987024209E-3</c:v>
                </c:pt>
                <c:pt idx="497">
                  <c:v>-6.1276688391439472E-3</c:v>
                </c:pt>
                <c:pt idx="498">
                  <c:v>-3.6372389221141818E-2</c:v>
                </c:pt>
                <c:pt idx="499">
                  <c:v>-1.3992737337747724E-2</c:v>
                </c:pt>
                <c:pt idx="500">
                  <c:v>1.0386982833816094E-2</c:v>
                </c:pt>
                <c:pt idx="501">
                  <c:v>2.6046198416180173E-3</c:v>
                </c:pt>
                <c:pt idx="502">
                  <c:v>-1.726141173785626E-2</c:v>
                </c:pt>
                <c:pt idx="503">
                  <c:v>6.2783725404026349E-3</c:v>
                </c:pt>
                <c:pt idx="504">
                  <c:v>-3.190703982853294E-3</c:v>
                </c:pt>
                <c:pt idx="505">
                  <c:v>2.3263205583354804E-2</c:v>
                </c:pt>
                <c:pt idx="506">
                  <c:v>1.4727946220332034E-2</c:v>
                </c:pt>
                <c:pt idx="507">
                  <c:v>1.190928558407179E-2</c:v>
                </c:pt>
                <c:pt idx="508">
                  <c:v>7.2357565718769263E-3</c:v>
                </c:pt>
                <c:pt idx="509">
                  <c:v>1.433104370554979E-2</c:v>
                </c:pt>
                <c:pt idx="510">
                  <c:v>1.9239090405782488E-2</c:v>
                </c:pt>
                <c:pt idx="511">
                  <c:v>4.5967732337874357E-4</c:v>
                </c:pt>
                <c:pt idx="512">
                  <c:v>-5.6958991071324339E-3</c:v>
                </c:pt>
                <c:pt idx="513">
                  <c:v>1.7925334166693733E-2</c:v>
                </c:pt>
                <c:pt idx="514">
                  <c:v>1.0151869068063443E-2</c:v>
                </c:pt>
                <c:pt idx="515">
                  <c:v>4.4565682353659023E-3</c:v>
                </c:pt>
                <c:pt idx="516">
                  <c:v>1.25911272370252E-2</c:v>
                </c:pt>
                <c:pt idx="517">
                  <c:v>1.341429043735573E-2</c:v>
                </c:pt>
                <c:pt idx="518">
                  <c:v>5.9963911955264832E-3</c:v>
                </c:pt>
                <c:pt idx="519">
                  <c:v>8.599195748071949E-4</c:v>
                </c:pt>
                <c:pt idx="520">
                  <c:v>-5.705899258093664E-3</c:v>
                </c:pt>
                <c:pt idx="521">
                  <c:v>1.0197782870092506E-2</c:v>
                </c:pt>
                <c:pt idx="522">
                  <c:v>2.1308305225318483E-3</c:v>
                </c:pt>
                <c:pt idx="523">
                  <c:v>2.0852089215877348E-3</c:v>
                </c:pt>
                <c:pt idx="524">
                  <c:v>2.0343987670682375E-2</c:v>
                </c:pt>
                <c:pt idx="525">
                  <c:v>2.0113108036717682E-2</c:v>
                </c:pt>
                <c:pt idx="526">
                  <c:v>9.2276980726181627E-3</c:v>
                </c:pt>
                <c:pt idx="527">
                  <c:v>-2.4141173399697367E-3</c:v>
                </c:pt>
                <c:pt idx="528">
                  <c:v>1.4392282793726154E-2</c:v>
                </c:pt>
                <c:pt idx="529">
                  <c:v>8.9995660459308378E-3</c:v>
                </c:pt>
                <c:pt idx="530">
                  <c:v>6.577528718672984E-3</c:v>
                </c:pt>
                <c:pt idx="531">
                  <c:v>7.3252602964697811E-3</c:v>
                </c:pt>
                <c:pt idx="532">
                  <c:v>9.583370643434579E-3</c:v>
                </c:pt>
                <c:pt idx="533">
                  <c:v>1.0292306771497233E-2</c:v>
                </c:pt>
                <c:pt idx="534">
                  <c:v>-3.9084490523551233E-3</c:v>
                </c:pt>
                <c:pt idx="535">
                  <c:v>6.4703751487524665E-4</c:v>
                </c:pt>
                <c:pt idx="536">
                  <c:v>1.1194844536173379E-3</c:v>
                </c:pt>
                <c:pt idx="537">
                  <c:v>-8.9676036507187803E-5</c:v>
                </c:pt>
                <c:pt idx="538">
                  <c:v>1.4878794339953745E-2</c:v>
                </c:pt>
                <c:pt idx="539">
                  <c:v>1.8576214842715027E-2</c:v>
                </c:pt>
                <c:pt idx="540">
                  <c:v>-2.4569999765787485E-3</c:v>
                </c:pt>
                <c:pt idx="541">
                  <c:v>-3.8614340705236203E-3</c:v>
                </c:pt>
                <c:pt idx="542">
                  <c:v>4.5743408170815557E-3</c:v>
                </c:pt>
                <c:pt idx="543">
                  <c:v>1.4798742959801943E-2</c:v>
                </c:pt>
                <c:pt idx="544">
                  <c:v>5.5649481050187048E-3</c:v>
                </c:pt>
                <c:pt idx="545">
                  <c:v>7.4423338560761663E-3</c:v>
                </c:pt>
                <c:pt idx="546">
                  <c:v>8.5236467357024184E-3</c:v>
                </c:pt>
                <c:pt idx="547">
                  <c:v>4.7978611061939291E-3</c:v>
                </c:pt>
                <c:pt idx="548">
                  <c:v>5.0774399088884012E-4</c:v>
                </c:pt>
                <c:pt idx="549">
                  <c:v>8.5966750517152656E-3</c:v>
                </c:pt>
                <c:pt idx="550">
                  <c:v>6.9087277144714524E-3</c:v>
                </c:pt>
                <c:pt idx="551">
                  <c:v>2.7820742795817617E-3</c:v>
                </c:pt>
                <c:pt idx="552">
                  <c:v>8.532725508131932E-3</c:v>
                </c:pt>
                <c:pt idx="553">
                  <c:v>-1.6400862562284272E-3</c:v>
                </c:pt>
                <c:pt idx="554">
                  <c:v>-1.8489332314817598E-3</c:v>
                </c:pt>
                <c:pt idx="555">
                  <c:v>-9.0640081780662594E-4</c:v>
                </c:pt>
                <c:pt idx="556">
                  <c:v>2.8437699561146405E-3</c:v>
                </c:pt>
                <c:pt idx="557">
                  <c:v>8.103409087940449E-3</c:v>
                </c:pt>
                <c:pt idx="558">
                  <c:v>3.9944086990111787E-4</c:v>
                </c:pt>
                <c:pt idx="559">
                  <c:v>3.5116431504380375E-3</c:v>
                </c:pt>
                <c:pt idx="560">
                  <c:v>2.2663721069308604E-3</c:v>
                </c:pt>
                <c:pt idx="561">
                  <c:v>1.2969687823804533E-3</c:v>
                </c:pt>
                <c:pt idx="562">
                  <c:v>1.8135117502508622E-3</c:v>
                </c:pt>
                <c:pt idx="563">
                  <c:v>-7.7910021272964312E-3</c:v>
                </c:pt>
                <c:pt idx="564">
                  <c:v>-3.2110155545722685E-3</c:v>
                </c:pt>
                <c:pt idx="565">
                  <c:v>5.6002078797164944E-3</c:v>
                </c:pt>
                <c:pt idx="566">
                  <c:v>-1.0989449997019381E-3</c:v>
                </c:pt>
                <c:pt idx="567">
                  <c:v>6.9483340616747682E-3</c:v>
                </c:pt>
                <c:pt idx="568">
                  <c:v>-4.724397045381145E-3</c:v>
                </c:pt>
                <c:pt idx="569">
                  <c:v>8.7121366770647225E-3</c:v>
                </c:pt>
                <c:pt idx="570">
                  <c:v>6.8938530180938738E-3</c:v>
                </c:pt>
                <c:pt idx="571">
                  <c:v>-2.6860246234421122E-2</c:v>
                </c:pt>
                <c:pt idx="572">
                  <c:v>-1.1243433615399149E-2</c:v>
                </c:pt>
                <c:pt idx="573">
                  <c:v>-1.4916190680392646E-2</c:v>
                </c:pt>
                <c:pt idx="574">
                  <c:v>-4.0401743526123747E-3</c:v>
                </c:pt>
                <c:pt idx="575">
                  <c:v>-1.6659420708697182E-3</c:v>
                </c:pt>
                <c:pt idx="576">
                  <c:v>7.0042091051556038E-3</c:v>
                </c:pt>
                <c:pt idx="577">
                  <c:v>1.5395030146757352E-5</c:v>
                </c:pt>
                <c:pt idx="578">
                  <c:v>-6.3332557044078056E-4</c:v>
                </c:pt>
                <c:pt idx="579">
                  <c:v>-1.5980176898944803E-2</c:v>
                </c:pt>
                <c:pt idx="580">
                  <c:v>-2.2213788730831899E-3</c:v>
                </c:pt>
                <c:pt idx="581">
                  <c:v>3.7263406653410486E-3</c:v>
                </c:pt>
                <c:pt idx="582">
                  <c:v>-8.6340682476848344E-3</c:v>
                </c:pt>
                <c:pt idx="583">
                  <c:v>2.9189829920453023E-3</c:v>
                </c:pt>
                <c:pt idx="584">
                  <c:v>1.288603620205188E-2</c:v>
                </c:pt>
                <c:pt idx="585">
                  <c:v>-8.6933623070607289E-3</c:v>
                </c:pt>
                <c:pt idx="586">
                  <c:v>1.6820219853248417E-2</c:v>
                </c:pt>
                <c:pt idx="587">
                  <c:v>-1.9766565914903517E-2</c:v>
                </c:pt>
                <c:pt idx="588">
                  <c:v>-4.1053223262559942E-3</c:v>
                </c:pt>
                <c:pt idx="589">
                  <c:v>-5.2395354319728844E-4</c:v>
                </c:pt>
                <c:pt idx="590">
                  <c:v>-3.1451125869100117E-3</c:v>
                </c:pt>
                <c:pt idx="591">
                  <c:v>1.1072868827816483E-2</c:v>
                </c:pt>
                <c:pt idx="592">
                  <c:v>4.0785192503985882E-3</c:v>
                </c:pt>
                <c:pt idx="593">
                  <c:v>1.8997621081116148E-2</c:v>
                </c:pt>
                <c:pt idx="594">
                  <c:v>8.8707057398909935E-3</c:v>
                </c:pt>
                <c:pt idx="595">
                  <c:v>7.012186842796077E-3</c:v>
                </c:pt>
                <c:pt idx="596">
                  <c:v>7.2433738444455395E-3</c:v>
                </c:pt>
                <c:pt idx="597">
                  <c:v>3.863515417668939E-3</c:v>
                </c:pt>
                <c:pt idx="598">
                  <c:v>1.0163212815052339E-2</c:v>
                </c:pt>
                <c:pt idx="599">
                  <c:v>7.5466333143549271E-3</c:v>
                </c:pt>
                <c:pt idx="600">
                  <c:v>1.482465744357184E-3</c:v>
                </c:pt>
                <c:pt idx="601">
                  <c:v>-6.1624046697535009E-4</c:v>
                </c:pt>
                <c:pt idx="602">
                  <c:v>-5.455722562641808E-4</c:v>
                </c:pt>
                <c:pt idx="603">
                  <c:v>-4.9579967732619303E-3</c:v>
                </c:pt>
                <c:pt idx="604">
                  <c:v>-6.2440312471410998E-3</c:v>
                </c:pt>
                <c:pt idx="605">
                  <c:v>8.895680603675498E-3</c:v>
                </c:pt>
                <c:pt idx="606">
                  <c:v>1.3855134283115085E-2</c:v>
                </c:pt>
                <c:pt idx="607">
                  <c:v>6.2526927902320124E-3</c:v>
                </c:pt>
                <c:pt idx="608">
                  <c:v>1.6556695826354887E-3</c:v>
                </c:pt>
                <c:pt idx="609">
                  <c:v>1.5105681913935968E-2</c:v>
                </c:pt>
                <c:pt idx="610">
                  <c:v>1.17049694859349E-3</c:v>
                </c:pt>
                <c:pt idx="611">
                  <c:v>-9.1200454453413734E-3</c:v>
                </c:pt>
                <c:pt idx="612">
                  <c:v>5.9118252426622372E-2</c:v>
                </c:pt>
                <c:pt idx="613">
                  <c:v>1.597378086659527E-3</c:v>
                </c:pt>
                <c:pt idx="614">
                  <c:v>3.2332211534144346E-2</c:v>
                </c:pt>
                <c:pt idx="615">
                  <c:v>-2.276650347520072E-3</c:v>
                </c:pt>
                <c:pt idx="616">
                  <c:v>-1.1911579885141132E-3</c:v>
                </c:pt>
                <c:pt idx="617">
                  <c:v>-1.0276651836719056E-2</c:v>
                </c:pt>
                <c:pt idx="618">
                  <c:v>-7.3061921823593299E-5</c:v>
                </c:pt>
                <c:pt idx="619">
                  <c:v>-1.6573635320510025E-2</c:v>
                </c:pt>
                <c:pt idx="620">
                  <c:v>-1.6657609680107515E-3</c:v>
                </c:pt>
                <c:pt idx="621">
                  <c:v>-3.1868072871163045E-3</c:v>
                </c:pt>
                <c:pt idx="622">
                  <c:v>1.7093539701289834E-5</c:v>
                </c:pt>
                <c:pt idx="623">
                  <c:v>-5.6537425611642503E-3</c:v>
                </c:pt>
                <c:pt idx="624">
                  <c:v>-3.162640323819214E-3</c:v>
                </c:pt>
                <c:pt idx="625">
                  <c:v>5.6827686043534262E-3</c:v>
                </c:pt>
                <c:pt idx="626">
                  <c:v>-1.0711261984433744E-2</c:v>
                </c:pt>
                <c:pt idx="627">
                  <c:v>4.9230689945430565E-3</c:v>
                </c:pt>
                <c:pt idx="628">
                  <c:v>6.5888493181675374E-3</c:v>
                </c:pt>
                <c:pt idx="629">
                  <c:v>6.8258139521388036E-3</c:v>
                </c:pt>
                <c:pt idx="630">
                  <c:v>1.9993351701760053E-3</c:v>
                </c:pt>
                <c:pt idx="631">
                  <c:v>-1.5506381323446314E-3</c:v>
                </c:pt>
                <c:pt idx="632">
                  <c:v>-7.8728743083364156E-3</c:v>
                </c:pt>
                <c:pt idx="633">
                  <c:v>7.6323601429253403E-3</c:v>
                </c:pt>
                <c:pt idx="634">
                  <c:v>8.4787306170828556E-3</c:v>
                </c:pt>
                <c:pt idx="635">
                  <c:v>-1.648393121063259E-3</c:v>
                </c:pt>
                <c:pt idx="636">
                  <c:v>-6.8567012697307267E-4</c:v>
                </c:pt>
                <c:pt idx="637">
                  <c:v>-4.4142722786362065E-4</c:v>
                </c:pt>
                <c:pt idx="638">
                  <c:v>-2.1083160411130759E-3</c:v>
                </c:pt>
                <c:pt idx="639">
                  <c:v>-9.8851684506043782E-3</c:v>
                </c:pt>
                <c:pt idx="640">
                  <c:v>3.440135801814361E-3</c:v>
                </c:pt>
                <c:pt idx="641">
                  <c:v>-8.685671068901479E-3</c:v>
                </c:pt>
                <c:pt idx="642">
                  <c:v>-3.44353388138621E-3</c:v>
                </c:pt>
                <c:pt idx="643">
                  <c:v>6.3253513138520883E-3</c:v>
                </c:pt>
                <c:pt idx="644">
                  <c:v>5.5120110645161821E-3</c:v>
                </c:pt>
                <c:pt idx="645">
                  <c:v>1.0045782161633907E-2</c:v>
                </c:pt>
                <c:pt idx="646">
                  <c:v>-7.2234101717971004E-3</c:v>
                </c:pt>
                <c:pt idx="647">
                  <c:v>-1.0893749840124761E-2</c:v>
                </c:pt>
                <c:pt idx="648">
                  <c:v>-9.7649305264574538E-3</c:v>
                </c:pt>
                <c:pt idx="649">
                  <c:v>3.520233383538675E-3</c:v>
                </c:pt>
                <c:pt idx="650">
                  <c:v>1.3946991453375396E-4</c:v>
                </c:pt>
                <c:pt idx="651">
                  <c:v>3.8230150802668807E-3</c:v>
                </c:pt>
                <c:pt idx="652">
                  <c:v>8.3401373468796544E-3</c:v>
                </c:pt>
                <c:pt idx="653">
                  <c:v>2.8202839529604187E-3</c:v>
                </c:pt>
                <c:pt idx="654">
                  <c:v>8.8645674724656971E-3</c:v>
                </c:pt>
                <c:pt idx="655">
                  <c:v>2.2376219950244135E-3</c:v>
                </c:pt>
                <c:pt idx="656">
                  <c:v>1.3839233288131239E-2</c:v>
                </c:pt>
                <c:pt idx="657">
                  <c:v>6.0317558227050809E-3</c:v>
                </c:pt>
                <c:pt idx="658">
                  <c:v>1.9810073505864135E-3</c:v>
                </c:pt>
                <c:pt idx="659">
                  <c:v>8.0729139842999429E-3</c:v>
                </c:pt>
                <c:pt idx="660">
                  <c:v>-7.8296210202361005E-4</c:v>
                </c:pt>
                <c:pt idx="661">
                  <c:v>-5.337125293229778E-3</c:v>
                </c:pt>
                <c:pt idx="662">
                  <c:v>-7.4655106739900398E-3</c:v>
                </c:pt>
                <c:pt idx="663">
                  <c:v>1.5956331207047786E-2</c:v>
                </c:pt>
                <c:pt idx="664">
                  <c:v>7.5313841267952021E-4</c:v>
                </c:pt>
                <c:pt idx="665">
                  <c:v>-5.0799826522503044E-3</c:v>
                </c:pt>
                <c:pt idx="666">
                  <c:v>-2.7731924562565398E-3</c:v>
                </c:pt>
                <c:pt idx="667">
                  <c:v>3.0326061581414173E-3</c:v>
                </c:pt>
                <c:pt idx="668">
                  <c:v>-5.0515974978526269E-3</c:v>
                </c:pt>
                <c:pt idx="669">
                  <c:v>2.0499810376754012E-3</c:v>
                </c:pt>
                <c:pt idx="670">
                  <c:v>1.4601153421018628E-3</c:v>
                </c:pt>
                <c:pt idx="671">
                  <c:v>-1.0750171512354974E-2</c:v>
                </c:pt>
                <c:pt idx="672">
                  <c:v>-2.3078905249098985E-2</c:v>
                </c:pt>
                <c:pt idx="673">
                  <c:v>-8.7336118860010959E-3</c:v>
                </c:pt>
                <c:pt idx="674">
                  <c:v>-2.9256442981862342E-3</c:v>
                </c:pt>
                <c:pt idx="675">
                  <c:v>-9.6567228542038534E-4</c:v>
                </c:pt>
                <c:pt idx="676">
                  <c:v>1.5069195554275284E-3</c:v>
                </c:pt>
                <c:pt idx="677">
                  <c:v>5.009674035734578E-3</c:v>
                </c:pt>
                <c:pt idx="678">
                  <c:v>5.4791069304742793E-3</c:v>
                </c:pt>
                <c:pt idx="679">
                  <c:v>5.8643236467959383E-4</c:v>
                </c:pt>
                <c:pt idx="680">
                  <c:v>-2.4047691853590829E-3</c:v>
                </c:pt>
                <c:pt idx="681">
                  <c:v>2.3545491932167729E-3</c:v>
                </c:pt>
                <c:pt idx="682">
                  <c:v>1.6378303100400154E-2</c:v>
                </c:pt>
                <c:pt idx="683">
                  <c:v>6.3868425747604183E-3</c:v>
                </c:pt>
                <c:pt idx="684">
                  <c:v>-2.4092596537628715E-3</c:v>
                </c:pt>
                <c:pt idx="685">
                  <c:v>-6.7124148535225537E-3</c:v>
                </c:pt>
                <c:pt idx="686">
                  <c:v>1.8760550813897729E-3</c:v>
                </c:pt>
                <c:pt idx="687">
                  <c:v>-3.201634927425119E-3</c:v>
                </c:pt>
                <c:pt idx="688">
                  <c:v>-7.993907830429671E-3</c:v>
                </c:pt>
                <c:pt idx="689">
                  <c:v>5.3177252951416183E-3</c:v>
                </c:pt>
                <c:pt idx="690">
                  <c:v>6.7906388511084102E-3</c:v>
                </c:pt>
                <c:pt idx="691">
                  <c:v>-1.0821620672488715E-2</c:v>
                </c:pt>
                <c:pt idx="692">
                  <c:v>9.7276809242755361E-4</c:v>
                </c:pt>
                <c:pt idx="693">
                  <c:v>-6.005780745447502E-3</c:v>
                </c:pt>
                <c:pt idx="694">
                  <c:v>4.2937864640136278E-3</c:v>
                </c:pt>
                <c:pt idx="695">
                  <c:v>-1.3586563734884588E-2</c:v>
                </c:pt>
                <c:pt idx="696">
                  <c:v>-5.9484765623319725E-4</c:v>
                </c:pt>
                <c:pt idx="697">
                  <c:v>-1.7067770216539584E-2</c:v>
                </c:pt>
                <c:pt idx="698">
                  <c:v>1.7814258309261987E-2</c:v>
                </c:pt>
                <c:pt idx="699">
                  <c:v>4.8301220824434037E-3</c:v>
                </c:pt>
                <c:pt idx="700">
                  <c:v>8.0598153421265317E-3</c:v>
                </c:pt>
                <c:pt idx="701">
                  <c:v>1.7780809840884058E-2</c:v>
                </c:pt>
                <c:pt idx="702">
                  <c:v>-6.4406430970470885E-3</c:v>
                </c:pt>
                <c:pt idx="703">
                  <c:v>2.7959174730440199E-3</c:v>
                </c:pt>
                <c:pt idx="704">
                  <c:v>-1.3060241840666855E-3</c:v>
                </c:pt>
                <c:pt idx="705">
                  <c:v>2.0109467293116093E-2</c:v>
                </c:pt>
                <c:pt idx="706">
                  <c:v>-1.4320207918165771E-2</c:v>
                </c:pt>
                <c:pt idx="707">
                  <c:v>-9.6948259742014806E-3</c:v>
                </c:pt>
                <c:pt idx="708">
                  <c:v>2.668424452493276E-2</c:v>
                </c:pt>
                <c:pt idx="709">
                  <c:v>1.8672074334955376E-2</c:v>
                </c:pt>
                <c:pt idx="710">
                  <c:v>1.5920989689048422E-2</c:v>
                </c:pt>
                <c:pt idx="711">
                  <c:v>9.2715107641675777E-4</c:v>
                </c:pt>
                <c:pt idx="712">
                  <c:v>-9.8762370430940036E-3</c:v>
                </c:pt>
                <c:pt idx="713">
                  <c:v>1.1707202062687503E-2</c:v>
                </c:pt>
                <c:pt idx="714">
                  <c:v>-3.4705789795006409E-2</c:v>
                </c:pt>
                <c:pt idx="715">
                  <c:v>-1.4946637750490028E-2</c:v>
                </c:pt>
                <c:pt idx="716">
                  <c:v>-1.1774367590933177E-2</c:v>
                </c:pt>
                <c:pt idx="717">
                  <c:v>5.8576277832908545E-5</c:v>
                </c:pt>
                <c:pt idx="718">
                  <c:v>7.3260525429603325E-3</c:v>
                </c:pt>
                <c:pt idx="719">
                  <c:v>-1.2260190326066896E-2</c:v>
                </c:pt>
                <c:pt idx="720">
                  <c:v>7.1415344155744999E-3</c:v>
                </c:pt>
                <c:pt idx="721">
                  <c:v>4.3769872691436472E-3</c:v>
                </c:pt>
                <c:pt idx="722">
                  <c:v>-2.248057131268336E-3</c:v>
                </c:pt>
                <c:pt idx="723">
                  <c:v>-4.5389174316872111E-3</c:v>
                </c:pt>
                <c:pt idx="724">
                  <c:v>9.783414088660675E-3</c:v>
                </c:pt>
                <c:pt idx="725">
                  <c:v>1.6934462297486463E-2</c:v>
                </c:pt>
                <c:pt idx="726">
                  <c:v>1.1912596491344152E-2</c:v>
                </c:pt>
                <c:pt idx="727">
                  <c:v>-1.3151802217476138E-2</c:v>
                </c:pt>
                <c:pt idx="728">
                  <c:v>-8.7722225487334628E-3</c:v>
                </c:pt>
                <c:pt idx="729">
                  <c:v>1.2250310064231355E-2</c:v>
                </c:pt>
                <c:pt idx="730">
                  <c:v>-4.245408881346298E-3</c:v>
                </c:pt>
                <c:pt idx="731">
                  <c:v>1.2592872562234302E-2</c:v>
                </c:pt>
                <c:pt idx="732">
                  <c:v>-1.2290481755453097E-2</c:v>
                </c:pt>
                <c:pt idx="733">
                  <c:v>-2.7784896665480521E-2</c:v>
                </c:pt>
                <c:pt idx="734">
                  <c:v>-8.0060085013903496E-3</c:v>
                </c:pt>
                <c:pt idx="735">
                  <c:v>-9.8963664738470902E-3</c:v>
                </c:pt>
                <c:pt idx="736">
                  <c:v>4.1826600755165734E-3</c:v>
                </c:pt>
                <c:pt idx="737">
                  <c:v>-3.7826500277708319E-3</c:v>
                </c:pt>
                <c:pt idx="738">
                  <c:v>1.1204848984228521E-3</c:v>
                </c:pt>
                <c:pt idx="739">
                  <c:v>-4.0096328751635978E-3</c:v>
                </c:pt>
                <c:pt idx="740">
                  <c:v>6.7248532376310254E-3</c:v>
                </c:pt>
                <c:pt idx="741">
                  <c:v>-1.7477849895235257E-3</c:v>
                </c:pt>
                <c:pt idx="742">
                  <c:v>-1.2750384933843581E-2</c:v>
                </c:pt>
                <c:pt idx="743">
                  <c:v>-5.7419152738436979E-3</c:v>
                </c:pt>
                <c:pt idx="744">
                  <c:v>1.0600106780313653E-3</c:v>
                </c:pt>
                <c:pt idx="745">
                  <c:v>6.5909476617574073E-3</c:v>
                </c:pt>
                <c:pt idx="746">
                  <c:v>-2.0155004817553796E-2</c:v>
                </c:pt>
                <c:pt idx="747">
                  <c:v>1.3157554131489613E-3</c:v>
                </c:pt>
                <c:pt idx="748">
                  <c:v>-1.1253564638230846E-3</c:v>
                </c:pt>
                <c:pt idx="749">
                  <c:v>3.9154663375832221E-3</c:v>
                </c:pt>
                <c:pt idx="750">
                  <c:v>7.2431140101259363E-4</c:v>
                </c:pt>
                <c:pt idx="751">
                  <c:v>-2.0896913851842841E-3</c:v>
                </c:pt>
                <c:pt idx="752">
                  <c:v>-3.8160932910692724E-3</c:v>
                </c:pt>
                <c:pt idx="753">
                  <c:v>4.3671438435305748E-3</c:v>
                </c:pt>
                <c:pt idx="754">
                  <c:v>-1.259718889925894E-3</c:v>
                </c:pt>
                <c:pt idx="755">
                  <c:v>-5.6185524546357437E-3</c:v>
                </c:pt>
                <c:pt idx="756">
                  <c:v>4.4679330005848381E-3</c:v>
                </c:pt>
                <c:pt idx="757">
                  <c:v>1.5045654408243446E-2</c:v>
                </c:pt>
                <c:pt idx="758">
                  <c:v>5.1846299030426646E-3</c:v>
                </c:pt>
                <c:pt idx="759">
                  <c:v>4.5644252921483745E-3</c:v>
                </c:pt>
                <c:pt idx="760">
                  <c:v>-5.5689248292557069E-3</c:v>
                </c:pt>
                <c:pt idx="761">
                  <c:v>3.4836435402039365E-3</c:v>
                </c:pt>
                <c:pt idx="762">
                  <c:v>3.2505204061642249E-3</c:v>
                </c:pt>
                <c:pt idx="763">
                  <c:v>1.3183920575136177E-2</c:v>
                </c:pt>
                <c:pt idx="764">
                  <c:v>3.0220953502317978E-3</c:v>
                </c:pt>
                <c:pt idx="765">
                  <c:v>-1.1117507574601183E-2</c:v>
                </c:pt>
                <c:pt idx="766">
                  <c:v>1.512276230903052E-3</c:v>
                </c:pt>
                <c:pt idx="767">
                  <c:v>-1.5406250103697462E-2</c:v>
                </c:pt>
                <c:pt idx="768">
                  <c:v>-3.7124033850621727E-3</c:v>
                </c:pt>
                <c:pt idx="769">
                  <c:v>3.1684191874254385E-3</c:v>
                </c:pt>
                <c:pt idx="770">
                  <c:v>1.8140809131349123E-3</c:v>
                </c:pt>
                <c:pt idx="771">
                  <c:v>-2.1079404775014958E-3</c:v>
                </c:pt>
                <c:pt idx="772">
                  <c:v>9.2446663731624527E-3</c:v>
                </c:pt>
                <c:pt idx="773">
                  <c:v>2.0071631367882506E-3</c:v>
                </c:pt>
                <c:pt idx="774">
                  <c:v>-4.6020715877803237E-3</c:v>
                </c:pt>
                <c:pt idx="775">
                  <c:v>-3.260488355670312E-3</c:v>
                </c:pt>
                <c:pt idx="776">
                  <c:v>1.8706343731089939E-3</c:v>
                </c:pt>
                <c:pt idx="777">
                  <c:v>-3.5188782099030485E-3</c:v>
                </c:pt>
                <c:pt idx="778">
                  <c:v>1.6687556804344326E-3</c:v>
                </c:pt>
                <c:pt idx="779">
                  <c:v>-1.7865033608416515E-3</c:v>
                </c:pt>
                <c:pt idx="780">
                  <c:v>1.3197098296573428E-2</c:v>
                </c:pt>
                <c:pt idx="781">
                  <c:v>6.3116635062802967E-3</c:v>
                </c:pt>
                <c:pt idx="782">
                  <c:v>3.3662770523905398E-3</c:v>
                </c:pt>
                <c:pt idx="783">
                  <c:v>2.018786408604967E-3</c:v>
                </c:pt>
                <c:pt idx="784">
                  <c:v>2.7992976032979503E-3</c:v>
                </c:pt>
                <c:pt idx="785">
                  <c:v>-1.0166976669314102E-2</c:v>
                </c:pt>
                <c:pt idx="786">
                  <c:v>-2.001530412062504E-3</c:v>
                </c:pt>
                <c:pt idx="787">
                  <c:v>8.9107236327000718E-3</c:v>
                </c:pt>
                <c:pt idx="788">
                  <c:v>1.3080434591549422E-2</c:v>
                </c:pt>
                <c:pt idx="789">
                  <c:v>-7.5190670434262643E-3</c:v>
                </c:pt>
                <c:pt idx="790">
                  <c:v>-9.1857603383144225E-4</c:v>
                </c:pt>
                <c:pt idx="791">
                  <c:v>-6.1941863971465387E-3</c:v>
                </c:pt>
                <c:pt idx="792">
                  <c:v>-7.2176238343432267E-3</c:v>
                </c:pt>
                <c:pt idx="793">
                  <c:v>-3.8124266875626707E-3</c:v>
                </c:pt>
                <c:pt idx="794">
                  <c:v>-2.2167911636692956E-3</c:v>
                </c:pt>
                <c:pt idx="795">
                  <c:v>-3.9470527893572908E-3</c:v>
                </c:pt>
                <c:pt idx="796">
                  <c:v>-1.5170944546053506E-3</c:v>
                </c:pt>
                <c:pt idx="797">
                  <c:v>3.3216051964666919E-3</c:v>
                </c:pt>
                <c:pt idx="798">
                  <c:v>-2.0470504546564764E-3</c:v>
                </c:pt>
                <c:pt idx="799">
                  <c:v>2.9496860593921123E-3</c:v>
                </c:pt>
                <c:pt idx="800">
                  <c:v>1.406405441740312E-3</c:v>
                </c:pt>
                <c:pt idx="801">
                  <c:v>-2.2529667685609409E-3</c:v>
                </c:pt>
                <c:pt idx="802">
                  <c:v>2.5322927043635981E-5</c:v>
                </c:pt>
                <c:pt idx="803">
                  <c:v>-1.0631516474820616E-2</c:v>
                </c:pt>
                <c:pt idx="804">
                  <c:v>-3.5555750248233435E-3</c:v>
                </c:pt>
                <c:pt idx="805">
                  <c:v>6.2762988725034632E-3</c:v>
                </c:pt>
                <c:pt idx="806">
                  <c:v>-7.2719632865725367E-3</c:v>
                </c:pt>
                <c:pt idx="807">
                  <c:v>-2.0466520205554002E-3</c:v>
                </c:pt>
                <c:pt idx="808">
                  <c:v>-1.0249445942921783E-2</c:v>
                </c:pt>
                <c:pt idx="809">
                  <c:v>-7.0469382852958147E-3</c:v>
                </c:pt>
                <c:pt idx="810">
                  <c:v>-6.6433339067363713E-4</c:v>
                </c:pt>
                <c:pt idx="811">
                  <c:v>1.2611770331844588E-2</c:v>
                </c:pt>
                <c:pt idx="812">
                  <c:v>-1.0260765669108229E-2</c:v>
                </c:pt>
                <c:pt idx="813">
                  <c:v>-4.8491887354391765E-3</c:v>
                </c:pt>
                <c:pt idx="814">
                  <c:v>-4.4660110594789901E-3</c:v>
                </c:pt>
                <c:pt idx="815">
                  <c:v>5.5271513713817154E-3</c:v>
                </c:pt>
                <c:pt idx="816">
                  <c:v>-4.2487910866625123E-3</c:v>
                </c:pt>
                <c:pt idx="817">
                  <c:v>1.7832322271188032E-2</c:v>
                </c:pt>
                <c:pt idx="818">
                  <c:v>1.454052036143926E-2</c:v>
                </c:pt>
                <c:pt idx="819">
                  <c:v>-5.9188348705783598E-3</c:v>
                </c:pt>
                <c:pt idx="820">
                  <c:v>9.4690167102810269E-3</c:v>
                </c:pt>
                <c:pt idx="821">
                  <c:v>1.6194665249821435E-2</c:v>
                </c:pt>
                <c:pt idx="822">
                  <c:v>8.6805407599478621E-3</c:v>
                </c:pt>
                <c:pt idx="823">
                  <c:v>2.1826943483975934E-2</c:v>
                </c:pt>
                <c:pt idx="824">
                  <c:v>2.885769922916418E-3</c:v>
                </c:pt>
                <c:pt idx="825">
                  <c:v>-1.8530344435268189E-3</c:v>
                </c:pt>
                <c:pt idx="826">
                  <c:v>-3.1353161534824862E-3</c:v>
                </c:pt>
                <c:pt idx="827">
                  <c:v>7.6052019581393671E-3</c:v>
                </c:pt>
                <c:pt idx="828">
                  <c:v>1.9699679526144001E-3</c:v>
                </c:pt>
                <c:pt idx="829">
                  <c:v>1.2556463931100857E-3</c:v>
                </c:pt>
                <c:pt idx="830">
                  <c:v>-5.8207513979236652E-3</c:v>
                </c:pt>
                <c:pt idx="831">
                  <c:v>6.1646801860325727E-3</c:v>
                </c:pt>
                <c:pt idx="832">
                  <c:v>-1.5520382009752844E-2</c:v>
                </c:pt>
                <c:pt idx="833">
                  <c:v>1.7487404389355185E-3</c:v>
                </c:pt>
                <c:pt idx="834">
                  <c:v>-2.3642937589790556E-2</c:v>
                </c:pt>
                <c:pt idx="835">
                  <c:v>-1.682237704132945E-2</c:v>
                </c:pt>
                <c:pt idx="836">
                  <c:v>-6.4700602683752662E-3</c:v>
                </c:pt>
                <c:pt idx="837">
                  <c:v>1.1612705036002317E-2</c:v>
                </c:pt>
                <c:pt idx="838">
                  <c:v>1.2547404085863823E-2</c:v>
                </c:pt>
                <c:pt idx="839">
                  <c:v>4.4757274028852231E-3</c:v>
                </c:pt>
                <c:pt idx="840">
                  <c:v>1.392127061641186E-3</c:v>
                </c:pt>
                <c:pt idx="841">
                  <c:v>-5.9402842059108904E-3</c:v>
                </c:pt>
                <c:pt idx="842">
                  <c:v>-6.7777474847075803E-3</c:v>
                </c:pt>
                <c:pt idx="843">
                  <c:v>2.1549882368743427E-3</c:v>
                </c:pt>
                <c:pt idx="844">
                  <c:v>5.8865220921343261E-3</c:v>
                </c:pt>
                <c:pt idx="845">
                  <c:v>-1.120275480167658E-2</c:v>
                </c:pt>
                <c:pt idx="846">
                  <c:v>-2.6970834964039386E-3</c:v>
                </c:pt>
                <c:pt idx="847">
                  <c:v>2.0139925688989417E-2</c:v>
                </c:pt>
                <c:pt idx="848">
                  <c:v>-3.8981697437809854E-2</c:v>
                </c:pt>
                <c:pt idx="849">
                  <c:v>6.0961219686025284E-3</c:v>
                </c:pt>
                <c:pt idx="850">
                  <c:v>7.5314256316211994E-3</c:v>
                </c:pt>
                <c:pt idx="851">
                  <c:v>9.8394063190747061E-3</c:v>
                </c:pt>
                <c:pt idx="852">
                  <c:v>7.0313346504567971E-3</c:v>
                </c:pt>
                <c:pt idx="853">
                  <c:v>1.3670767048769423E-2</c:v>
                </c:pt>
                <c:pt idx="854">
                  <c:v>-2.7009574975252793E-2</c:v>
                </c:pt>
                <c:pt idx="855">
                  <c:v>6.6793719372935014E-3</c:v>
                </c:pt>
                <c:pt idx="856">
                  <c:v>4.399184081306828E-3</c:v>
                </c:pt>
                <c:pt idx="857">
                  <c:v>-3.6686512666710125E-4</c:v>
                </c:pt>
                <c:pt idx="858">
                  <c:v>-2.1165441355963121E-4</c:v>
                </c:pt>
                <c:pt idx="859">
                  <c:v>6.3495283055403223E-3</c:v>
                </c:pt>
                <c:pt idx="860">
                  <c:v>-2.1853117258879666E-2</c:v>
                </c:pt>
                <c:pt idx="861">
                  <c:v>-1.21182878489214E-2</c:v>
                </c:pt>
                <c:pt idx="862">
                  <c:v>-7.4771102002082392E-3</c:v>
                </c:pt>
                <c:pt idx="863">
                  <c:v>8.8289675637672187E-4</c:v>
                </c:pt>
                <c:pt idx="864">
                  <c:v>4.1690143473914754E-3</c:v>
                </c:pt>
                <c:pt idx="865">
                  <c:v>7.5159179073901348E-3</c:v>
                </c:pt>
                <c:pt idx="866">
                  <c:v>1.2592632792115414E-2</c:v>
                </c:pt>
                <c:pt idx="867">
                  <c:v>1.4860434914442556E-3</c:v>
                </c:pt>
                <c:pt idx="868">
                  <c:v>-2.6690517787414065E-2</c:v>
                </c:pt>
                <c:pt idx="869">
                  <c:v>8.7684190866183179E-3</c:v>
                </c:pt>
                <c:pt idx="870">
                  <c:v>1.3766976693168908E-3</c:v>
                </c:pt>
                <c:pt idx="871">
                  <c:v>-1.8836667781189809E-2</c:v>
                </c:pt>
                <c:pt idx="872">
                  <c:v>1.3707258352518105E-2</c:v>
                </c:pt>
                <c:pt idx="873">
                  <c:v>8.2331793160327397E-4</c:v>
                </c:pt>
                <c:pt idx="874">
                  <c:v>-1.4738982483594728E-2</c:v>
                </c:pt>
                <c:pt idx="875">
                  <c:v>2.563077942734754E-3</c:v>
                </c:pt>
                <c:pt idx="876">
                  <c:v>-4.1023076322984187E-2</c:v>
                </c:pt>
                <c:pt idx="877">
                  <c:v>-1.2402638545347129E-2</c:v>
                </c:pt>
                <c:pt idx="878">
                  <c:v>-5.5472535581926989E-3</c:v>
                </c:pt>
                <c:pt idx="879">
                  <c:v>1.1420318565048009E-2</c:v>
                </c:pt>
                <c:pt idx="880">
                  <c:v>-2.181692967457417E-3</c:v>
                </c:pt>
                <c:pt idx="881">
                  <c:v>-6.32390109866193E-3</c:v>
                </c:pt>
                <c:pt idx="882">
                  <c:v>-8.4215778868615854E-3</c:v>
                </c:pt>
                <c:pt idx="883">
                  <c:v>-4.4312809803437447E-3</c:v>
                </c:pt>
                <c:pt idx="884">
                  <c:v>-1.3293552101498012E-3</c:v>
                </c:pt>
                <c:pt idx="885">
                  <c:v>2.5193381956065846E-3</c:v>
                </c:pt>
                <c:pt idx="886">
                  <c:v>6.9084056275790428E-3</c:v>
                </c:pt>
                <c:pt idx="887">
                  <c:v>4.4511903358461844E-4</c:v>
                </c:pt>
                <c:pt idx="888">
                  <c:v>3.8258433311778341E-2</c:v>
                </c:pt>
                <c:pt idx="889">
                  <c:v>1.5021640068486346E-2</c:v>
                </c:pt>
                <c:pt idx="890">
                  <c:v>-7.3512109197004108E-3</c:v>
                </c:pt>
                <c:pt idx="891">
                  <c:v>4.1663555520750463E-3</c:v>
                </c:pt>
                <c:pt idx="892">
                  <c:v>5.9313872430531408E-4</c:v>
                </c:pt>
                <c:pt idx="893">
                  <c:v>-2.7685749348147843E-2</c:v>
                </c:pt>
                <c:pt idx="894">
                  <c:v>4.9696375356313265E-3</c:v>
                </c:pt>
                <c:pt idx="895">
                  <c:v>1.3335645894812526E-2</c:v>
                </c:pt>
                <c:pt idx="896">
                  <c:v>-2.2759441657834146E-3</c:v>
                </c:pt>
                <c:pt idx="897">
                  <c:v>1.1497816247988997E-2</c:v>
                </c:pt>
                <c:pt idx="898">
                  <c:v>8.7809412107237202E-3</c:v>
                </c:pt>
                <c:pt idx="899">
                  <c:v>6.5690084795115415E-4</c:v>
                </c:pt>
                <c:pt idx="900">
                  <c:v>7.3780564158839315E-3</c:v>
                </c:pt>
                <c:pt idx="901">
                  <c:v>-6.1137787408901208E-4</c:v>
                </c:pt>
                <c:pt idx="902">
                  <c:v>4.6537332003717411E-3</c:v>
                </c:pt>
                <c:pt idx="903">
                  <c:v>-1.7742733334200816E-2</c:v>
                </c:pt>
                <c:pt idx="904">
                  <c:v>-3.8307528545885039E-3</c:v>
                </c:pt>
                <c:pt idx="905">
                  <c:v>5.8524943606813257E-3</c:v>
                </c:pt>
                <c:pt idx="906">
                  <c:v>8.1382363365231011E-3</c:v>
                </c:pt>
                <c:pt idx="907">
                  <c:v>-6.5616987295127847E-3</c:v>
                </c:pt>
                <c:pt idx="908">
                  <c:v>-4.567239831056156E-3</c:v>
                </c:pt>
                <c:pt idx="909">
                  <c:v>1.8833741917377512E-2</c:v>
                </c:pt>
                <c:pt idx="910">
                  <c:v>3.8390003346677423E-3</c:v>
                </c:pt>
                <c:pt idx="911">
                  <c:v>-8.9819092947808141E-3</c:v>
                </c:pt>
                <c:pt idx="912">
                  <c:v>-2.8829204951140591E-2</c:v>
                </c:pt>
                <c:pt idx="913">
                  <c:v>5.7562235939132218E-4</c:v>
                </c:pt>
                <c:pt idx="914">
                  <c:v>2.605914707512705E-4</c:v>
                </c:pt>
                <c:pt idx="915">
                  <c:v>-6.4606444395737825E-3</c:v>
                </c:pt>
                <c:pt idx="916">
                  <c:v>7.7049531713292091E-3</c:v>
                </c:pt>
                <c:pt idx="917">
                  <c:v>1.0839564353050186E-2</c:v>
                </c:pt>
                <c:pt idx="918">
                  <c:v>3.5073742012127151E-3</c:v>
                </c:pt>
                <c:pt idx="919">
                  <c:v>-2.885720666865774E-2</c:v>
                </c:pt>
                <c:pt idx="920">
                  <c:v>2.6823850788830483E-3</c:v>
                </c:pt>
                <c:pt idx="921">
                  <c:v>-7.730334403592329E-3</c:v>
                </c:pt>
                <c:pt idx="922">
                  <c:v>-6.853071435749424E-3</c:v>
                </c:pt>
                <c:pt idx="923">
                  <c:v>5.1664682413058681E-3</c:v>
                </c:pt>
                <c:pt idx="924">
                  <c:v>-6.3544543500459981E-3</c:v>
                </c:pt>
                <c:pt idx="925">
                  <c:v>1.9194160733624131E-3</c:v>
                </c:pt>
                <c:pt idx="926">
                  <c:v>-9.446309704321176E-3</c:v>
                </c:pt>
                <c:pt idx="927">
                  <c:v>3.032866318792969E-3</c:v>
                </c:pt>
                <c:pt idx="928">
                  <c:v>-8.6258539103353394E-3</c:v>
                </c:pt>
                <c:pt idx="929">
                  <c:v>8.5272574728579836E-3</c:v>
                </c:pt>
                <c:pt idx="930">
                  <c:v>2.3275979603522394E-3</c:v>
                </c:pt>
                <c:pt idx="931">
                  <c:v>-1.4898828459812142E-3</c:v>
                </c:pt>
                <c:pt idx="932">
                  <c:v>1.0186876416312949E-3</c:v>
                </c:pt>
                <c:pt idx="933">
                  <c:v>-5.5556097629726733E-3</c:v>
                </c:pt>
                <c:pt idx="934">
                  <c:v>9.7351914087729797E-3</c:v>
                </c:pt>
                <c:pt idx="935">
                  <c:v>6.607649905189408E-3</c:v>
                </c:pt>
                <c:pt idx="936">
                  <c:v>6.5834906720386279E-3</c:v>
                </c:pt>
                <c:pt idx="937">
                  <c:v>-1.1379001948398733E-4</c:v>
                </c:pt>
                <c:pt idx="938">
                  <c:v>2.8470661249403117E-3</c:v>
                </c:pt>
                <c:pt idx="939">
                  <c:v>1.4988492411185969E-3</c:v>
                </c:pt>
                <c:pt idx="940">
                  <c:v>-8.0447138283392273E-4</c:v>
                </c:pt>
                <c:pt idx="941">
                  <c:v>-2.0962595638926084E-3</c:v>
                </c:pt>
                <c:pt idx="942">
                  <c:v>4.2901469839915938E-3</c:v>
                </c:pt>
                <c:pt idx="943">
                  <c:v>-1.6639369327751919E-4</c:v>
                </c:pt>
                <c:pt idx="944">
                  <c:v>-1.4810335283858236E-2</c:v>
                </c:pt>
                <c:pt idx="945">
                  <c:v>-2.2974116574073079E-3</c:v>
                </c:pt>
                <c:pt idx="946">
                  <c:v>-3.3050392835330378E-3</c:v>
                </c:pt>
                <c:pt idx="947">
                  <c:v>5.4629046919795826E-6</c:v>
                </c:pt>
                <c:pt idx="948">
                  <c:v>-3.3332425884083066E-3</c:v>
                </c:pt>
                <c:pt idx="949">
                  <c:v>7.6545629979040666E-4</c:v>
                </c:pt>
                <c:pt idx="950">
                  <c:v>-1.4165037505750461E-4</c:v>
                </c:pt>
                <c:pt idx="951">
                  <c:v>1.1952193870856321E-2</c:v>
                </c:pt>
                <c:pt idx="952">
                  <c:v>5.8415386970052221E-3</c:v>
                </c:pt>
                <c:pt idx="953">
                  <c:v>-7.1703397801570722E-3</c:v>
                </c:pt>
                <c:pt idx="954">
                  <c:v>3.7562644797943621E-4</c:v>
                </c:pt>
                <c:pt idx="955">
                  <c:v>1.1227108850713362E-2</c:v>
                </c:pt>
                <c:pt idx="956">
                  <c:v>6.5212024288238786E-3</c:v>
                </c:pt>
                <c:pt idx="957">
                  <c:v>4.0496485516546355E-3</c:v>
                </c:pt>
                <c:pt idx="958">
                  <c:v>3.5266518768253515E-3</c:v>
                </c:pt>
                <c:pt idx="959">
                  <c:v>4.9126164126843596E-3</c:v>
                </c:pt>
                <c:pt idx="960">
                  <c:v>2.9672009298291283E-3</c:v>
                </c:pt>
                <c:pt idx="961">
                  <c:v>-4.6454551038693183E-3</c:v>
                </c:pt>
                <c:pt idx="962">
                  <c:v>-3.3548768944742465E-3</c:v>
                </c:pt>
                <c:pt idx="963">
                  <c:v>2.081042726231626E-3</c:v>
                </c:pt>
                <c:pt idx="964">
                  <c:v>-4.7535972847419367E-5</c:v>
                </c:pt>
                <c:pt idx="965">
                  <c:v>-3.6734367088821118E-3</c:v>
                </c:pt>
                <c:pt idx="966">
                  <c:v>1.0005995351324782E-2</c:v>
                </c:pt>
                <c:pt idx="967">
                  <c:v>3.8754939265330749E-3</c:v>
                </c:pt>
                <c:pt idx="968">
                  <c:v>-1.4327360556956329E-2</c:v>
                </c:pt>
                <c:pt idx="969">
                  <c:v>2.5901392267758668E-2</c:v>
                </c:pt>
                <c:pt idx="970">
                  <c:v>-3.4351266413462258E-3</c:v>
                </c:pt>
                <c:pt idx="971">
                  <c:v>-2.8277408129444093E-3</c:v>
                </c:pt>
                <c:pt idx="972">
                  <c:v>-7.4812637709374945E-3</c:v>
                </c:pt>
                <c:pt idx="973">
                  <c:v>-1.5095719861738129E-4</c:v>
                </c:pt>
                <c:pt idx="974">
                  <c:v>1.3232666609212388E-2</c:v>
                </c:pt>
                <c:pt idx="975">
                  <c:v>1.1088795251200316E-3</c:v>
                </c:pt>
                <c:pt idx="976">
                  <c:v>-3.0531420185194089E-5</c:v>
                </c:pt>
                <c:pt idx="977">
                  <c:v>-4.7058198590495613E-2</c:v>
                </c:pt>
                <c:pt idx="978">
                  <c:v>6.5840765453255862E-3</c:v>
                </c:pt>
                <c:pt idx="979">
                  <c:v>-5.6843087532443826E-3</c:v>
                </c:pt>
                <c:pt idx="980">
                  <c:v>2.7562351861624462E-2</c:v>
                </c:pt>
                <c:pt idx="981">
                  <c:v>4.060702275481891E-3</c:v>
                </c:pt>
                <c:pt idx="982">
                  <c:v>-9.6464000973768439E-3</c:v>
                </c:pt>
                <c:pt idx="983">
                  <c:v>-1.3010884451812869E-2</c:v>
                </c:pt>
                <c:pt idx="984">
                  <c:v>-1.7411301781615547E-2</c:v>
                </c:pt>
                <c:pt idx="985">
                  <c:v>-1.601246391382475E-2</c:v>
                </c:pt>
                <c:pt idx="986">
                  <c:v>8.2174342069594453E-3</c:v>
                </c:pt>
                <c:pt idx="987">
                  <c:v>-1.8166696323927924E-3</c:v>
                </c:pt>
                <c:pt idx="988">
                  <c:v>-7.4874991701207594E-3</c:v>
                </c:pt>
                <c:pt idx="989">
                  <c:v>1.7636990868951711E-2</c:v>
                </c:pt>
                <c:pt idx="990">
                  <c:v>-2.8175386865109884E-4</c:v>
                </c:pt>
                <c:pt idx="991">
                  <c:v>-1.2924563596671948E-2</c:v>
                </c:pt>
                <c:pt idx="992">
                  <c:v>-1.1148728521241356E-3</c:v>
                </c:pt>
                <c:pt idx="993">
                  <c:v>-1.5178380406766022E-2</c:v>
                </c:pt>
                <c:pt idx="994">
                  <c:v>-3.8219038476989928E-3</c:v>
                </c:pt>
                <c:pt idx="995">
                  <c:v>1.6226457130344622E-3</c:v>
                </c:pt>
                <c:pt idx="996">
                  <c:v>3.9704510333718164E-3</c:v>
                </c:pt>
                <c:pt idx="997">
                  <c:v>-1.7082362969647377E-3</c:v>
                </c:pt>
                <c:pt idx="998">
                  <c:v>3.5510853804811746E-3</c:v>
                </c:pt>
                <c:pt idx="999">
                  <c:v>1.5735543856164536E-2</c:v>
                </c:pt>
                <c:pt idx="1000">
                  <c:v>4.9618694897862478E-3</c:v>
                </c:pt>
                <c:pt idx="1001">
                  <c:v>3.0466048316461812E-3</c:v>
                </c:pt>
                <c:pt idx="1002">
                  <c:v>1.3148759567243878E-2</c:v>
                </c:pt>
                <c:pt idx="1003">
                  <c:v>-3.8134046765495415E-3</c:v>
                </c:pt>
                <c:pt idx="1004">
                  <c:v>-3.2721668791944121E-3</c:v>
                </c:pt>
                <c:pt idx="1005">
                  <c:v>-5.3040718965374446E-3</c:v>
                </c:pt>
                <c:pt idx="1006">
                  <c:v>7.0756883708070891E-3</c:v>
                </c:pt>
                <c:pt idx="1007">
                  <c:v>1.9494078461643648E-2</c:v>
                </c:pt>
                <c:pt idx="1008">
                  <c:v>-4.2854405014733261E-3</c:v>
                </c:pt>
                <c:pt idx="1009">
                  <c:v>1.1004049291644604E-2</c:v>
                </c:pt>
                <c:pt idx="1010">
                  <c:v>2.5725456008521663E-2</c:v>
                </c:pt>
                <c:pt idx="1011">
                  <c:v>-1.5069589463638443E-2</c:v>
                </c:pt>
                <c:pt idx="1012">
                  <c:v>1.2258908699308386E-3</c:v>
                </c:pt>
                <c:pt idx="1013">
                  <c:v>-1.4566554616823138E-2</c:v>
                </c:pt>
                <c:pt idx="1014">
                  <c:v>-2.4404499704391257E-3</c:v>
                </c:pt>
                <c:pt idx="1015">
                  <c:v>4.7959096058591555E-3</c:v>
                </c:pt>
                <c:pt idx="1016">
                  <c:v>-6.5673276457090058E-3</c:v>
                </c:pt>
                <c:pt idx="1017">
                  <c:v>-8.3901475207850077E-3</c:v>
                </c:pt>
                <c:pt idx="1018">
                  <c:v>3.8509795706425857E-3</c:v>
                </c:pt>
                <c:pt idx="1019">
                  <c:v>-6.2138638206134255E-4</c:v>
                </c:pt>
                <c:pt idx="1020">
                  <c:v>1.2010348292437096E-2</c:v>
                </c:pt>
                <c:pt idx="1021">
                  <c:v>-2.0059445702069606E-2</c:v>
                </c:pt>
                <c:pt idx="1022">
                  <c:v>1.0200643673400862E-2</c:v>
                </c:pt>
                <c:pt idx="1023">
                  <c:v>-5.6742850347608698E-3</c:v>
                </c:pt>
                <c:pt idx="1024">
                  <c:v>-4.9310239469031996E-3</c:v>
                </c:pt>
                <c:pt idx="1025">
                  <c:v>-6.5872408066804172E-3</c:v>
                </c:pt>
                <c:pt idx="1026">
                  <c:v>-8.9463222836476154E-3</c:v>
                </c:pt>
                <c:pt idx="1027">
                  <c:v>-1.1162260486702595E-2</c:v>
                </c:pt>
                <c:pt idx="1028">
                  <c:v>-2.3130160167836281E-3</c:v>
                </c:pt>
                <c:pt idx="1029">
                  <c:v>-6.0608953961661374E-3</c:v>
                </c:pt>
                <c:pt idx="1030">
                  <c:v>4.3611794663666022E-3</c:v>
                </c:pt>
                <c:pt idx="1031">
                  <c:v>-3.7239285548247365E-3</c:v>
                </c:pt>
                <c:pt idx="1032">
                  <c:v>-8.0202308164549832E-3</c:v>
                </c:pt>
                <c:pt idx="1033">
                  <c:v>1.5290808205127399E-3</c:v>
                </c:pt>
                <c:pt idx="1034">
                  <c:v>1.2293158709296582E-2</c:v>
                </c:pt>
                <c:pt idx="1035">
                  <c:v>4.9229783749753699E-3</c:v>
                </c:pt>
                <c:pt idx="1036">
                  <c:v>-7.1313992136950262E-3</c:v>
                </c:pt>
                <c:pt idx="1037">
                  <c:v>-4.018882096025145E-3</c:v>
                </c:pt>
                <c:pt idx="1038">
                  <c:v>-8.2947398997442509E-4</c:v>
                </c:pt>
                <c:pt idx="1039">
                  <c:v>1.1600522439261637E-3</c:v>
                </c:pt>
                <c:pt idx="1040">
                  <c:v>-1.0764875628144445E-2</c:v>
                </c:pt>
                <c:pt idx="1041">
                  <c:v>-1.3243429845880293E-4</c:v>
                </c:pt>
                <c:pt idx="1042">
                  <c:v>1.1409099833846197E-3</c:v>
                </c:pt>
                <c:pt idx="1043">
                  <c:v>4.8618343352809009E-3</c:v>
                </c:pt>
                <c:pt idx="1044">
                  <c:v>-4.7872539206013009E-3</c:v>
                </c:pt>
                <c:pt idx="1045">
                  <c:v>-5.7232045579070547E-3</c:v>
                </c:pt>
                <c:pt idx="1046">
                  <c:v>-4.0312607218550879E-3</c:v>
                </c:pt>
                <c:pt idx="1047">
                  <c:v>-5.8924751118271225E-3</c:v>
                </c:pt>
                <c:pt idx="1048">
                  <c:v>1.0764536504549794E-2</c:v>
                </c:pt>
                <c:pt idx="1049">
                  <c:v>7.2234700884181062E-3</c:v>
                </c:pt>
                <c:pt idx="1050">
                  <c:v>7.3681399038512995E-3</c:v>
                </c:pt>
                <c:pt idx="1051">
                  <c:v>-5.4494566867302422E-3</c:v>
                </c:pt>
                <c:pt idx="1052">
                  <c:v>-2.1349349999874243E-3</c:v>
                </c:pt>
                <c:pt idx="1053">
                  <c:v>-2.2504410332524795E-3</c:v>
                </c:pt>
                <c:pt idx="1054">
                  <c:v>5.1320152038335908E-3</c:v>
                </c:pt>
                <c:pt idx="1055">
                  <c:v>2.5167845763972676E-4</c:v>
                </c:pt>
                <c:pt idx="1056">
                  <c:v>-7.7138426130159013E-3</c:v>
                </c:pt>
                <c:pt idx="1057">
                  <c:v>-3.1680774998278853E-3</c:v>
                </c:pt>
                <c:pt idx="1058">
                  <c:v>-3.1178149013975347E-3</c:v>
                </c:pt>
                <c:pt idx="1059">
                  <c:v>6.6082726528063948E-4</c:v>
                </c:pt>
                <c:pt idx="1060">
                  <c:v>6.428853661234999E-3</c:v>
                </c:pt>
                <c:pt idx="1061">
                  <c:v>8.4572850363901515E-3</c:v>
                </c:pt>
                <c:pt idx="1062">
                  <c:v>-5.4328332593216368E-3</c:v>
                </c:pt>
                <c:pt idx="1063">
                  <c:v>-1.2046148159585447E-4</c:v>
                </c:pt>
                <c:pt idx="1064">
                  <c:v>-7.7371207534801239E-3</c:v>
                </c:pt>
                <c:pt idx="1065">
                  <c:v>3.0017192236722737E-4</c:v>
                </c:pt>
                <c:pt idx="1066">
                  <c:v>-2.5189844469082948E-3</c:v>
                </c:pt>
                <c:pt idx="1067">
                  <c:v>-1.6750478241925101E-3</c:v>
                </c:pt>
                <c:pt idx="1068">
                  <c:v>8.1385063823409445E-4</c:v>
                </c:pt>
                <c:pt idx="1069">
                  <c:v>4.3266329695856977E-3</c:v>
                </c:pt>
                <c:pt idx="1070">
                  <c:v>2.8803067161324099E-3</c:v>
                </c:pt>
                <c:pt idx="1071">
                  <c:v>2.3125287881408136E-4</c:v>
                </c:pt>
                <c:pt idx="1072">
                  <c:v>7.0415292152849478E-4</c:v>
                </c:pt>
                <c:pt idx="1073">
                  <c:v>-2.4466265588386745E-3</c:v>
                </c:pt>
                <c:pt idx="1074">
                  <c:v>-1.0191211110526135E-2</c:v>
                </c:pt>
                <c:pt idx="1075">
                  <c:v>1.7043078298473246E-2</c:v>
                </c:pt>
                <c:pt idx="1076">
                  <c:v>-2.0749306807564803E-3</c:v>
                </c:pt>
                <c:pt idx="1077">
                  <c:v>-1.7491363955308285E-3</c:v>
                </c:pt>
                <c:pt idx="1078">
                  <c:v>-5.3906603548448976E-3</c:v>
                </c:pt>
                <c:pt idx="1079">
                  <c:v>-2.3930676977282784E-3</c:v>
                </c:pt>
                <c:pt idx="1080">
                  <c:v>9.3874020663054659E-3</c:v>
                </c:pt>
                <c:pt idx="1081">
                  <c:v>4.6300450785007443E-3</c:v>
                </c:pt>
                <c:pt idx="1082">
                  <c:v>2.8811325391176878E-3</c:v>
                </c:pt>
                <c:pt idx="1083">
                  <c:v>-1.4707170938081923E-2</c:v>
                </c:pt>
                <c:pt idx="1084">
                  <c:v>-5.3917077786121946E-3</c:v>
                </c:pt>
                <c:pt idx="1085">
                  <c:v>1.2910040980612764E-3</c:v>
                </c:pt>
                <c:pt idx="1086">
                  <c:v>-1.8013159358945402E-3</c:v>
                </c:pt>
                <c:pt idx="1087">
                  <c:v>-5.2861212033855718E-4</c:v>
                </c:pt>
                <c:pt idx="1088">
                  <c:v>-4.6881474966038962E-3</c:v>
                </c:pt>
                <c:pt idx="1089">
                  <c:v>2.2318140501233243E-3</c:v>
                </c:pt>
                <c:pt idx="1090">
                  <c:v>-7.2121185869074515E-3</c:v>
                </c:pt>
                <c:pt idx="1091">
                  <c:v>-3.1184868738145027E-3</c:v>
                </c:pt>
                <c:pt idx="1092">
                  <c:v>-1.9193007112413736E-3</c:v>
                </c:pt>
                <c:pt idx="1093">
                  <c:v>8.7229570940479638E-3</c:v>
                </c:pt>
                <c:pt idx="1094">
                  <c:v>1.1031783681706658E-3</c:v>
                </c:pt>
                <c:pt idx="1095">
                  <c:v>9.9182420555899466E-3</c:v>
                </c:pt>
                <c:pt idx="1096">
                  <c:v>-7.6921191709392704E-3</c:v>
                </c:pt>
                <c:pt idx="1097">
                  <c:v>-3.2023081130521649E-3</c:v>
                </c:pt>
                <c:pt idx="1098">
                  <c:v>1.8866789596717478E-3</c:v>
                </c:pt>
                <c:pt idx="1099">
                  <c:v>2.4570872630891986E-3</c:v>
                </c:pt>
                <c:pt idx="1100">
                  <c:v>-6.9337522258866905E-4</c:v>
                </c:pt>
                <c:pt idx="1101">
                  <c:v>-1.3355118749748519E-3</c:v>
                </c:pt>
                <c:pt idx="1102">
                  <c:v>6.157464223780054E-3</c:v>
                </c:pt>
                <c:pt idx="1103">
                  <c:v>1.6340136259399916E-2</c:v>
                </c:pt>
                <c:pt idx="1104">
                  <c:v>7.171075479662131E-3</c:v>
                </c:pt>
                <c:pt idx="1105">
                  <c:v>-4.6056261696971742E-4</c:v>
                </c:pt>
                <c:pt idx="1106">
                  <c:v>1.1050598414795689E-2</c:v>
                </c:pt>
                <c:pt idx="1107">
                  <c:v>4.4156781195177509E-3</c:v>
                </c:pt>
                <c:pt idx="1108">
                  <c:v>3.966679284189983E-3</c:v>
                </c:pt>
                <c:pt idx="1109">
                  <c:v>7.4803501201451501E-3</c:v>
                </c:pt>
                <c:pt idx="1110">
                  <c:v>-2.3650396183539E-3</c:v>
                </c:pt>
                <c:pt idx="1111">
                  <c:v>-6.5180108138390156E-3</c:v>
                </c:pt>
                <c:pt idx="1112">
                  <c:v>4.0507630418259036E-3</c:v>
                </c:pt>
                <c:pt idx="1113">
                  <c:v>1.376080887807259E-2</c:v>
                </c:pt>
                <c:pt idx="1114">
                  <c:v>5.1411090475375178E-3</c:v>
                </c:pt>
                <c:pt idx="1115">
                  <c:v>8.5275894513885467E-3</c:v>
                </c:pt>
                <c:pt idx="1116">
                  <c:v>1.1057895190601718E-2</c:v>
                </c:pt>
                <c:pt idx="1117">
                  <c:v>-4.2056058930445735E-3</c:v>
                </c:pt>
                <c:pt idx="1118">
                  <c:v>-1.3390957514982845E-2</c:v>
                </c:pt>
                <c:pt idx="1119">
                  <c:v>-4.3500627619891827E-3</c:v>
                </c:pt>
                <c:pt idx="1120">
                  <c:v>-5.1608564438508754E-3</c:v>
                </c:pt>
                <c:pt idx="1121">
                  <c:v>-8.5349465454917506E-3</c:v>
                </c:pt>
                <c:pt idx="1122">
                  <c:v>2.1831374047235692E-2</c:v>
                </c:pt>
                <c:pt idx="1123">
                  <c:v>-4.9599807343085897E-3</c:v>
                </c:pt>
                <c:pt idx="1124">
                  <c:v>-8.3195494513595668E-3</c:v>
                </c:pt>
                <c:pt idx="1125">
                  <c:v>-2.0537544455060787E-3</c:v>
                </c:pt>
                <c:pt idx="1126">
                  <c:v>1.0825458764466934E-2</c:v>
                </c:pt>
                <c:pt idx="1127">
                  <c:v>-8.653670636519074E-3</c:v>
                </c:pt>
                <c:pt idx="1128">
                  <c:v>1.6681339760309839E-3</c:v>
                </c:pt>
                <c:pt idx="1129">
                  <c:v>-1.7885194881091455E-3</c:v>
                </c:pt>
                <c:pt idx="1130">
                  <c:v>5.8303737499326054E-3</c:v>
                </c:pt>
                <c:pt idx="1131">
                  <c:v>1.5678758861266062E-3</c:v>
                </c:pt>
                <c:pt idx="1132">
                  <c:v>-4.6126629027089579E-3</c:v>
                </c:pt>
                <c:pt idx="1133">
                  <c:v>9.948736471131021E-3</c:v>
                </c:pt>
                <c:pt idx="1134">
                  <c:v>1.7922999673746685E-2</c:v>
                </c:pt>
                <c:pt idx="1135">
                  <c:v>-1.015928494055799E-2</c:v>
                </c:pt>
                <c:pt idx="1136">
                  <c:v>1.9667628129835829E-2</c:v>
                </c:pt>
                <c:pt idx="1137">
                  <c:v>-1.69915092114277E-2</c:v>
                </c:pt>
                <c:pt idx="1138">
                  <c:v>-2.8619274738285335E-3</c:v>
                </c:pt>
                <c:pt idx="1139">
                  <c:v>-3.5828146008385696E-3</c:v>
                </c:pt>
                <c:pt idx="1140">
                  <c:v>2.1761689940646397E-3</c:v>
                </c:pt>
                <c:pt idx="1141">
                  <c:v>1.3330542539351528E-3</c:v>
                </c:pt>
                <c:pt idx="1142">
                  <c:v>-2.3940926544150431E-2</c:v>
                </c:pt>
                <c:pt idx="1143">
                  <c:v>-4.4729319059375657E-3</c:v>
                </c:pt>
                <c:pt idx="1144">
                  <c:v>3.9954602332372396E-3</c:v>
                </c:pt>
                <c:pt idx="1145">
                  <c:v>3.014050815143735E-3</c:v>
                </c:pt>
                <c:pt idx="1146">
                  <c:v>1.1269604383480217E-2</c:v>
                </c:pt>
                <c:pt idx="1147">
                  <c:v>3.9625177393212739E-3</c:v>
                </c:pt>
                <c:pt idx="1148">
                  <c:v>-1.5978328860683264E-2</c:v>
                </c:pt>
                <c:pt idx="1149">
                  <c:v>1.3225342900314912E-2</c:v>
                </c:pt>
                <c:pt idx="1150">
                  <c:v>2.0209267670376761E-3</c:v>
                </c:pt>
                <c:pt idx="1151">
                  <c:v>2.2346492470096763E-2</c:v>
                </c:pt>
                <c:pt idx="1152">
                  <c:v>2.3570024703270884E-2</c:v>
                </c:pt>
                <c:pt idx="1153">
                  <c:v>-2.0871708297781139E-2</c:v>
                </c:pt>
                <c:pt idx="1154">
                  <c:v>-1.2012551865085385E-2</c:v>
                </c:pt>
                <c:pt idx="1155">
                  <c:v>-1.8382257461257826E-2</c:v>
                </c:pt>
                <c:pt idx="1156">
                  <c:v>-1.7154133037795501E-2</c:v>
                </c:pt>
                <c:pt idx="1157">
                  <c:v>1.2341831768831711E-2</c:v>
                </c:pt>
                <c:pt idx="1158">
                  <c:v>-1.9112545325273966E-2</c:v>
                </c:pt>
                <c:pt idx="1159">
                  <c:v>4.275277296909144E-3</c:v>
                </c:pt>
                <c:pt idx="1160">
                  <c:v>8.133628024914916E-3</c:v>
                </c:pt>
                <c:pt idx="1161">
                  <c:v>-5.9215061936089101E-3</c:v>
                </c:pt>
                <c:pt idx="1162">
                  <c:v>-2.1885922565605732E-3</c:v>
                </c:pt>
                <c:pt idx="1163">
                  <c:v>1.329377650036662E-2</c:v>
                </c:pt>
                <c:pt idx="1164">
                  <c:v>-8.0074351474728311E-3</c:v>
                </c:pt>
                <c:pt idx="1165">
                  <c:v>-3.5147060233549779E-3</c:v>
                </c:pt>
                <c:pt idx="1166">
                  <c:v>-7.3032049000976811E-3</c:v>
                </c:pt>
                <c:pt idx="1167">
                  <c:v>1.8401594703739634E-3</c:v>
                </c:pt>
                <c:pt idx="1168">
                  <c:v>-1.3372351348589049E-2</c:v>
                </c:pt>
                <c:pt idx="1169">
                  <c:v>-2.1296002918838497E-3</c:v>
                </c:pt>
                <c:pt idx="1170">
                  <c:v>1.0616792152940816E-2</c:v>
                </c:pt>
                <c:pt idx="1171">
                  <c:v>1.238267425421901E-2</c:v>
                </c:pt>
                <c:pt idx="1172">
                  <c:v>-5.3665662661065653E-3</c:v>
                </c:pt>
                <c:pt idx="1173">
                  <c:v>-1.2622552513930517E-2</c:v>
                </c:pt>
                <c:pt idx="1174">
                  <c:v>-6.5302946324097429E-4</c:v>
                </c:pt>
                <c:pt idx="1175">
                  <c:v>-1.0080932120226742E-3</c:v>
                </c:pt>
                <c:pt idx="1176">
                  <c:v>-3.9210511111740839E-3</c:v>
                </c:pt>
                <c:pt idx="1177">
                  <c:v>-5.9317806868969031E-4</c:v>
                </c:pt>
                <c:pt idx="1178">
                  <c:v>7.5845302975461517E-3</c:v>
                </c:pt>
                <c:pt idx="1179">
                  <c:v>7.1762405010329959E-3</c:v>
                </c:pt>
                <c:pt idx="1180">
                  <c:v>-2.9554468914235726E-3</c:v>
                </c:pt>
                <c:pt idx="1181">
                  <c:v>4.7543595347663047E-3</c:v>
                </c:pt>
                <c:pt idx="1182">
                  <c:v>-6.2869512828001147E-3</c:v>
                </c:pt>
                <c:pt idx="1183">
                  <c:v>3.6889104546422805E-3</c:v>
                </c:pt>
                <c:pt idx="1184">
                  <c:v>4.3339168592706843E-3</c:v>
                </c:pt>
                <c:pt idx="1185">
                  <c:v>4.7876473466055783E-3</c:v>
                </c:pt>
                <c:pt idx="1186">
                  <c:v>-2.5317248479159752E-3</c:v>
                </c:pt>
                <c:pt idx="1187">
                  <c:v>6.7325000317446128E-3</c:v>
                </c:pt>
                <c:pt idx="1188">
                  <c:v>-4.9297184533637576E-3</c:v>
                </c:pt>
                <c:pt idx="1189">
                  <c:v>3.8609844405936076E-3</c:v>
                </c:pt>
                <c:pt idx="1190">
                  <c:v>-4.4484117480568615E-3</c:v>
                </c:pt>
                <c:pt idx="1191">
                  <c:v>-1.268772009171657E-3</c:v>
                </c:pt>
                <c:pt idx="1192">
                  <c:v>-2.2262017063279711E-3</c:v>
                </c:pt>
                <c:pt idx="1193">
                  <c:v>3.7001840510569269E-3</c:v>
                </c:pt>
                <c:pt idx="1194">
                  <c:v>6.9425958581239384E-3</c:v>
                </c:pt>
                <c:pt idx="1195">
                  <c:v>-1.0715301108284176E-3</c:v>
                </c:pt>
                <c:pt idx="1196">
                  <c:v>6.8321345855530922E-3</c:v>
                </c:pt>
                <c:pt idx="1197">
                  <c:v>4.2326804924190152E-3</c:v>
                </c:pt>
                <c:pt idx="1198">
                  <c:v>1.1265065084479544E-2</c:v>
                </c:pt>
                <c:pt idx="1199">
                  <c:v>-8.0628449870495081E-4</c:v>
                </c:pt>
                <c:pt idx="1200">
                  <c:v>5.6635789966421862E-3</c:v>
                </c:pt>
                <c:pt idx="1201">
                  <c:v>1.552769053771229E-2</c:v>
                </c:pt>
                <c:pt idx="1202">
                  <c:v>1.3873517099074429E-3</c:v>
                </c:pt>
                <c:pt idx="1203">
                  <c:v>1.0153841530162005E-2</c:v>
                </c:pt>
                <c:pt idx="1204">
                  <c:v>-9.5875650382787284E-3</c:v>
                </c:pt>
                <c:pt idx="1205">
                  <c:v>5.9311183213307224E-3</c:v>
                </c:pt>
                <c:pt idx="1206">
                  <c:v>7.6372143326285625E-3</c:v>
                </c:pt>
                <c:pt idx="1207">
                  <c:v>4.2128382960890422E-3</c:v>
                </c:pt>
                <c:pt idx="1208">
                  <c:v>-9.8495953270613876E-3</c:v>
                </c:pt>
                <c:pt idx="1209">
                  <c:v>-9.3000659571038959E-3</c:v>
                </c:pt>
                <c:pt idx="1210">
                  <c:v>-5.9725786894095523E-4</c:v>
                </c:pt>
                <c:pt idx="1211">
                  <c:v>9.3749589196910794E-3</c:v>
                </c:pt>
                <c:pt idx="1212">
                  <c:v>2.5282745953605947E-3</c:v>
                </c:pt>
                <c:pt idx="1213">
                  <c:v>-3.5547362353366337E-4</c:v>
                </c:pt>
                <c:pt idx="1214">
                  <c:v>1.8738466964866623E-2</c:v>
                </c:pt>
                <c:pt idx="1215">
                  <c:v>3.8895339272309194E-3</c:v>
                </c:pt>
                <c:pt idx="1216">
                  <c:v>2.4123288700154386E-3</c:v>
                </c:pt>
                <c:pt idx="1217">
                  <c:v>2.428638409112394E-3</c:v>
                </c:pt>
                <c:pt idx="1218">
                  <c:v>-3.2126084314703697E-4</c:v>
                </c:pt>
                <c:pt idx="1219">
                  <c:v>-2.1723884663681931E-3</c:v>
                </c:pt>
                <c:pt idx="1220">
                  <c:v>3.7880769753984005E-3</c:v>
                </c:pt>
                <c:pt idx="1221">
                  <c:v>4.8397021180011186E-4</c:v>
                </c:pt>
                <c:pt idx="1222">
                  <c:v>8.6909313200178619E-3</c:v>
                </c:pt>
                <c:pt idx="1223">
                  <c:v>1.4523183281136325E-2</c:v>
                </c:pt>
                <c:pt idx="1224">
                  <c:v>6.4138364191125424E-3</c:v>
                </c:pt>
                <c:pt idx="1225">
                  <c:v>-5.4578205811553438E-3</c:v>
                </c:pt>
                <c:pt idx="1226">
                  <c:v>1.6184744336763542E-2</c:v>
                </c:pt>
                <c:pt idx="1227">
                  <c:v>1.2898310629108992E-2</c:v>
                </c:pt>
                <c:pt idx="1228">
                  <c:v>5.824509771268741E-3</c:v>
                </c:pt>
                <c:pt idx="1229">
                  <c:v>-1.380191394370054E-2</c:v>
                </c:pt>
                <c:pt idx="1230">
                  <c:v>-8.7201257008388319E-3</c:v>
                </c:pt>
                <c:pt idx="1231">
                  <c:v>6.4248332764400742E-4</c:v>
                </c:pt>
                <c:pt idx="1232">
                  <c:v>-3.3946109812713408E-3</c:v>
                </c:pt>
                <c:pt idx="1233">
                  <c:v>3.6519173677160891E-3</c:v>
                </c:pt>
                <c:pt idx="1234">
                  <c:v>-1.5923351002665447E-3</c:v>
                </c:pt>
                <c:pt idx="1235">
                  <c:v>1.1832992107630022E-4</c:v>
                </c:pt>
                <c:pt idx="1236">
                  <c:v>-1.5359494258364302E-2</c:v>
                </c:pt>
                <c:pt idx="1237">
                  <c:v>1.0757404372214647E-3</c:v>
                </c:pt>
                <c:pt idx="1238">
                  <c:v>9.0479020714966454E-3</c:v>
                </c:pt>
                <c:pt idx="1239">
                  <c:v>1.2872066682362983E-3</c:v>
                </c:pt>
                <c:pt idx="1240">
                  <c:v>-8.2707389344871558E-3</c:v>
                </c:pt>
                <c:pt idx="1241">
                  <c:v>1.9595372221212767E-2</c:v>
                </c:pt>
                <c:pt idx="1242">
                  <c:v>-4.9139247961012275E-3</c:v>
                </c:pt>
                <c:pt idx="1243">
                  <c:v>3.4994214078581075E-2</c:v>
                </c:pt>
                <c:pt idx="1244">
                  <c:v>-1.9449959887685511E-2</c:v>
                </c:pt>
                <c:pt idx="1245">
                  <c:v>-3.153578592784205E-2</c:v>
                </c:pt>
                <c:pt idx="1246">
                  <c:v>-4.7114881096365522E-3</c:v>
                </c:pt>
                <c:pt idx="1247">
                  <c:v>-1.119796265131549E-2</c:v>
                </c:pt>
                <c:pt idx="1248">
                  <c:v>1.4163475985072485E-2</c:v>
                </c:pt>
                <c:pt idx="1249">
                  <c:v>1.6257668264925526E-3</c:v>
                </c:pt>
                <c:pt idx="1250">
                  <c:v>-8.1110518317639643E-3</c:v>
                </c:pt>
                <c:pt idx="1251">
                  <c:v>1.4145224039702448E-2</c:v>
                </c:pt>
                <c:pt idx="1252">
                  <c:v>1.5280302487570169E-2</c:v>
                </c:pt>
                <c:pt idx="1253">
                  <c:v>4.3857661658370222E-3</c:v>
                </c:pt>
                <c:pt idx="1254">
                  <c:v>2.3841677088405088E-3</c:v>
                </c:pt>
                <c:pt idx="1255">
                  <c:v>-1.8881888308400251E-3</c:v>
                </c:pt>
                <c:pt idx="1256">
                  <c:v>3.439926392274154E-3</c:v>
                </c:pt>
                <c:pt idx="1257">
                  <c:v>-5.0522484308559816E-3</c:v>
                </c:pt>
                <c:pt idx="1258">
                  <c:v>-1.4427270853314713E-2</c:v>
                </c:pt>
                <c:pt idx="1259">
                  <c:v>1.1022802910866426E-2</c:v>
                </c:pt>
                <c:pt idx="1260">
                  <c:v>1.2638908545955969E-2</c:v>
                </c:pt>
                <c:pt idx="1261">
                  <c:v>1.8464772073233337E-2</c:v>
                </c:pt>
                <c:pt idx="1262">
                  <c:v>1.4078966597197986E-3</c:v>
                </c:pt>
                <c:pt idx="1263">
                  <c:v>-2.4914881972746772E-2</c:v>
                </c:pt>
                <c:pt idx="1264">
                  <c:v>-1.490009568079384E-2</c:v>
                </c:pt>
                <c:pt idx="1265">
                  <c:v>2.5988699450943138E-3</c:v>
                </c:pt>
                <c:pt idx="1266">
                  <c:v>-1.5359539621535133E-2</c:v>
                </c:pt>
                <c:pt idx="1267">
                  <c:v>1.1374550667080751E-2</c:v>
                </c:pt>
                <c:pt idx="1268">
                  <c:v>-2.3027618130208774E-2</c:v>
                </c:pt>
                <c:pt idx="1269">
                  <c:v>-2.5149277490487554E-3</c:v>
                </c:pt>
                <c:pt idx="1270">
                  <c:v>-1.6689647069723851E-3</c:v>
                </c:pt>
                <c:pt idx="1271">
                  <c:v>1.1319922034783727E-3</c:v>
                </c:pt>
                <c:pt idx="1272">
                  <c:v>-8.1855867566205612E-3</c:v>
                </c:pt>
                <c:pt idx="1273">
                  <c:v>-7.7786582020461861E-3</c:v>
                </c:pt>
                <c:pt idx="1274">
                  <c:v>4.0156127021860992E-3</c:v>
                </c:pt>
                <c:pt idx="1275">
                  <c:v>1.2411818851775071E-3</c:v>
                </c:pt>
                <c:pt idx="1276">
                  <c:v>-1.5146498806746691E-3</c:v>
                </c:pt>
                <c:pt idx="1277">
                  <c:v>-4.3471503699274586E-3</c:v>
                </c:pt>
                <c:pt idx="1278">
                  <c:v>1.5047964210284436E-5</c:v>
                </c:pt>
                <c:pt idx="1279">
                  <c:v>-2.735926147814584E-3</c:v>
                </c:pt>
                <c:pt idx="1280">
                  <c:v>1.4875452885078704E-2</c:v>
                </c:pt>
                <c:pt idx="1281">
                  <c:v>8.8269220646608167E-4</c:v>
                </c:pt>
                <c:pt idx="1282">
                  <c:v>-7.3425817014711329E-3</c:v>
                </c:pt>
                <c:pt idx="1283">
                  <c:v>6.49049330128739E-3</c:v>
                </c:pt>
                <c:pt idx="1284">
                  <c:v>-3.9136619298660354E-3</c:v>
                </c:pt>
                <c:pt idx="1285">
                  <c:v>8.4441560086865874E-3</c:v>
                </c:pt>
                <c:pt idx="1286">
                  <c:v>1.1058972972110684E-2</c:v>
                </c:pt>
                <c:pt idx="1287">
                  <c:v>6.4783258369489997E-3</c:v>
                </c:pt>
                <c:pt idx="1288">
                  <c:v>1.3325630075052971E-3</c:v>
                </c:pt>
                <c:pt idx="1289">
                  <c:v>-6.2606585764939928E-4</c:v>
                </c:pt>
                <c:pt idx="1290">
                  <c:v>5.367990624187205E-3</c:v>
                </c:pt>
                <c:pt idx="1291">
                  <c:v>1.4140732765787969E-2</c:v>
                </c:pt>
                <c:pt idx="1292">
                  <c:v>1.2316280845974916E-2</c:v>
                </c:pt>
                <c:pt idx="1293">
                  <c:v>4.568468857509304E-3</c:v>
                </c:pt>
                <c:pt idx="1294">
                  <c:v>-6.1943562030725065E-3</c:v>
                </c:pt>
                <c:pt idx="1295">
                  <c:v>-7.1116007800944327E-3</c:v>
                </c:pt>
                <c:pt idx="1296">
                  <c:v>-7.4407705950703905E-4</c:v>
                </c:pt>
                <c:pt idx="1297">
                  <c:v>1.5330550190043501E-3</c:v>
                </c:pt>
                <c:pt idx="1298">
                  <c:v>-4.1756492931129575E-3</c:v>
                </c:pt>
                <c:pt idx="1299">
                  <c:v>-4.507676441534921E-3</c:v>
                </c:pt>
                <c:pt idx="1300">
                  <c:v>-2.1196203569355167E-3</c:v>
                </c:pt>
                <c:pt idx="1301">
                  <c:v>1.6144153190448832E-2</c:v>
                </c:pt>
                <c:pt idx="1302">
                  <c:v>-2.8711189119875842E-3</c:v>
                </c:pt>
                <c:pt idx="1303">
                  <c:v>-3.3966437385537932E-3</c:v>
                </c:pt>
                <c:pt idx="1304">
                  <c:v>7.1043192074374904E-3</c:v>
                </c:pt>
                <c:pt idx="1305">
                  <c:v>7.7104181605664058E-3</c:v>
                </c:pt>
                <c:pt idx="1306">
                  <c:v>-7.3734168246528788E-3</c:v>
                </c:pt>
                <c:pt idx="1307">
                  <c:v>1.5618807064162464E-2</c:v>
                </c:pt>
                <c:pt idx="1308">
                  <c:v>1.0870508419063046E-2</c:v>
                </c:pt>
                <c:pt idx="1309">
                  <c:v>5.4106852490481468E-3</c:v>
                </c:pt>
                <c:pt idx="1310">
                  <c:v>1.0625266213793439E-2</c:v>
                </c:pt>
                <c:pt idx="1311">
                  <c:v>1.6314246953144092E-2</c:v>
                </c:pt>
                <c:pt idx="1312">
                  <c:v>7.8263440435304111E-4</c:v>
                </c:pt>
                <c:pt idx="1313">
                  <c:v>-5.9886876230174427E-3</c:v>
                </c:pt>
                <c:pt idx="1314">
                  <c:v>2.7665555004720895E-3</c:v>
                </c:pt>
                <c:pt idx="1315">
                  <c:v>1.3210955371989843E-3</c:v>
                </c:pt>
                <c:pt idx="1316">
                  <c:v>8.5644982635005949E-3</c:v>
                </c:pt>
                <c:pt idx="1317">
                  <c:v>8.9026264923742476E-3</c:v>
                </c:pt>
                <c:pt idx="1318">
                  <c:v>8.790036159625909E-3</c:v>
                </c:pt>
                <c:pt idx="1319">
                  <c:v>-1.801322729868057E-3</c:v>
                </c:pt>
                <c:pt idx="1320">
                  <c:v>3.4586276853520348E-3</c:v>
                </c:pt>
                <c:pt idx="1321">
                  <c:v>1.1831038065343247E-2</c:v>
                </c:pt>
                <c:pt idx="1322">
                  <c:v>1.3344522478866987E-3</c:v>
                </c:pt>
                <c:pt idx="1323">
                  <c:v>1.2530645142764099E-2</c:v>
                </c:pt>
                <c:pt idx="1324">
                  <c:v>9.0898939455833529E-3</c:v>
                </c:pt>
                <c:pt idx="1325">
                  <c:v>4.8456414083324056E-3</c:v>
                </c:pt>
                <c:pt idx="1326">
                  <c:v>4.3190881500243198E-3</c:v>
                </c:pt>
                <c:pt idx="1327">
                  <c:v>2.0927332411233828E-3</c:v>
                </c:pt>
                <c:pt idx="1328">
                  <c:v>2.5443250545078518E-3</c:v>
                </c:pt>
                <c:pt idx="1329">
                  <c:v>1.3581171532558476E-2</c:v>
                </c:pt>
                <c:pt idx="1330">
                  <c:v>7.0247909706333579E-3</c:v>
                </c:pt>
                <c:pt idx="1331">
                  <c:v>7.1394708641763609E-3</c:v>
                </c:pt>
                <c:pt idx="1332">
                  <c:v>6.8188229891577154E-3</c:v>
                </c:pt>
                <c:pt idx="1333">
                  <c:v>-9.5496795177856704E-3</c:v>
                </c:pt>
                <c:pt idx="1334">
                  <c:v>-5.2741919048199617E-4</c:v>
                </c:pt>
                <c:pt idx="1335">
                  <c:v>9.3274866974609686E-3</c:v>
                </c:pt>
                <c:pt idx="1336">
                  <c:v>8.9410728928607155E-3</c:v>
                </c:pt>
                <c:pt idx="1337">
                  <c:v>-3.0086598479121471E-3</c:v>
                </c:pt>
                <c:pt idx="1338">
                  <c:v>-9.1238417569016496E-3</c:v>
                </c:pt>
                <c:pt idx="1339">
                  <c:v>-5.0101237186618089E-3</c:v>
                </c:pt>
                <c:pt idx="1340">
                  <c:v>5.7535201544678862E-3</c:v>
                </c:pt>
                <c:pt idx="1341">
                  <c:v>-2.2669766815596553E-2</c:v>
                </c:pt>
                <c:pt idx="1342">
                  <c:v>-1.4788243646626342E-2</c:v>
                </c:pt>
                <c:pt idx="1343">
                  <c:v>1.8109184407963704E-3</c:v>
                </c:pt>
                <c:pt idx="1344">
                  <c:v>7.5130158949075158E-3</c:v>
                </c:pt>
                <c:pt idx="1345">
                  <c:v>1.554839383623994E-3</c:v>
                </c:pt>
                <c:pt idx="1346">
                  <c:v>1.1619945258311296E-2</c:v>
                </c:pt>
                <c:pt idx="1347">
                  <c:v>6.7712230494155626E-3</c:v>
                </c:pt>
                <c:pt idx="1348">
                  <c:v>-8.1982080972238594E-3</c:v>
                </c:pt>
                <c:pt idx="1349">
                  <c:v>-1.9268746703183284E-4</c:v>
                </c:pt>
                <c:pt idx="1350">
                  <c:v>1.1347961332045197E-2</c:v>
                </c:pt>
                <c:pt idx="1351">
                  <c:v>2.6742325580298137E-3</c:v>
                </c:pt>
                <c:pt idx="1352">
                  <c:v>6.9982804784746696E-3</c:v>
                </c:pt>
                <c:pt idx="1353">
                  <c:v>-4.1726993336508094E-3</c:v>
                </c:pt>
                <c:pt idx="1354">
                  <c:v>-2.8350142531666871E-3</c:v>
                </c:pt>
                <c:pt idx="1355">
                  <c:v>-6.6085943343615356E-3</c:v>
                </c:pt>
                <c:pt idx="1356">
                  <c:v>1.0459408779241683E-2</c:v>
                </c:pt>
                <c:pt idx="1357">
                  <c:v>-5.9797114412851373E-3</c:v>
                </c:pt>
                <c:pt idx="1358">
                  <c:v>6.017766655129886E-3</c:v>
                </c:pt>
                <c:pt idx="1359">
                  <c:v>3.3199735019458195E-3</c:v>
                </c:pt>
                <c:pt idx="1360">
                  <c:v>2.6789258822571328E-3</c:v>
                </c:pt>
                <c:pt idx="1361">
                  <c:v>9.5911553341730595E-3</c:v>
                </c:pt>
                <c:pt idx="1362">
                  <c:v>4.8395304873883769E-4</c:v>
                </c:pt>
                <c:pt idx="1363">
                  <c:v>-1.0950583951074328E-3</c:v>
                </c:pt>
                <c:pt idx="1364">
                  <c:v>-1.2571683381670662E-2</c:v>
                </c:pt>
                <c:pt idx="1365">
                  <c:v>-7.7831302262982459E-3</c:v>
                </c:pt>
                <c:pt idx="1366">
                  <c:v>2.2440312483783943E-3</c:v>
                </c:pt>
                <c:pt idx="1367">
                  <c:v>-5.7165237438012361E-3</c:v>
                </c:pt>
                <c:pt idx="1368">
                  <c:v>2.873441893624756E-2</c:v>
                </c:pt>
                <c:pt idx="1369">
                  <c:v>1.859867743420876E-2</c:v>
                </c:pt>
                <c:pt idx="1370">
                  <c:v>7.3904743278341541E-3</c:v>
                </c:pt>
                <c:pt idx="1371">
                  <c:v>-1.4991291328089162E-2</c:v>
                </c:pt>
                <c:pt idx="1372">
                  <c:v>-1.3530860559688861E-3</c:v>
                </c:pt>
                <c:pt idx="1373">
                  <c:v>1.190849128409952E-2</c:v>
                </c:pt>
                <c:pt idx="1374">
                  <c:v>1.2768780516690806E-3</c:v>
                </c:pt>
                <c:pt idx="1375">
                  <c:v>-3.2144216432111967E-2</c:v>
                </c:pt>
                <c:pt idx="1376">
                  <c:v>2.0340626763722877E-2</c:v>
                </c:pt>
                <c:pt idx="1377">
                  <c:v>4.7953906642502063E-2</c:v>
                </c:pt>
                <c:pt idx="1378">
                  <c:v>3.4180216086095428E-3</c:v>
                </c:pt>
                <c:pt idx="1379">
                  <c:v>6.1144607722298109E-3</c:v>
                </c:pt>
                <c:pt idx="1380">
                  <c:v>-3.1224167426295191E-2</c:v>
                </c:pt>
                <c:pt idx="1381">
                  <c:v>6.1531599727364271E-3</c:v>
                </c:pt>
                <c:pt idx="1382">
                  <c:v>2.7962366412484823E-2</c:v>
                </c:pt>
                <c:pt idx="1383">
                  <c:v>-8.3338803229426276E-3</c:v>
                </c:pt>
                <c:pt idx="1384">
                  <c:v>2.1334798383866059E-2</c:v>
                </c:pt>
                <c:pt idx="1385">
                  <c:v>-3.2972200498453737E-2</c:v>
                </c:pt>
                <c:pt idx="1386">
                  <c:v>2.7259827448310219E-2</c:v>
                </c:pt>
                <c:pt idx="1387">
                  <c:v>4.3283014020742527E-2</c:v>
                </c:pt>
                <c:pt idx="1388">
                  <c:v>9.3713556171858593E-3</c:v>
                </c:pt>
                <c:pt idx="1389">
                  <c:v>4.3115411804210753E-2</c:v>
                </c:pt>
                <c:pt idx="1390">
                  <c:v>-3.0658597765814378E-3</c:v>
                </c:pt>
                <c:pt idx="1391">
                  <c:v>3.089316101396546E-2</c:v>
                </c:pt>
                <c:pt idx="1392">
                  <c:v>-4.542754149070731E-2</c:v>
                </c:pt>
                <c:pt idx="1393">
                  <c:v>-6.8560729451883878E-2</c:v>
                </c:pt>
                <c:pt idx="1394">
                  <c:v>1.7842118591442371E-2</c:v>
                </c:pt>
                <c:pt idx="1395">
                  <c:v>-9.4101633841342826E-3</c:v>
                </c:pt>
                <c:pt idx="1396">
                  <c:v>-6.7476614138731045E-2</c:v>
                </c:pt>
                <c:pt idx="1397">
                  <c:v>-3.1704997875903577E-2</c:v>
                </c:pt>
                <c:pt idx="1398">
                  <c:v>-6.5887743172102123E-2</c:v>
                </c:pt>
                <c:pt idx="1399">
                  <c:v>2.8976527038499663E-3</c:v>
                </c:pt>
                <c:pt idx="1400">
                  <c:v>-4.55644256866609E-2</c:v>
                </c:pt>
                <c:pt idx="1401">
                  <c:v>-5.9688426414118299E-4</c:v>
                </c:pt>
                <c:pt idx="1402">
                  <c:v>1.7183433421616181E-2</c:v>
                </c:pt>
                <c:pt idx="1403">
                  <c:v>-3.0369702302505523E-2</c:v>
                </c:pt>
                <c:pt idx="1404">
                  <c:v>-2.9516955795410717E-2</c:v>
                </c:pt>
                <c:pt idx="1405">
                  <c:v>1.2227037196965001E-2</c:v>
                </c:pt>
                <c:pt idx="1406">
                  <c:v>-7.4816937281120361E-3</c:v>
                </c:pt>
                <c:pt idx="1407">
                  <c:v>-2.4587556589297874E-3</c:v>
                </c:pt>
                <c:pt idx="1408">
                  <c:v>3.4559107320471301E-2</c:v>
                </c:pt>
                <c:pt idx="1409">
                  <c:v>-2.7226909113058383E-3</c:v>
                </c:pt>
                <c:pt idx="1410">
                  <c:v>-6.5472335388631177E-3</c:v>
                </c:pt>
                <c:pt idx="1411">
                  <c:v>-1.3384990909313043E-2</c:v>
                </c:pt>
                <c:pt idx="1412">
                  <c:v>-7.2880126651191923E-3</c:v>
                </c:pt>
                <c:pt idx="1413">
                  <c:v>-2.7466122324854941E-2</c:v>
                </c:pt>
                <c:pt idx="1414">
                  <c:v>-5.7416137929160562E-3</c:v>
                </c:pt>
                <c:pt idx="1415">
                  <c:v>-2.2888748899554537E-3</c:v>
                </c:pt>
                <c:pt idx="1416">
                  <c:v>9.9356943996753797E-3</c:v>
                </c:pt>
                <c:pt idx="1417">
                  <c:v>-1.6874875444982214E-3</c:v>
                </c:pt>
                <c:pt idx="1418">
                  <c:v>-5.2447829018792101E-3</c:v>
                </c:pt>
                <c:pt idx="1419">
                  <c:v>-1.867453485752681E-3</c:v>
                </c:pt>
                <c:pt idx="1420">
                  <c:v>2.0563542850639244E-2</c:v>
                </c:pt>
                <c:pt idx="1421">
                  <c:v>1.0630918117806382E-2</c:v>
                </c:pt>
                <c:pt idx="1422">
                  <c:v>-2.109749417279903E-2</c:v>
                </c:pt>
                <c:pt idx="1423">
                  <c:v>-1.4261225638382632E-2</c:v>
                </c:pt>
                <c:pt idx="1424">
                  <c:v>-3.9095739802001142E-3</c:v>
                </c:pt>
                <c:pt idx="1425">
                  <c:v>1.1751479483228959E-2</c:v>
                </c:pt>
                <c:pt idx="1426">
                  <c:v>-2.9342599518531288E-2</c:v>
                </c:pt>
                <c:pt idx="1427">
                  <c:v>-6.5047056917188961E-3</c:v>
                </c:pt>
                <c:pt idx="1428">
                  <c:v>1.1480069787379914E-4</c:v>
                </c:pt>
                <c:pt idx="1429">
                  <c:v>-9.4680300024658909E-3</c:v>
                </c:pt>
                <c:pt idx="1430">
                  <c:v>-5.6427913716350971E-3</c:v>
                </c:pt>
                <c:pt idx="1431">
                  <c:v>-2.2001720262433996E-3</c:v>
                </c:pt>
                <c:pt idx="1432">
                  <c:v>2.9661031901842346E-3</c:v>
                </c:pt>
                <c:pt idx="1433">
                  <c:v>-1.2762777050590764E-3</c:v>
                </c:pt>
                <c:pt idx="1434">
                  <c:v>-1.5298002556159082E-3</c:v>
                </c:pt>
                <c:pt idx="1435">
                  <c:v>-2.8340752458088131E-3</c:v>
                </c:pt>
                <c:pt idx="1436">
                  <c:v>-9.7327242060453768E-3</c:v>
                </c:pt>
                <c:pt idx="1437">
                  <c:v>2.3840650549980902E-3</c:v>
                </c:pt>
                <c:pt idx="1438">
                  <c:v>1.676318231117921E-3</c:v>
                </c:pt>
                <c:pt idx="1439">
                  <c:v>-4.9531280087689884E-3</c:v>
                </c:pt>
                <c:pt idx="1440">
                  <c:v>-2.6909666586216979E-4</c:v>
                </c:pt>
                <c:pt idx="1441">
                  <c:v>2.6893759236039816E-4</c:v>
                </c:pt>
                <c:pt idx="1442">
                  <c:v>1.6084915788065236E-2</c:v>
                </c:pt>
                <c:pt idx="1443">
                  <c:v>2.8181304699793751E-2</c:v>
                </c:pt>
                <c:pt idx="1444">
                  <c:v>-1.305135227816993E-2</c:v>
                </c:pt>
                <c:pt idx="1445">
                  <c:v>1.4728459540142232E-2</c:v>
                </c:pt>
                <c:pt idx="1446">
                  <c:v>-2.4267011315280352E-2</c:v>
                </c:pt>
                <c:pt idx="1447">
                  <c:v>-3.7066191847791594E-3</c:v>
                </c:pt>
                <c:pt idx="1448">
                  <c:v>2.6105314009661883E-2</c:v>
                </c:pt>
                <c:pt idx="1449">
                  <c:v>1.6323031647415404E-2</c:v>
                </c:pt>
                <c:pt idx="1450">
                  <c:v>-3.7307135998622776E-3</c:v>
                </c:pt>
                <c:pt idx="1451">
                  <c:v>9.5694998081947589E-4</c:v>
                </c:pt>
                <c:pt idx="145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5E-4210-B1B1-124DD1F66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434640"/>
        <c:axId val="1933433552"/>
      </c:scatterChart>
      <c:valAx>
        <c:axId val="193343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Index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%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433552"/>
        <c:crosses val="autoZero"/>
        <c:crossBetween val="midCat"/>
      </c:valAx>
      <c:valAx>
        <c:axId val="193343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company return</a:t>
                </a:r>
              </a:p>
            </c:rich>
          </c:tx>
          <c:layout>
            <c:manualLayout>
              <c:xMode val="edge"/>
              <c:yMode val="edge"/>
              <c:x val="6.0538356160212504E-2"/>
              <c:y val="0.320267288229946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%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434640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sheet6!$E$15</c:f>
              <c:strCache>
                <c:ptCount val="1"/>
                <c:pt idx="0">
                  <c:v>Required Return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9525" cap="flat" cmpd="sng" algn="ctr">
                <a:solidFill>
                  <a:srgbClr val="F79646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7254-4FCB-B337-945E0CFD4D54}"/>
              </c:ext>
            </c:extLst>
          </c:dPt>
          <c:trendline>
            <c:spPr>
              <a:ln w="9525" cap="rnd">
                <a:solidFill>
                  <a:schemeClr val="accent6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sheet6!$D$16:$D$21</c:f>
              <c:numCache>
                <c:formatCode>0.000</c:formatCode>
                <c:ptCount val="6"/>
                <c:pt idx="0">
                  <c:v>0.67435377338311397</c:v>
                </c:pt>
                <c:pt idx="1">
                  <c:v>0.56470357415118699</c:v>
                </c:pt>
                <c:pt idx="2">
                  <c:v>0.68599054726402375</c:v>
                </c:pt>
                <c:pt idx="3">
                  <c:v>5.5777467070034564E-3</c:v>
                </c:pt>
                <c:pt idx="4" formatCode="General">
                  <c:v>0</c:v>
                </c:pt>
                <c:pt idx="5" formatCode="General">
                  <c:v>1</c:v>
                </c:pt>
              </c:numCache>
            </c:numRef>
          </c:xVal>
          <c:yVal>
            <c:numRef>
              <c:f>sheet6!$E$16:$E$21</c:f>
              <c:numCache>
                <c:formatCode>0.00%</c:formatCode>
                <c:ptCount val="6"/>
                <c:pt idx="0">
                  <c:v>0.24747103395868578</c:v>
                </c:pt>
                <c:pt idx="1">
                  <c:v>0.22656533127640024</c:v>
                </c:pt>
                <c:pt idx="2">
                  <c:v>0.24968967958486218</c:v>
                </c:pt>
                <c:pt idx="3">
                  <c:v>0.11996344279454588</c:v>
                </c:pt>
                <c:pt idx="4">
                  <c:v>0.11890000000000001</c:v>
                </c:pt>
                <c:pt idx="5">
                  <c:v>0.3095581367724356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54-4FCB-B337-945E0CFD4D54}"/>
            </c:ext>
          </c:extLst>
        </c:ser>
        <c:ser>
          <c:idx val="1"/>
          <c:order val="1"/>
          <c:tx>
            <c:strRef>
              <c:f>sheet6!$F$15</c:f>
              <c:strCache>
                <c:ptCount val="1"/>
                <c:pt idx="0">
                  <c:v>Actual Return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>
                <a:gsLst>
                  <a:gs pos="0">
                    <a:schemeClr val="accent5">
                      <a:tint val="50000"/>
                    </a:schemeClr>
                  </a:gs>
                  <a:gs pos="35000">
                    <a:schemeClr val="accent5">
                      <a:tint val="37000"/>
                    </a:schemeClr>
                  </a:gs>
                  <a:gs pos="100000">
                    <a:schemeClr val="accent5">
                      <a:tint val="15000"/>
                    </a:schemeClr>
                  </a:gs>
                </a:gsLst>
                <a:lin ang="16200000" scaled="1"/>
                <a:tileRect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gradFill>
                  <a:gsLst>
                    <a:gs pos="0">
                      <a:schemeClr val="accent5">
                        <a:tint val="50000"/>
                      </a:schemeClr>
                    </a:gs>
                    <a:gs pos="35000">
                      <a:schemeClr val="accent5">
                        <a:tint val="37000"/>
                      </a:schemeClr>
                    </a:gs>
                    <a:gs pos="100000">
                      <a:schemeClr val="accent5">
                        <a:tint val="15000"/>
                      </a:schemeClr>
                    </a:gs>
                  </a:gsLst>
                  <a:lin ang="16200000" scaled="1"/>
                  <a:tileRect/>
                </a:gradFill>
                <a:ln w="9525" cap="flat" cmpd="sng" algn="ctr">
                  <a:solidFill>
                    <a:schemeClr val="accent5">
                      <a:shade val="95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9525" cap="flat" cmpd="sng" algn="ctr">
                <a:solidFill>
                  <a:srgbClr val="E46C0A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7254-4FCB-B337-945E0CFD4D54}"/>
              </c:ext>
            </c:extLst>
          </c:dPt>
          <c:xVal>
            <c:numRef>
              <c:f>sheet6!$D$16:$D$21</c:f>
              <c:numCache>
                <c:formatCode>0.000</c:formatCode>
                <c:ptCount val="6"/>
                <c:pt idx="0">
                  <c:v>0.67435377338311397</c:v>
                </c:pt>
                <c:pt idx="1">
                  <c:v>0.56470357415118699</c:v>
                </c:pt>
                <c:pt idx="2">
                  <c:v>0.68599054726402375</c:v>
                </c:pt>
                <c:pt idx="3">
                  <c:v>5.5777467070034564E-3</c:v>
                </c:pt>
                <c:pt idx="4" formatCode="General">
                  <c:v>0</c:v>
                </c:pt>
                <c:pt idx="5" formatCode="General">
                  <c:v>1</c:v>
                </c:pt>
              </c:numCache>
            </c:numRef>
          </c:xVal>
          <c:yVal>
            <c:numRef>
              <c:f>sheet6!$F$16:$F$21</c:f>
              <c:numCache>
                <c:formatCode>0.00%</c:formatCode>
                <c:ptCount val="6"/>
                <c:pt idx="0">
                  <c:v>0.14465255209860262</c:v>
                </c:pt>
                <c:pt idx="1">
                  <c:v>0.12799845042668512</c:v>
                </c:pt>
                <c:pt idx="2">
                  <c:v>0.28992933055822201</c:v>
                </c:pt>
                <c:pt idx="3">
                  <c:v>3.4318268354565529E-2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54-4FCB-B337-945E0CFD4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434096"/>
        <c:axId val="1933446064"/>
      </c:scatterChart>
      <c:valAx>
        <c:axId val="1933434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446064"/>
        <c:crosses val="autoZero"/>
        <c:crossBetween val="midCat"/>
      </c:valAx>
      <c:valAx>
        <c:axId val="193344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43409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156576</xdr:colOff>
      <xdr:row>15</xdr:row>
      <xdr:rowOff>510324</xdr:rowOff>
    </xdr:to>
    <xdr:pic>
      <xdr:nvPicPr>
        <xdr:cNvPr id="3" name="Picture 2" descr="File:COMSATS new logo.jpg - Wikimedia Commons">
          <a:extLst>
            <a:ext uri="{FF2B5EF4-FFF2-40B4-BE49-F238E27FC236}">
              <a16:creationId xmlns:a16="http://schemas.microsoft.com/office/drawing/2014/main" id="{7A99A4B2-9A45-4028-8831-57DBCFE27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1" cy="3772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94059</xdr:colOff>
      <xdr:row>2</xdr:row>
      <xdr:rowOff>22058</xdr:rowOff>
    </xdr:from>
    <xdr:to>
      <xdr:col>30</xdr:col>
      <xdr:colOff>334210</xdr:colOff>
      <xdr:row>26</xdr:row>
      <xdr:rowOff>142373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71C676AD-A646-048A-CC6C-80C6E36BEA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396411</xdr:colOff>
      <xdr:row>2</xdr:row>
      <xdr:rowOff>124855</xdr:rowOff>
    </xdr:from>
    <xdr:to>
      <xdr:col>15</xdr:col>
      <xdr:colOff>302794</xdr:colOff>
      <xdr:row>26</xdr:row>
      <xdr:rowOff>127668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9B210FF6-5176-F7FD-260A-6754821EBB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385123</xdr:colOff>
      <xdr:row>29</xdr:row>
      <xdr:rowOff>17169</xdr:rowOff>
    </xdr:from>
    <xdr:to>
      <xdr:col>15</xdr:col>
      <xdr:colOff>584869</xdr:colOff>
      <xdr:row>50</xdr:row>
      <xdr:rowOff>87118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78D0F18F-CE29-4F94-654E-1272BF527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164032</xdr:colOff>
      <xdr:row>28</xdr:row>
      <xdr:rowOff>106544</xdr:rowOff>
    </xdr:from>
    <xdr:to>
      <xdr:col>30</xdr:col>
      <xdr:colOff>384343</xdr:colOff>
      <xdr:row>50</xdr:row>
      <xdr:rowOff>33422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B7C16403-B0F9-FDE6-2498-F641A2655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1259419</xdr:colOff>
      <xdr:row>27</xdr:row>
      <xdr:rowOff>184620</xdr:rowOff>
    </xdr:from>
    <xdr:to>
      <xdr:col>7</xdr:col>
      <xdr:colOff>305353</xdr:colOff>
      <xdr:row>42</xdr:row>
      <xdr:rowOff>178643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69D0D2-9AAE-088A-96B3-D92AC87F1B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AppData/Local/Packages/5319275A.WhatsAppDesktop_cv1g1gvanyjgm/LocalState/sessions/452FDF7C09022FC86988FC1B1D06FC96F3E4F97C/transfers/2026-17/Lucky_Core_FM_A3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ucky Core Industries"/>
    </sheetNames>
    <sheetDataSet>
      <sheetData sheetId="0">
        <row r="4">
          <cell r="D4">
            <v>1.546192500966429E-3</v>
          </cell>
          <cell r="E4">
            <v>-6.700312870003452E-3</v>
          </cell>
        </row>
        <row r="5">
          <cell r="D5">
            <v>1.8911617136240819E-2</v>
          </cell>
          <cell r="E5">
            <v>1.4596980822273301E-4</v>
          </cell>
        </row>
        <row r="6">
          <cell r="D6">
            <v>-1.0101010101010065E-2</v>
          </cell>
          <cell r="E6">
            <v>2.7030035829292545E-2</v>
          </cell>
        </row>
        <row r="7">
          <cell r="D7">
            <v>4.2091836734693654E-3</v>
          </cell>
          <cell r="E7">
            <v>1.2709271207186236E-2</v>
          </cell>
        </row>
        <row r="8">
          <cell r="D8">
            <v>-2.3498031246031027E-3</v>
          </cell>
          <cell r="E8">
            <v>-3.3495934959348996E-3</v>
          </cell>
        </row>
        <row r="9">
          <cell r="D9">
            <v>1.3368132917436371E-3</v>
          </cell>
          <cell r="E9">
            <v>4.3315179787927118E-3</v>
          </cell>
        </row>
        <row r="10">
          <cell r="D10">
            <v>-1.6973935155753437E-2</v>
          </cell>
          <cell r="E10">
            <v>-1.0539704499429804E-3</v>
          </cell>
        </row>
        <row r="11">
          <cell r="D11">
            <v>1.532690939662423E-2</v>
          </cell>
          <cell r="E11">
            <v>9.3080297922512167E-3</v>
          </cell>
        </row>
        <row r="12">
          <cell r="D12">
            <v>-1.5222929936305645E-2</v>
          </cell>
          <cell r="E12">
            <v>5.1156294124586037E-3</v>
          </cell>
        </row>
        <row r="13">
          <cell r="D13">
            <v>-4.3981631201087043E-3</v>
          </cell>
          <cell r="E13">
            <v>-8.6390804098633381E-3</v>
          </cell>
        </row>
        <row r="14">
          <cell r="D14">
            <v>-4.5475216007277138E-3</v>
          </cell>
          <cell r="E14">
            <v>-7.1425042918691847E-4</v>
          </cell>
        </row>
        <row r="15">
          <cell r="D15">
            <v>-9.1365920511640253E-4</v>
          </cell>
          <cell r="E15">
            <v>1.5954075908377224E-3</v>
          </cell>
        </row>
        <row r="16">
          <cell r="D16">
            <v>-2.0249526422366076E-3</v>
          </cell>
          <cell r="E16">
            <v>6.0364061923599607E-3</v>
          </cell>
        </row>
        <row r="17">
          <cell r="D17">
            <v>-1.2436182746432629E-3</v>
          </cell>
          <cell r="E17">
            <v>9.0643861220111883E-3</v>
          </cell>
        </row>
        <row r="18">
          <cell r="D18">
            <v>4.7185267710859093E-3</v>
          </cell>
          <cell r="E18">
            <v>3.9005358349825593E-3</v>
          </cell>
        </row>
        <row r="19">
          <cell r="D19">
            <v>7.1097775748483688E-3</v>
          </cell>
          <cell r="E19">
            <v>5.7743987757706656E-3</v>
          </cell>
        </row>
        <row r="20">
          <cell r="D20">
            <v>-2.5906735751295702E-3</v>
          </cell>
          <cell r="E20">
            <v>-6.0512554741783283E-4</v>
          </cell>
        </row>
        <row r="21">
          <cell r="D21">
            <v>-6.4935064935064939E-3</v>
          </cell>
          <cell r="E21">
            <v>3.8572171510684442E-3</v>
          </cell>
        </row>
        <row r="22">
          <cell r="D22">
            <v>-3.5294117647058304E-3</v>
          </cell>
          <cell r="E22">
            <v>5.0544172464732987E-3</v>
          </cell>
        </row>
        <row r="23">
          <cell r="D23">
            <v>-1.5741833923652701E-3</v>
          </cell>
          <cell r="E23">
            <v>-4.2511407555896342E-4</v>
          </cell>
        </row>
        <row r="24">
          <cell r="D24">
            <v>-8.4088818814873293E-3</v>
          </cell>
          <cell r="E24">
            <v>4.7380853406987292E-3</v>
          </cell>
        </row>
        <row r="25">
          <cell r="D25">
            <v>-6.0288856499271012E-3</v>
          </cell>
          <cell r="E25">
            <v>7.6763157997937811E-3</v>
          </cell>
        </row>
        <row r="26">
          <cell r="D26">
            <v>-1.3463973871892356E-2</v>
          </cell>
          <cell r="E26">
            <v>1.2202552446676474E-2</v>
          </cell>
        </row>
        <row r="27">
          <cell r="D27">
            <v>-4.8645361799878311E-3</v>
          </cell>
          <cell r="E27">
            <v>-2.6123175180508265E-3</v>
          </cell>
        </row>
        <row r="28">
          <cell r="D28">
            <v>-6.7893271776766923E-3</v>
          </cell>
          <cell r="E28">
            <v>-4.1664177047575244E-3</v>
          </cell>
        </row>
        <row r="29">
          <cell r="D29">
            <v>1.0253605851391462E-3</v>
          </cell>
          <cell r="E29">
            <v>-1.0775958531672861E-2</v>
          </cell>
        </row>
        <row r="30">
          <cell r="D30">
            <v>6.8287353182128554E-5</v>
          </cell>
          <cell r="E30">
            <v>-1.3716222743709233E-2</v>
          </cell>
        </row>
        <row r="31">
          <cell r="D31">
            <v>-2.4581768521678747E-3</v>
          </cell>
          <cell r="E31">
            <v>6.6891448383979485E-3</v>
          </cell>
        </row>
        <row r="32">
          <cell r="D32">
            <v>4.7915668423573728E-3</v>
          </cell>
          <cell r="E32">
            <v>-1.2850931169062351E-3</v>
          </cell>
        </row>
        <row r="33">
          <cell r="D33">
            <v>-6.7443286327405188E-3</v>
          </cell>
          <cell r="E33">
            <v>-9.1579270083860223E-4</v>
          </cell>
        </row>
        <row r="34">
          <cell r="D34">
            <v>-2.0576131687243576E-4</v>
          </cell>
          <cell r="E34">
            <v>-5.0139506820811989E-4</v>
          </cell>
        </row>
        <row r="35">
          <cell r="D35">
            <v>-5.0764903615284976E-3</v>
          </cell>
          <cell r="E35">
            <v>-6.5997030627610795E-3</v>
          </cell>
        </row>
        <row r="36">
          <cell r="D36">
            <v>-1.0066882713921312E-2</v>
          </cell>
          <cell r="E36">
            <v>-6.5242033273934606E-3</v>
          </cell>
        </row>
        <row r="37">
          <cell r="D37">
            <v>-3.1273943024308568E-2</v>
          </cell>
          <cell r="E37">
            <v>8.0664072716041917E-3</v>
          </cell>
        </row>
        <row r="38">
          <cell r="D38">
            <v>-8.7719298245613943E-3</v>
          </cell>
          <cell r="E38">
            <v>-5.1805663344370806E-3</v>
          </cell>
        </row>
        <row r="39">
          <cell r="D39">
            <v>8.3417960249526843E-3</v>
          </cell>
          <cell r="E39">
            <v>-1.3620921615814081E-3</v>
          </cell>
        </row>
        <row r="40">
          <cell r="D40">
            <v>-7.193727069988422E-5</v>
          </cell>
          <cell r="E40">
            <v>-1.0229375004529338E-2</v>
          </cell>
        </row>
        <row r="41">
          <cell r="D41">
            <v>-1.9784172661870502E-2</v>
          </cell>
          <cell r="E41">
            <v>-1.9822863705945434E-2</v>
          </cell>
        </row>
        <row r="42">
          <cell r="D42">
            <v>-2.7889908256880399E-3</v>
          </cell>
          <cell r="E42">
            <v>-3.3223712426589565E-3</v>
          </cell>
        </row>
        <row r="43">
          <cell r="D43">
            <v>1.6191948185765722E-3</v>
          </cell>
          <cell r="E43">
            <v>9.353446348651288E-3</v>
          </cell>
        </row>
        <row r="44">
          <cell r="D44">
            <v>-2.3807774267029239E-2</v>
          </cell>
          <cell r="E44">
            <v>1.2403404464518994E-2</v>
          </cell>
        </row>
        <row r="45">
          <cell r="D45">
            <v>6.0971019947309172E-3</v>
          </cell>
          <cell r="E45">
            <v>5.3296731506427683E-3</v>
          </cell>
        </row>
        <row r="46">
          <cell r="D46">
            <v>-5.0127188388447369E-3</v>
          </cell>
          <cell r="E46">
            <v>-1.5403874339805978E-3</v>
          </cell>
        </row>
        <row r="47">
          <cell r="D47">
            <v>-5.2635536506505523E-3</v>
          </cell>
          <cell r="E47">
            <v>-3.0338755473562368E-3</v>
          </cell>
        </row>
        <row r="48">
          <cell r="D48">
            <v>2.2677451054502334E-3</v>
          </cell>
          <cell r="E48">
            <v>-6.9247702063025517E-3</v>
          </cell>
        </row>
        <row r="49">
          <cell r="D49">
            <v>3.0394449053473119E-2</v>
          </cell>
          <cell r="E49">
            <v>-8.7511865649040274E-3</v>
          </cell>
        </row>
        <row r="50">
          <cell r="D50">
            <v>-5.489679402722881E-3</v>
          </cell>
          <cell r="E50">
            <v>-6.7059937771876102E-4</v>
          </cell>
        </row>
        <row r="51">
          <cell r="D51">
            <v>-8.8319717376907742E-4</v>
          </cell>
          <cell r="E51">
            <v>-7.095859096072491E-4</v>
          </cell>
        </row>
        <row r="52">
          <cell r="D52">
            <v>1.841620626151013E-3</v>
          </cell>
          <cell r="E52">
            <v>8.3400841566944289E-4</v>
          </cell>
        </row>
        <row r="53">
          <cell r="D53">
            <v>-1.4705882352940341E-3</v>
          </cell>
          <cell r="E53">
            <v>-3.0907605218021585E-3</v>
          </cell>
        </row>
        <row r="54">
          <cell r="D54">
            <v>-6.1119293078056884E-3</v>
          </cell>
          <cell r="E54">
            <v>-1.2926512956789833E-2</v>
          </cell>
        </row>
        <row r="55">
          <cell r="D55">
            <v>-5.9272430910573565E-3</v>
          </cell>
          <cell r="E55">
            <v>7.9729657412037653E-3</v>
          </cell>
        </row>
        <row r="56">
          <cell r="D56">
            <v>-1.5428188119549775E-2</v>
          </cell>
          <cell r="E56">
            <v>-1.6732979612492209E-3</v>
          </cell>
        </row>
        <row r="57">
          <cell r="D57">
            <v>-4.9205147615443276E-3</v>
          </cell>
          <cell r="E57">
            <v>-4.2298177637300561E-3</v>
          </cell>
        </row>
        <row r="58">
          <cell r="D58">
            <v>-1.9018638265500192E-2</v>
          </cell>
          <cell r="E58">
            <v>3.8338182052177414E-3</v>
          </cell>
        </row>
        <row r="59">
          <cell r="D59">
            <v>-2.1326095385808343E-2</v>
          </cell>
          <cell r="E59">
            <v>-1.046432472651857E-2</v>
          </cell>
        </row>
        <row r="60">
          <cell r="D60">
            <v>8.4786053882725289E-3</v>
          </cell>
          <cell r="E60">
            <v>5.2577247666189654E-3</v>
          </cell>
        </row>
        <row r="61">
          <cell r="D61">
            <v>2.3729079908855158E-2</v>
          </cell>
          <cell r="E61">
            <v>1.658999304184584E-2</v>
          </cell>
        </row>
        <row r="62">
          <cell r="D62">
            <v>8.7497121805204924E-3</v>
          </cell>
          <cell r="E62">
            <v>-1.0575128814287611E-2</v>
          </cell>
        </row>
        <row r="63">
          <cell r="D63">
            <v>1.0804230388800027E-2</v>
          </cell>
          <cell r="E63">
            <v>2.5001977799364102E-3</v>
          </cell>
        </row>
        <row r="64">
          <cell r="D64">
            <v>-6.172374858863329E-3</v>
          </cell>
          <cell r="E64">
            <v>-7.6195350295761325E-3</v>
          </cell>
        </row>
        <row r="65">
          <cell r="D65">
            <v>-1.6814360372642573E-2</v>
          </cell>
          <cell r="E65">
            <v>-8.3123777045145449E-3</v>
          </cell>
        </row>
        <row r="66">
          <cell r="D66">
            <v>-7.7035667513988945E-5</v>
          </cell>
          <cell r="E66">
            <v>-3.4782809877886638E-4</v>
          </cell>
        </row>
        <row r="67">
          <cell r="D67">
            <v>-1.2326656394454931E-3</v>
          </cell>
          <cell r="E67">
            <v>-1.3325951797342707E-2</v>
          </cell>
        </row>
        <row r="68">
          <cell r="D68">
            <v>-1.2496143165689418E-2</v>
          </cell>
          <cell r="E68">
            <v>1.5193472884041256E-4</v>
          </cell>
        </row>
        <row r="69">
          <cell r="D69">
            <v>-4.9992188720513571E-3</v>
          </cell>
          <cell r="E69">
            <v>-1.5988034692356105E-2</v>
          </cell>
        </row>
        <row r="70">
          <cell r="D70">
            <v>-4.2392840320300837E-3</v>
          </cell>
          <cell r="E70">
            <v>5.6351364271241024E-3</v>
          </cell>
        </row>
        <row r="71">
          <cell r="D71">
            <v>-5.5187637969095144E-3</v>
          </cell>
          <cell r="E71">
            <v>-1.483033786453373E-2</v>
          </cell>
        </row>
        <row r="72">
          <cell r="D72">
            <v>5.0737276042492514E-3</v>
          </cell>
          <cell r="E72">
            <v>5.6950211212236784E-3</v>
          </cell>
        </row>
        <row r="73">
          <cell r="D73">
            <v>-6.3101435557657594E-4</v>
          </cell>
          <cell r="E73">
            <v>1.4956925750061793E-2</v>
          </cell>
        </row>
        <row r="74">
          <cell r="D74">
            <v>-3.078137332280983E-3</v>
          </cell>
          <cell r="E74">
            <v>4.4515126331523226E-3</v>
          </cell>
        </row>
        <row r="75">
          <cell r="D75">
            <v>-7.4420077586889221E-3</v>
          </cell>
          <cell r="E75">
            <v>-3.2564456987081046E-3</v>
          </cell>
        </row>
        <row r="76">
          <cell r="D76">
            <v>-4.1477227406876462E-3</v>
          </cell>
          <cell r="E76">
            <v>-1.6836467867513531E-2</v>
          </cell>
        </row>
        <row r="77">
          <cell r="D77">
            <v>9.6115338406090956E-4</v>
          </cell>
          <cell r="E77">
            <v>1.6132205176400147E-3</v>
          </cell>
        </row>
        <row r="78">
          <cell r="D78">
            <v>1.3603264783548189E-3</v>
          </cell>
          <cell r="E78">
            <v>1.3055846675500792E-2</v>
          </cell>
        </row>
        <row r="79">
          <cell r="D79">
            <v>1.0148633530445868E-2</v>
          </cell>
          <cell r="E79">
            <v>-1.0478791026713941E-2</v>
          </cell>
        </row>
        <row r="80">
          <cell r="D80">
            <v>-1.42393797959022E-2</v>
          </cell>
          <cell r="E80">
            <v>-1.3486103210991243E-2</v>
          </cell>
        </row>
        <row r="81">
          <cell r="D81">
            <v>7.2225343070382326E-4</v>
          </cell>
          <cell r="E81">
            <v>2.7529919077640902E-3</v>
          </cell>
        </row>
        <row r="82">
          <cell r="D82">
            <v>-2.9671210906175183E-3</v>
          </cell>
          <cell r="E82">
            <v>7.9930419060793966E-3</v>
          </cell>
        </row>
        <row r="83">
          <cell r="D83">
            <v>1.2868977720582046E-3</v>
          </cell>
          <cell r="E83">
            <v>9.0933723013052921E-3</v>
          </cell>
        </row>
        <row r="84">
          <cell r="D84">
            <v>1.2290143786649541E-2</v>
          </cell>
          <cell r="E84">
            <v>-2.8106175413668065E-3</v>
          </cell>
        </row>
        <row r="85">
          <cell r="D85">
            <v>4.0707824154896127E-2</v>
          </cell>
          <cell r="E85">
            <v>-6.5313087167568999E-3</v>
          </cell>
        </row>
        <row r="86">
          <cell r="D86">
            <v>-1.7460922607701043E-2</v>
          </cell>
          <cell r="E86">
            <v>-6.437776407633362E-3</v>
          </cell>
        </row>
        <row r="87">
          <cell r="D87">
            <v>-7.8379636815149711E-3</v>
          </cell>
          <cell r="E87">
            <v>-1.1619905312601674E-2</v>
          </cell>
        </row>
        <row r="88">
          <cell r="D88">
            <v>3.1286664059449555E-4</v>
          </cell>
          <cell r="E88">
            <v>-1.4326902979961462E-2</v>
          </cell>
        </row>
        <row r="89">
          <cell r="D89">
            <v>-2.5959809211040796E-2</v>
          </cell>
          <cell r="E89">
            <v>7.2011508360242404E-4</v>
          </cell>
        </row>
        <row r="90">
          <cell r="D90">
            <v>8.0276149955854962E-4</v>
          </cell>
          <cell r="E90">
            <v>-1.6727821176243392E-2</v>
          </cell>
        </row>
        <row r="91">
          <cell r="D91">
            <v>-2.4223951231250471E-2</v>
          </cell>
          <cell r="E91">
            <v>-4.2069323188819712E-3</v>
          </cell>
        </row>
        <row r="92">
          <cell r="D92">
            <v>-3.4525277435265241E-3</v>
          </cell>
          <cell r="E92">
            <v>-4.9046023176116411E-3</v>
          </cell>
        </row>
        <row r="93">
          <cell r="D93">
            <v>-1.8807225934174717E-2</v>
          </cell>
          <cell r="E93">
            <v>-2.3508973967156323E-2</v>
          </cell>
        </row>
        <row r="94">
          <cell r="D94">
            <v>3.0937368642286613E-2</v>
          </cell>
          <cell r="E94">
            <v>-4.5102739261332391E-4</v>
          </cell>
        </row>
        <row r="95">
          <cell r="D95">
            <v>-4.9498491396884885E-2</v>
          </cell>
          <cell r="E95">
            <v>2.538874767633969E-3</v>
          </cell>
        </row>
        <row r="96">
          <cell r="D96">
            <v>-8.7508579272477342E-3</v>
          </cell>
          <cell r="E96">
            <v>-2.3681880373682115E-2</v>
          </cell>
        </row>
        <row r="97">
          <cell r="D97">
            <v>-1.5319369915180977E-2</v>
          </cell>
          <cell r="E97">
            <v>2.5302548164388848E-3</v>
          </cell>
        </row>
        <row r="98">
          <cell r="D98">
            <v>-4.1838797574052837E-2</v>
          </cell>
          <cell r="E98">
            <v>5.7611094436360328E-3</v>
          </cell>
        </row>
        <row r="99">
          <cell r="D99">
            <v>-1.1650307311255942E-2</v>
          </cell>
          <cell r="E99">
            <v>3.573459800670415E-2</v>
          </cell>
        </row>
        <row r="100">
          <cell r="D100">
            <v>-4.2695377761276573E-3</v>
          </cell>
          <cell r="E100">
            <v>2.7259756434855682E-2</v>
          </cell>
        </row>
        <row r="101">
          <cell r="D101">
            <v>-9.973900074571284E-3</v>
          </cell>
          <cell r="E101">
            <v>3.4419726744411867E-3</v>
          </cell>
        </row>
        <row r="102">
          <cell r="D102">
            <v>-5.8374917616042781E-3</v>
          </cell>
          <cell r="E102">
            <v>-1.8037290698093712E-4</v>
          </cell>
        </row>
        <row r="103">
          <cell r="D103">
            <v>9.6600056823562454E-3</v>
          </cell>
          <cell r="E103">
            <v>-2.0956445810994023E-2</v>
          </cell>
        </row>
        <row r="104">
          <cell r="D104">
            <v>2.5325954413282083E-2</v>
          </cell>
          <cell r="E104">
            <v>2.8903313601882544E-2</v>
          </cell>
        </row>
        <row r="105">
          <cell r="D105">
            <v>-1.3265026072637479E-2</v>
          </cell>
          <cell r="E105">
            <v>4.271480387759367E-4</v>
          </cell>
        </row>
        <row r="106">
          <cell r="D106">
            <v>-1.372149082143523E-2</v>
          </cell>
          <cell r="E106">
            <v>-1.3050805855989708E-2</v>
          </cell>
        </row>
        <row r="107">
          <cell r="D107">
            <v>-9.6822711035909111E-3</v>
          </cell>
          <cell r="E107">
            <v>-2.6411275615549061E-2</v>
          </cell>
        </row>
        <row r="108">
          <cell r="D108">
            <v>-7.498813478879849E-3</v>
          </cell>
          <cell r="E108">
            <v>2.6701342733284721E-3</v>
          </cell>
        </row>
        <row r="109">
          <cell r="D109">
            <v>-5.5470543228768009E-3</v>
          </cell>
          <cell r="E109">
            <v>8.0231160838838533E-3</v>
          </cell>
        </row>
        <row r="110">
          <cell r="D110">
            <v>1.1059819195999148E-2</v>
          </cell>
          <cell r="E110">
            <v>1.3313324515791274E-2</v>
          </cell>
        </row>
        <row r="111">
          <cell r="D111">
            <v>2.473128507562115E-3</v>
          </cell>
          <cell r="E111">
            <v>4.798453919391662E-3</v>
          </cell>
        </row>
        <row r="112">
          <cell r="D112">
            <v>-5.6931397665812159E-3</v>
          </cell>
          <cell r="E112">
            <v>-1.1360598432235657E-2</v>
          </cell>
        </row>
        <row r="113">
          <cell r="D113">
            <v>-8.4931768298501815E-3</v>
          </cell>
          <cell r="E113">
            <v>-1.3850336747152692E-2</v>
          </cell>
        </row>
        <row r="114">
          <cell r="D114">
            <v>-2.9836381135707629E-3</v>
          </cell>
          <cell r="E114">
            <v>-7.381410149207866E-4</v>
          </cell>
        </row>
        <row r="115">
          <cell r="D115">
            <v>1.2742542716478358E-2</v>
          </cell>
          <cell r="E115">
            <v>9.8046174817031113E-3</v>
          </cell>
        </row>
        <row r="116">
          <cell r="D116">
            <v>6.8630254503860349E-3</v>
          </cell>
          <cell r="E116">
            <v>3.6958604591221232E-3</v>
          </cell>
        </row>
        <row r="117">
          <cell r="D117">
            <v>-1.126573889993371E-2</v>
          </cell>
          <cell r="E117">
            <v>-1.8599155877894191E-2</v>
          </cell>
        </row>
        <row r="118">
          <cell r="D118">
            <v>1.2543086939869804E-2</v>
          </cell>
          <cell r="E118">
            <v>-8.1611281056045426E-3</v>
          </cell>
        </row>
        <row r="119">
          <cell r="D119">
            <v>-1.323877068557925E-2</v>
          </cell>
          <cell r="E119">
            <v>-2.9850292273145367E-3</v>
          </cell>
        </row>
        <row r="120">
          <cell r="D120">
            <v>-9.4873023478677047E-3</v>
          </cell>
          <cell r="E120">
            <v>-9.2154083364037499E-3</v>
          </cell>
        </row>
        <row r="121">
          <cell r="D121">
            <v>3.0282507739938038E-2</v>
          </cell>
          <cell r="E121">
            <v>3.7649795318469865E-3</v>
          </cell>
        </row>
        <row r="122">
          <cell r="D122">
            <v>-4.789182082824593E-3</v>
          </cell>
          <cell r="E122">
            <v>2.7948549890595069E-3</v>
          </cell>
        </row>
        <row r="123">
          <cell r="D123">
            <v>-4.5291564446122284E-3</v>
          </cell>
          <cell r="E123">
            <v>9.141574987653044E-3</v>
          </cell>
        </row>
        <row r="124">
          <cell r="D124">
            <v>-1.8009478672985836E-2</v>
          </cell>
          <cell r="E124">
            <v>1.7181278166537559E-2</v>
          </cell>
        </row>
        <row r="125">
          <cell r="D125">
            <v>6.0810810810811751E-3</v>
          </cell>
          <cell r="E125">
            <v>-9.3398917658049363E-3</v>
          </cell>
        </row>
        <row r="126">
          <cell r="D126">
            <v>-3.1660750263839419E-3</v>
          </cell>
          <cell r="E126">
            <v>-1.1009348400462757E-2</v>
          </cell>
        </row>
        <row r="127">
          <cell r="D127">
            <v>-7.8922040423484822E-3</v>
          </cell>
          <cell r="E127">
            <v>-1.3083935019634283E-2</v>
          </cell>
        </row>
        <row r="128">
          <cell r="D128">
            <v>-8.7310826542494574E-4</v>
          </cell>
          <cell r="E128">
            <v>3.345910876077462E-3</v>
          </cell>
        </row>
        <row r="129">
          <cell r="D129">
            <v>9.7096805515148229E-5</v>
          </cell>
          <cell r="E129">
            <v>-4.5871315747651747E-4</v>
          </cell>
        </row>
        <row r="130">
          <cell r="D130">
            <v>0</v>
          </cell>
          <cell r="E130">
            <v>1.0446202059393689E-3</v>
          </cell>
        </row>
        <row r="131">
          <cell r="D131">
            <v>0</v>
          </cell>
          <cell r="E131">
            <v>-5.9898923702746973E-3</v>
          </cell>
        </row>
        <row r="132">
          <cell r="D132">
            <v>-9.7087378640826362E-5</v>
          </cell>
          <cell r="E132">
            <v>-2.1208410782808145E-2</v>
          </cell>
        </row>
        <row r="133">
          <cell r="D133">
            <v>9.7096805515148229E-5</v>
          </cell>
          <cell r="E133">
            <v>7.1726891667815349E-4</v>
          </cell>
        </row>
        <row r="134">
          <cell r="D134">
            <v>0</v>
          </cell>
          <cell r="E134">
            <v>-2.0388399850948872E-2</v>
          </cell>
        </row>
        <row r="135">
          <cell r="D135">
            <v>-8.0582524271844494E-3</v>
          </cell>
          <cell r="E135">
            <v>4.6187596604594051E-3</v>
          </cell>
        </row>
        <row r="136">
          <cell r="D136">
            <v>0</v>
          </cell>
          <cell r="E136">
            <v>3.8750698193430878E-3</v>
          </cell>
        </row>
        <row r="137">
          <cell r="D137">
            <v>-1.6638935108153246E-3</v>
          </cell>
          <cell r="E137">
            <v>4.0304377381305484E-3</v>
          </cell>
        </row>
        <row r="138">
          <cell r="D138">
            <v>0</v>
          </cell>
          <cell r="E138">
            <v>-9.6124573143072899E-3</v>
          </cell>
        </row>
        <row r="139">
          <cell r="D139">
            <v>0</v>
          </cell>
          <cell r="E139">
            <v>1.3888288777645409E-3</v>
          </cell>
        </row>
        <row r="140">
          <cell r="D140">
            <v>-9.8039215686324664E-5</v>
          </cell>
          <cell r="E140">
            <v>-1.0575287242960729E-2</v>
          </cell>
        </row>
        <row r="141">
          <cell r="D141">
            <v>-6.5692714972056254E-3</v>
          </cell>
          <cell r="E141">
            <v>-1.1495402181771541E-2</v>
          </cell>
        </row>
        <row r="142">
          <cell r="D142">
            <v>-5.0335570469797761E-3</v>
          </cell>
          <cell r="E142">
            <v>-2.3983566010582448E-3</v>
          </cell>
        </row>
        <row r="143">
          <cell r="D143">
            <v>-1.0911615911119873E-3</v>
          </cell>
          <cell r="E143">
            <v>8.8558638352498695E-3</v>
          </cell>
        </row>
        <row r="144">
          <cell r="D144">
            <v>-7.2492552135055011E-3</v>
          </cell>
          <cell r="E144">
            <v>-3.1112939626431499E-3</v>
          </cell>
        </row>
        <row r="145">
          <cell r="D145">
            <v>-3.7011103330999756E-3</v>
          </cell>
          <cell r="E145">
            <v>-2.0676143271592746E-2</v>
          </cell>
        </row>
        <row r="146">
          <cell r="D146">
            <v>-6.0240963855421117E-3</v>
          </cell>
          <cell r="E146">
            <v>-5.7769524835796712E-3</v>
          </cell>
        </row>
        <row r="147">
          <cell r="D147">
            <v>-1.1616161616161674E-2</v>
          </cell>
          <cell r="E147">
            <v>-2.3329173208191875E-2</v>
          </cell>
        </row>
        <row r="148">
          <cell r="D148">
            <v>-3.3725089422585564E-2</v>
          </cell>
          <cell r="E148">
            <v>-1.7817550685411129E-2</v>
          </cell>
        </row>
        <row r="149">
          <cell r="D149">
            <v>-7.2977260708619544E-3</v>
          </cell>
          <cell r="E149">
            <v>-1.0387726402398545E-2</v>
          </cell>
        </row>
        <row r="150">
          <cell r="D150">
            <v>-9.1625825697847791E-3</v>
          </cell>
          <cell r="E150">
            <v>-2.2577675747143852E-2</v>
          </cell>
        </row>
        <row r="151">
          <cell r="D151">
            <v>5.1612903225806877E-3</v>
          </cell>
          <cell r="E151">
            <v>2.7735103841071387E-2</v>
          </cell>
        </row>
        <row r="152">
          <cell r="D152">
            <v>1.6474112109542062E-2</v>
          </cell>
          <cell r="E152">
            <v>2.8982742278879842E-2</v>
          </cell>
        </row>
        <row r="153">
          <cell r="D153">
            <v>-8.3140391496526207E-3</v>
          </cell>
          <cell r="E153">
            <v>1.8196719048022888E-2</v>
          </cell>
        </row>
        <row r="154">
          <cell r="D154">
            <v>-4.8816725034490924E-3</v>
          </cell>
          <cell r="E154">
            <v>2.9435552219289559E-2</v>
          </cell>
        </row>
        <row r="155">
          <cell r="D155">
            <v>-9.4913085208488922E-3</v>
          </cell>
          <cell r="E155">
            <v>-1.6761775724530369E-2</v>
          </cell>
        </row>
        <row r="156">
          <cell r="D156">
            <v>-9.2592592592592535E-3</v>
          </cell>
          <cell r="E156">
            <v>-2.6456450891084241E-2</v>
          </cell>
        </row>
        <row r="157">
          <cell r="D157">
            <v>-1.2171267115844276E-2</v>
          </cell>
          <cell r="E157">
            <v>2.1051355477939493E-3</v>
          </cell>
        </row>
        <row r="158">
          <cell r="D158">
            <v>1.2871287128712734E-2</v>
          </cell>
          <cell r="E158">
            <v>1.7283066616315132E-3</v>
          </cell>
        </row>
        <row r="159">
          <cell r="D159">
            <v>-7.2770717932006904E-3</v>
          </cell>
          <cell r="E159">
            <v>-1.5626167882651806E-2</v>
          </cell>
        </row>
        <row r="160">
          <cell r="D160">
            <v>4.3763676148795561E-3</v>
          </cell>
          <cell r="E160">
            <v>-1.6142466451097789E-2</v>
          </cell>
        </row>
        <row r="161">
          <cell r="D161">
            <v>-1.0893246187363835E-2</v>
          </cell>
          <cell r="E161">
            <v>1.2980872280106777E-2</v>
          </cell>
        </row>
        <row r="162">
          <cell r="D162">
            <v>-8.8105726872246392E-3</v>
          </cell>
          <cell r="E162">
            <v>-8.2379349568773696E-3</v>
          </cell>
        </row>
        <row r="163">
          <cell r="D163">
            <v>-1.4111111111111067E-2</v>
          </cell>
          <cell r="E163">
            <v>1.4594252605193992E-2</v>
          </cell>
        </row>
        <row r="164">
          <cell r="D164">
            <v>0</v>
          </cell>
          <cell r="E164">
            <v>-9.9058579792245228E-4</v>
          </cell>
        </row>
        <row r="165">
          <cell r="D165">
            <v>7.4382959540177677E-3</v>
          </cell>
          <cell r="E165">
            <v>8.354523301021332E-3</v>
          </cell>
        </row>
        <row r="166">
          <cell r="D166">
            <v>-2.0807696610359094E-2</v>
          </cell>
          <cell r="E166">
            <v>1.6005080873857821E-2</v>
          </cell>
        </row>
        <row r="167">
          <cell r="D167">
            <v>-3.4273963212614114E-4</v>
          </cell>
          <cell r="E167">
            <v>1.9117533515771168E-2</v>
          </cell>
        </row>
        <row r="168">
          <cell r="D168">
            <v>1.1428571428570779E-3</v>
          </cell>
          <cell r="E168">
            <v>-2.0699529997042243E-3</v>
          </cell>
        </row>
        <row r="169">
          <cell r="D169">
            <v>-2.2831050228309204E-3</v>
          </cell>
          <cell r="E169">
            <v>1.4206524442597781E-2</v>
          </cell>
        </row>
        <row r="170">
          <cell r="D170">
            <v>0</v>
          </cell>
          <cell r="E170">
            <v>-6.1481025602481228E-4</v>
          </cell>
        </row>
        <row r="171">
          <cell r="D171">
            <v>1.1441647597254004E-2</v>
          </cell>
          <cell r="E171">
            <v>-1.1076839955723889E-2</v>
          </cell>
        </row>
        <row r="172">
          <cell r="D172">
            <v>-7.1266968325792946E-3</v>
          </cell>
          <cell r="E172">
            <v>1.9919208935883309E-2</v>
          </cell>
        </row>
        <row r="173">
          <cell r="D173">
            <v>-5.2409707189243907E-3</v>
          </cell>
          <cell r="E173">
            <v>-2.2660306990765389E-3</v>
          </cell>
        </row>
        <row r="174">
          <cell r="D174">
            <v>1.637842171572549E-2</v>
          </cell>
          <cell r="E174">
            <v>-1.1207650936903421E-2</v>
          </cell>
        </row>
        <row r="175">
          <cell r="D175">
            <v>4.7329276538201686E-3</v>
          </cell>
          <cell r="E175">
            <v>2.4575441376880592E-3</v>
          </cell>
        </row>
        <row r="176">
          <cell r="D176">
            <v>4.5087483176312365E-2</v>
          </cell>
          <cell r="E176">
            <v>-8.295202775812506E-3</v>
          </cell>
        </row>
        <row r="177">
          <cell r="D177">
            <v>3.4986048508263479E-2</v>
          </cell>
          <cell r="E177">
            <v>-4.1602764562630725E-3</v>
          </cell>
        </row>
        <row r="178">
          <cell r="D178">
            <v>1.1302364164247236E-2</v>
          </cell>
          <cell r="E178">
            <v>2.0262207445530984E-2</v>
          </cell>
        </row>
        <row r="179">
          <cell r="D179">
            <v>4.8190300420383357E-3</v>
          </cell>
          <cell r="E179">
            <v>2.5069525839843877E-4</v>
          </cell>
        </row>
        <row r="180">
          <cell r="D180">
            <v>1.020408163265306E-2</v>
          </cell>
          <cell r="E180">
            <v>5.4699591787112437E-3</v>
          </cell>
        </row>
        <row r="181">
          <cell r="D181">
            <v>2.0202020202020488E-3</v>
          </cell>
          <cell r="E181">
            <v>3.3803223878227425E-3</v>
          </cell>
        </row>
        <row r="182">
          <cell r="D182">
            <v>-8.7701612903226256E-3</v>
          </cell>
          <cell r="E182">
            <v>1.2016679361067427E-2</v>
          </cell>
        </row>
        <row r="183">
          <cell r="D183">
            <v>-2.8475541543781261E-3</v>
          </cell>
          <cell r="E183">
            <v>8.5817004938591908E-3</v>
          </cell>
        </row>
        <row r="184">
          <cell r="D184">
            <v>1.9887812340642561E-2</v>
          </cell>
          <cell r="E184">
            <v>1.8269432197550835E-2</v>
          </cell>
        </row>
        <row r="185">
          <cell r="D185">
            <v>-2.9999999999999714E-3</v>
          </cell>
          <cell r="E185">
            <v>-4.7626380852885944E-3</v>
          </cell>
        </row>
        <row r="186">
          <cell r="D186">
            <v>-1.3039117352056139E-2</v>
          </cell>
          <cell r="E186">
            <v>1.4075495076861207E-3</v>
          </cell>
        </row>
        <row r="187">
          <cell r="D187">
            <v>0</v>
          </cell>
          <cell r="E187">
            <v>1.5032928903517304E-2</v>
          </cell>
        </row>
        <row r="188">
          <cell r="D188">
            <v>1.3516260162601608E-2</v>
          </cell>
          <cell r="E188">
            <v>1.3165450500621708E-2</v>
          </cell>
        </row>
        <row r="189">
          <cell r="D189">
            <v>-1.5341421838965218E-2</v>
          </cell>
          <cell r="E189">
            <v>-8.3951909301887874E-3</v>
          </cell>
        </row>
        <row r="190">
          <cell r="D190">
            <v>7.1283095723007311E-4</v>
          </cell>
          <cell r="E190">
            <v>-3.0050084449133423E-3</v>
          </cell>
        </row>
        <row r="191">
          <cell r="D191">
            <v>0</v>
          </cell>
          <cell r="E191">
            <v>5.7963479721730021E-3</v>
          </cell>
        </row>
        <row r="192">
          <cell r="D192">
            <v>2.6254197618805316E-2</v>
          </cell>
          <cell r="E192">
            <v>-1.1158630020223945E-2</v>
          </cell>
        </row>
        <row r="193">
          <cell r="D193">
            <v>-2.3797719385225499E-2</v>
          </cell>
          <cell r="E193">
            <v>-8.3808869757288267E-4</v>
          </cell>
        </row>
        <row r="194">
          <cell r="D194">
            <v>0</v>
          </cell>
          <cell r="E194">
            <v>-2.318915032853407E-2</v>
          </cell>
        </row>
        <row r="195">
          <cell r="D195">
            <v>-4.1645505332655822E-3</v>
          </cell>
          <cell r="E195">
            <v>3.4526502105350692E-3</v>
          </cell>
        </row>
        <row r="196">
          <cell r="D196">
            <v>3.1619747042023603E-2</v>
          </cell>
          <cell r="E196">
            <v>7.2511307583130076E-3</v>
          </cell>
        </row>
        <row r="197">
          <cell r="D197">
            <v>-1.1271504844769633E-2</v>
          </cell>
          <cell r="E197">
            <v>9.65290049040529E-3</v>
          </cell>
        </row>
        <row r="198">
          <cell r="D198">
            <v>1.2999999999999972E-2</v>
          </cell>
          <cell r="E198">
            <v>-3.110553490146579E-3</v>
          </cell>
        </row>
        <row r="199">
          <cell r="D199">
            <v>-2.9615004935833874E-3</v>
          </cell>
          <cell r="E199">
            <v>6.0649258737883781E-3</v>
          </cell>
        </row>
        <row r="200">
          <cell r="D200">
            <v>1.9504950495049495E-2</v>
          </cell>
          <cell r="E200">
            <v>-1.8924096594399281E-3</v>
          </cell>
        </row>
        <row r="201">
          <cell r="D201">
            <v>-1.8549091968534492E-2</v>
          </cell>
          <cell r="E201">
            <v>-1.0681260246686382E-3</v>
          </cell>
        </row>
        <row r="202">
          <cell r="D202">
            <v>2.9091628735404686E-2</v>
          </cell>
          <cell r="E202">
            <v>1.3099867570696744E-2</v>
          </cell>
        </row>
        <row r="203">
          <cell r="D203">
            <v>0</v>
          </cell>
          <cell r="E203">
            <v>5.0851253432379288E-3</v>
          </cell>
        </row>
        <row r="204">
          <cell r="D204">
            <v>3.8076923076923015E-2</v>
          </cell>
          <cell r="E204">
            <v>2.6175467113624201E-2</v>
          </cell>
        </row>
        <row r="205">
          <cell r="D205">
            <v>-2.7788069655415825E-4</v>
          </cell>
          <cell r="E205">
            <v>2.2918316681529382E-3</v>
          </cell>
        </row>
        <row r="206">
          <cell r="D206">
            <v>-8.6166960066710527E-3</v>
          </cell>
          <cell r="E206">
            <v>8.3437245728091667E-3</v>
          </cell>
        </row>
        <row r="207">
          <cell r="D207">
            <v>0</v>
          </cell>
          <cell r="E207">
            <v>2.9503555488363934E-3</v>
          </cell>
        </row>
        <row r="208">
          <cell r="D208">
            <v>7.476635514018665E-3</v>
          </cell>
          <cell r="E208">
            <v>6.14231237758181E-3</v>
          </cell>
        </row>
        <row r="209">
          <cell r="D209">
            <v>3.4786641929499075E-2</v>
          </cell>
          <cell r="E209">
            <v>2.2928910205524546E-2</v>
          </cell>
        </row>
        <row r="210">
          <cell r="D210">
            <v>4.4822949350064689E-4</v>
          </cell>
          <cell r="E210">
            <v>-1.0200227698210444E-3</v>
          </cell>
        </row>
        <row r="211">
          <cell r="D211">
            <v>4.8745519713261756E-2</v>
          </cell>
          <cell r="E211">
            <v>1.0917826357058113E-2</v>
          </cell>
        </row>
        <row r="212">
          <cell r="D212">
            <v>-2.0078605604921466E-2</v>
          </cell>
          <cell r="E212">
            <v>2.0512842589223861E-3</v>
          </cell>
        </row>
        <row r="213">
          <cell r="D213">
            <v>1.0550178742697777E-2</v>
          </cell>
          <cell r="E213">
            <v>9.1477101860205981E-3</v>
          </cell>
        </row>
        <row r="214">
          <cell r="D214">
            <v>-5.3494391716997804E-3</v>
          </cell>
          <cell r="E214">
            <v>2.2021935462241887E-2</v>
          </cell>
        </row>
        <row r="215">
          <cell r="D215">
            <v>-1.769604441360172E-2</v>
          </cell>
          <cell r="E215">
            <v>3.9782294705032794E-3</v>
          </cell>
        </row>
        <row r="216">
          <cell r="D216">
            <v>-1.5895443306252182E-2</v>
          </cell>
          <cell r="E216">
            <v>-1.3657425234743944E-2</v>
          </cell>
        </row>
        <row r="217">
          <cell r="D217">
            <v>-4.9982053122756581E-2</v>
          </cell>
          <cell r="E217">
            <v>-2.4616906183552799E-2</v>
          </cell>
        </row>
        <row r="218">
          <cell r="D218">
            <v>1.3790497780296531E-2</v>
          </cell>
          <cell r="E218">
            <v>2.2222395920791026E-2</v>
          </cell>
        </row>
        <row r="219">
          <cell r="D219">
            <v>1.4348271685456129E-2</v>
          </cell>
          <cell r="E219">
            <v>7.5539626201589459E-3</v>
          </cell>
        </row>
        <row r="220">
          <cell r="D220">
            <v>8.1748874804813132E-3</v>
          </cell>
          <cell r="E220">
            <v>-1.0918741305151013E-2</v>
          </cell>
        </row>
        <row r="221">
          <cell r="D221">
            <v>4.327623906705539E-2</v>
          </cell>
          <cell r="E221">
            <v>8.6696538303295857E-3</v>
          </cell>
        </row>
        <row r="222">
          <cell r="D222">
            <v>4.9951969260326599E-2</v>
          </cell>
          <cell r="E222">
            <v>1.5307144925650521E-2</v>
          </cell>
        </row>
        <row r="223">
          <cell r="D223">
            <v>4.9987523912500963E-2</v>
          </cell>
          <cell r="E223">
            <v>1.5020305495724716E-2</v>
          </cell>
        </row>
        <row r="224">
          <cell r="D224">
            <v>-4.1983523447401867E-3</v>
          </cell>
          <cell r="E224">
            <v>2.1293459904066538E-2</v>
          </cell>
        </row>
        <row r="225">
          <cell r="D225">
            <v>-3.4444356057592863E-2</v>
          </cell>
          <cell r="E225">
            <v>-8.3612840324372145E-3</v>
          </cell>
        </row>
        <row r="226">
          <cell r="D226">
            <v>1.2769813807876186E-2</v>
          </cell>
          <cell r="E226">
            <v>1.2108705153444041E-2</v>
          </cell>
        </row>
        <row r="227">
          <cell r="D227">
            <v>3.741966973074056E-3</v>
          </cell>
          <cell r="E227">
            <v>9.2022650812555139E-3</v>
          </cell>
        </row>
        <row r="228">
          <cell r="D228">
            <v>1.0697787503039088E-2</v>
          </cell>
          <cell r="E228">
            <v>2.2428034674258682E-3</v>
          </cell>
        </row>
        <row r="229">
          <cell r="D229">
            <v>-1.7640926950525129E-2</v>
          </cell>
          <cell r="E229">
            <v>-7.1061628071122287E-3</v>
          </cell>
        </row>
        <row r="230">
          <cell r="D230">
            <v>-1.4692678148723109E-3</v>
          </cell>
          <cell r="E230">
            <v>5.4842889216373649E-3</v>
          </cell>
        </row>
        <row r="231">
          <cell r="D231">
            <v>1.0626992561105185E-2</v>
          </cell>
          <cell r="E231">
            <v>-3.2750844715059364E-3</v>
          </cell>
        </row>
        <row r="232">
          <cell r="D232">
            <v>1.0353474075871562E-2</v>
          </cell>
          <cell r="E232">
            <v>-4.2559574769401122E-4</v>
          </cell>
        </row>
        <row r="233">
          <cell r="D233">
            <v>4.9955968297174039E-2</v>
          </cell>
          <cell r="E233">
            <v>9.9328210352081329E-3</v>
          </cell>
        </row>
        <row r="234">
          <cell r="D234">
            <v>4.7274113610370153E-3</v>
          </cell>
          <cell r="E234">
            <v>1.7799381620022609E-2</v>
          </cell>
        </row>
        <row r="235">
          <cell r="D235">
            <v>-6.1470744479016634E-3</v>
          </cell>
          <cell r="E235">
            <v>2.9722741427038839E-3</v>
          </cell>
        </row>
        <row r="236">
          <cell r="D236">
            <v>8.0177153329259541E-3</v>
          </cell>
          <cell r="E236">
            <v>-3.9491331539006601E-3</v>
          </cell>
        </row>
        <row r="237">
          <cell r="D237">
            <v>-3.0224982955836536E-2</v>
          </cell>
          <cell r="E237">
            <v>-2.2794601731432041E-2</v>
          </cell>
        </row>
        <row r="238">
          <cell r="D238">
            <v>1.2419934385252331E-2</v>
          </cell>
          <cell r="E238">
            <v>4.3689185463075438E-3</v>
          </cell>
        </row>
        <row r="239">
          <cell r="D239">
            <v>-3.2944988812591697E-2</v>
          </cell>
          <cell r="E239">
            <v>-2.0196904512748078E-2</v>
          </cell>
        </row>
        <row r="240">
          <cell r="D240">
            <v>1.531833413116325E-2</v>
          </cell>
          <cell r="E240">
            <v>7.9990921881439771E-3</v>
          </cell>
        </row>
        <row r="241">
          <cell r="D241">
            <v>4.4397296872544331E-2</v>
          </cell>
          <cell r="E241">
            <v>1.9824034326250167E-2</v>
          </cell>
        </row>
        <row r="242">
          <cell r="D242">
            <v>2.0389737416296804E-2</v>
          </cell>
          <cell r="E242">
            <v>-6.7900560667130917E-3</v>
          </cell>
        </row>
        <row r="243">
          <cell r="D243">
            <v>-5.8988349800915153E-3</v>
          </cell>
          <cell r="E243">
            <v>9.5694998081947589E-4</v>
          </cell>
        </row>
        <row r="244">
          <cell r="D244">
            <v>1.112594570538538E-3</v>
          </cell>
          <cell r="E244">
            <v>-3.7307135998622776E-3</v>
          </cell>
        </row>
        <row r="245">
          <cell r="D245">
            <v>6.8163295547157702E-3</v>
          </cell>
          <cell r="E245">
            <v>1.6323031647415404E-2</v>
          </cell>
        </row>
        <row r="246">
          <cell r="D246">
            <v>2.5020236956362018E-3</v>
          </cell>
          <cell r="E246">
            <v>2.6105314009661883E-2</v>
          </cell>
        </row>
        <row r="247">
          <cell r="D247">
            <v>1.313954341921765E-2</v>
          </cell>
          <cell r="E247">
            <v>-3.7066191847791594E-3</v>
          </cell>
        </row>
        <row r="248">
          <cell r="D248">
            <v>-4.6080278220547839E-2</v>
          </cell>
          <cell r="E248">
            <v>-2.4267011315280352E-2</v>
          </cell>
        </row>
        <row r="249">
          <cell r="D249">
            <v>4.8610056205378614E-3</v>
          </cell>
          <cell r="E249">
            <v>1.4728459540142232E-2</v>
          </cell>
        </row>
        <row r="250">
          <cell r="D250">
            <v>-1.7460317460317475E-2</v>
          </cell>
          <cell r="E250">
            <v>-1.305135227816993E-2</v>
          </cell>
        </row>
        <row r="251">
          <cell r="D251">
            <v>3.3617970613124118E-2</v>
          </cell>
          <cell r="E251">
            <v>2.8181304699793751E-2</v>
          </cell>
        </row>
        <row r="252">
          <cell r="D252">
            <v>4.5325989877939669E-2</v>
          </cell>
          <cell r="E252">
            <v>1.6084915788065236E-2</v>
          </cell>
        </row>
        <row r="253">
          <cell r="D253">
            <v>2.5916696333214775E-2</v>
          </cell>
          <cell r="E253">
            <v>2.6893759236039816E-4</v>
          </cell>
        </row>
        <row r="254">
          <cell r="D254">
            <v>1.0687764591574654E-2</v>
          </cell>
          <cell r="E254">
            <v>-2.6909666586216979E-4</v>
          </cell>
        </row>
        <row r="255">
          <cell r="D255">
            <v>-1.6274119343541886E-2</v>
          </cell>
          <cell r="E255">
            <v>-4.9531280087689884E-3</v>
          </cell>
        </row>
        <row r="256">
          <cell r="D256">
            <v>-7.6085439061845837E-3</v>
          </cell>
          <cell r="E256">
            <v>1.676318231117921E-3</v>
          </cell>
        </row>
        <row r="257">
          <cell r="D257">
            <v>6.9634944081030398E-3</v>
          </cell>
          <cell r="E257">
            <v>2.3840650549980902E-3</v>
          </cell>
        </row>
        <row r="258">
          <cell r="D258">
            <v>-4.26096675048886E-3</v>
          </cell>
          <cell r="E258">
            <v>-9.7327242060453768E-3</v>
          </cell>
        </row>
        <row r="259">
          <cell r="D259">
            <v>-2.2378112942827062E-2</v>
          </cell>
          <cell r="E259">
            <v>-2.8340752458088131E-3</v>
          </cell>
        </row>
        <row r="260">
          <cell r="D260">
            <v>-2.611940298507473E-2</v>
          </cell>
          <cell r="E260">
            <v>-1.5298002556159082E-3</v>
          </cell>
        </row>
        <row r="261">
          <cell r="D261">
            <v>6.6312997347482618E-4</v>
          </cell>
          <cell r="E261">
            <v>-1.2762777050590764E-3</v>
          </cell>
        </row>
        <row r="262">
          <cell r="D262">
            <v>7.0686989176055367E-3</v>
          </cell>
          <cell r="E262">
            <v>2.9661031901842346E-3</v>
          </cell>
        </row>
        <row r="263">
          <cell r="D263">
            <v>1.3891935365942657E-3</v>
          </cell>
          <cell r="E263">
            <v>-2.2001720262433996E-3</v>
          </cell>
        </row>
        <row r="264">
          <cell r="D264">
            <v>5.5052570093457882E-2</v>
          </cell>
          <cell r="E264">
            <v>-5.6427913716350971E-3</v>
          </cell>
        </row>
        <row r="265">
          <cell r="D265">
            <v>-8.858131487889281E-3</v>
          </cell>
          <cell r="E265">
            <v>-9.4680300024658909E-3</v>
          </cell>
        </row>
        <row r="266">
          <cell r="D266">
            <v>-8.0994274542661397E-3</v>
          </cell>
          <cell r="E266">
            <v>1.1480069787379914E-4</v>
          </cell>
        </row>
        <row r="267">
          <cell r="D267">
            <v>-1.3022666478952515E-2</v>
          </cell>
          <cell r="E267">
            <v>-6.5047056917188961E-3</v>
          </cell>
        </row>
        <row r="268">
          <cell r="D268">
            <v>-3.473361386491694E-2</v>
          </cell>
          <cell r="E268">
            <v>-2.9342599518531288E-2</v>
          </cell>
        </row>
        <row r="269">
          <cell r="D269">
            <v>2.7929658637505548E-2</v>
          </cell>
          <cell r="E269">
            <v>1.1751479483228959E-2</v>
          </cell>
        </row>
        <row r="270">
          <cell r="D270">
            <v>-1.3657274295572003E-3</v>
          </cell>
          <cell r="E270">
            <v>-3.9095739802001142E-3</v>
          </cell>
        </row>
        <row r="271">
          <cell r="D271">
            <v>-1.7634780105089017E-2</v>
          </cell>
          <cell r="E271">
            <v>-1.4261225638382632E-2</v>
          </cell>
        </row>
        <row r="272">
          <cell r="D272">
            <v>-8.6459554513480252E-3</v>
          </cell>
          <cell r="E272">
            <v>-2.109749417279903E-2</v>
          </cell>
        </row>
        <row r="273">
          <cell r="D273">
            <v>1.2934220251293422E-2</v>
          </cell>
          <cell r="E273">
            <v>1.0630918117806382E-2</v>
          </cell>
        </row>
        <row r="274">
          <cell r="D274">
            <v>4.1590660342940448E-2</v>
          </cell>
          <cell r="E274">
            <v>2.0563542850639244E-2</v>
          </cell>
        </row>
        <row r="275">
          <cell r="D275">
            <v>-1.0437828371278523E-2</v>
          </cell>
          <cell r="E275">
            <v>-1.867453485752681E-3</v>
          </cell>
        </row>
        <row r="276">
          <cell r="D276">
            <v>4.3890698003681483E-3</v>
          </cell>
          <cell r="E276">
            <v>-5.2447829018792101E-3</v>
          </cell>
        </row>
        <row r="277">
          <cell r="D277">
            <v>9.3036368762333885E-3</v>
          </cell>
          <cell r="E277">
            <v>-1.6874875444982214E-3</v>
          </cell>
        </row>
        <row r="278">
          <cell r="D278">
            <v>-3.9106145251396806E-3</v>
          </cell>
          <cell r="E278">
            <v>9.9356943996753797E-3</v>
          </cell>
        </row>
        <row r="279">
          <cell r="D279">
            <v>-6.3796971396522482E-3</v>
          </cell>
          <cell r="E279">
            <v>-2.2888748899554537E-3</v>
          </cell>
        </row>
        <row r="280">
          <cell r="D280">
            <v>-6.0678755379946752E-3</v>
          </cell>
          <cell r="E280">
            <v>-5.7416137929160562E-3</v>
          </cell>
        </row>
        <row r="281">
          <cell r="D281">
            <v>-1.6469084971959914E-2</v>
          </cell>
          <cell r="E281">
            <v>-2.7466122324854941E-2</v>
          </cell>
        </row>
        <row r="282">
          <cell r="D282">
            <v>-1.3785636954168349E-2</v>
          </cell>
          <cell r="E282">
            <v>-7.2880126651191923E-3</v>
          </cell>
        </row>
        <row r="283">
          <cell r="D283">
            <v>-3.4396955503512802E-3</v>
          </cell>
          <cell r="E283">
            <v>-1.3384990909313043E-2</v>
          </cell>
        </row>
        <row r="284">
          <cell r="D284">
            <v>4.648601013439093E-2</v>
          </cell>
          <cell r="E284">
            <v>-6.5472335388631177E-3</v>
          </cell>
        </row>
        <row r="285">
          <cell r="D285">
            <v>-2.8701754385964937E-2</v>
          </cell>
          <cell r="E285">
            <v>-2.7226909113058383E-3</v>
          </cell>
        </row>
        <row r="286">
          <cell r="D286">
            <v>3.1283866772632125E-2</v>
          </cell>
          <cell r="E286">
            <v>3.4559107320471301E-2</v>
          </cell>
        </row>
        <row r="287">
          <cell r="D287">
            <v>-1.5482695810564717E-2</v>
          </cell>
          <cell r="E287">
            <v>-2.4587556589297874E-3</v>
          </cell>
        </row>
        <row r="288">
          <cell r="D288">
            <v>-1.6864726392941041E-2</v>
          </cell>
          <cell r="E288">
            <v>-7.4816937281120361E-3</v>
          </cell>
        </row>
        <row r="289">
          <cell r="D289">
            <v>2.7793862188766671E-2</v>
          </cell>
          <cell r="E289">
            <v>1.2227037196965001E-2</v>
          </cell>
        </row>
        <row r="290">
          <cell r="D290">
            <v>-2.5845070422535123E-2</v>
          </cell>
          <cell r="E290">
            <v>-2.9516955795410717E-2</v>
          </cell>
        </row>
        <row r="291">
          <cell r="D291">
            <v>-1.6193161280994788E-2</v>
          </cell>
          <cell r="E291">
            <v>-3.0369702302505523E-2</v>
          </cell>
        </row>
        <row r="292">
          <cell r="D292">
            <v>1.4108310676757935E-2</v>
          </cell>
          <cell r="E292">
            <v>1.7183433421616181E-2</v>
          </cell>
        </row>
        <row r="293">
          <cell r="D293">
            <v>-1.4419244982247524E-2</v>
          </cell>
          <cell r="E293">
            <v>-5.9688426414118299E-4</v>
          </cell>
        </row>
        <row r="294">
          <cell r="D294">
            <v>-5.3595059550066312E-2</v>
          </cell>
          <cell r="E294">
            <v>-4.55644256866609E-2</v>
          </cell>
        </row>
        <row r="295">
          <cell r="D295">
            <v>3.0839742095859546E-2</v>
          </cell>
          <cell r="E295">
            <v>2.8976527038499663E-3</v>
          </cell>
        </row>
        <row r="296">
          <cell r="D296">
            <v>-6.5335342878673611E-2</v>
          </cell>
          <cell r="E296">
            <v>-6.5887743172102123E-2</v>
          </cell>
        </row>
        <row r="297">
          <cell r="D297">
            <v>-1.6367007981939862E-2</v>
          </cell>
          <cell r="E297">
            <v>-3.1704997875903577E-2</v>
          </cell>
        </row>
        <row r="298">
          <cell r="D298">
            <v>-7.5000000000000053E-2</v>
          </cell>
          <cell r="E298">
            <v>-6.7476614138731045E-2</v>
          </cell>
        </row>
        <row r="299">
          <cell r="D299">
            <v>-6.3801506424457144E-2</v>
          </cell>
          <cell r="E299">
            <v>-9.4101633841342826E-3</v>
          </cell>
        </row>
        <row r="300">
          <cell r="D300">
            <v>4.9597728348319874E-2</v>
          </cell>
          <cell r="E300">
            <v>1.7842118591442371E-2</v>
          </cell>
        </row>
        <row r="301">
          <cell r="D301">
            <v>-7.4488231580845929E-2</v>
          </cell>
          <cell r="E301">
            <v>-6.8560729451883878E-2</v>
          </cell>
        </row>
        <row r="302">
          <cell r="D302">
            <v>-2.3677287342882127E-2</v>
          </cell>
          <cell r="E302">
            <v>-4.542754149070731E-2</v>
          </cell>
        </row>
        <row r="303">
          <cell r="D303">
            <v>-6.2874251497006947E-3</v>
          </cell>
          <cell r="E303">
            <v>3.089316101396546E-2</v>
          </cell>
        </row>
        <row r="304">
          <cell r="D304">
            <v>4.0172742794014832E-3</v>
          </cell>
          <cell r="E304">
            <v>-3.0658597765814378E-3</v>
          </cell>
        </row>
        <row r="305">
          <cell r="D305">
            <v>1.2903871161348467E-2</v>
          </cell>
          <cell r="E305">
            <v>4.3115411804210753E-2</v>
          </cell>
        </row>
        <row r="306">
          <cell r="D306">
            <v>1.9454868654947648E-2</v>
          </cell>
          <cell r="E306">
            <v>9.3713556171858593E-3</v>
          </cell>
        </row>
        <row r="307">
          <cell r="D307">
            <v>6.9456553327521084E-2</v>
          </cell>
          <cell r="E307">
            <v>4.3283014020742527E-2</v>
          </cell>
        </row>
        <row r="308">
          <cell r="D308">
            <v>7.1829710144927464E-2</v>
          </cell>
          <cell r="E308">
            <v>2.7259827448310219E-2</v>
          </cell>
        </row>
        <row r="309">
          <cell r="D309">
            <v>-1.7493450519732893E-2</v>
          </cell>
          <cell r="E309">
            <v>-3.2972200498453737E-2</v>
          </cell>
        </row>
        <row r="310">
          <cell r="D310">
            <v>-9.6335799071048042E-3</v>
          </cell>
          <cell r="E310">
            <v>2.1334798383866059E-2</v>
          </cell>
        </row>
        <row r="311">
          <cell r="D311">
            <v>3.8214347750564334E-3</v>
          </cell>
          <cell r="E311">
            <v>-8.3338803229426276E-3</v>
          </cell>
        </row>
        <row r="312">
          <cell r="D312">
            <v>4.550960373767092E-2</v>
          </cell>
          <cell r="E312">
            <v>2.7962366412484823E-2</v>
          </cell>
        </row>
        <row r="313">
          <cell r="D313">
            <v>9.5994703740482999E-3</v>
          </cell>
          <cell r="E313">
            <v>6.1531599727364271E-3</v>
          </cell>
        </row>
        <row r="314">
          <cell r="D314">
            <v>-6.4016393442622971E-2</v>
          </cell>
          <cell r="E314">
            <v>-3.1224167426295191E-2</v>
          </cell>
        </row>
        <row r="315">
          <cell r="D315">
            <v>1.1384534547683661E-2</v>
          </cell>
          <cell r="E315">
            <v>6.1144607722298109E-3</v>
          </cell>
        </row>
        <row r="316">
          <cell r="D316">
            <v>3.6972898086414498E-2</v>
          </cell>
          <cell r="E316">
            <v>3.4180216086095428E-3</v>
          </cell>
        </row>
        <row r="317">
          <cell r="D317">
            <v>7.5066800267201028E-2</v>
          </cell>
          <cell r="E317">
            <v>4.7953906642502063E-2</v>
          </cell>
        </row>
        <row r="318">
          <cell r="D318">
            <v>2.594174757281556E-2</v>
          </cell>
          <cell r="E318">
            <v>2.0340626763722877E-2</v>
          </cell>
        </row>
        <row r="319">
          <cell r="D319">
            <v>-3.0812324929971935E-2</v>
          </cell>
          <cell r="E319">
            <v>-3.2144216432111967E-2</v>
          </cell>
        </row>
        <row r="320">
          <cell r="D320">
            <v>2.468364318075298E-2</v>
          </cell>
          <cell r="E320">
            <v>1.2768780516690806E-3</v>
          </cell>
        </row>
        <row r="321">
          <cell r="D321">
            <v>-1.5246226558927965E-3</v>
          </cell>
          <cell r="E321">
            <v>1.190849128409952E-2</v>
          </cell>
        </row>
        <row r="322">
          <cell r="D322">
            <v>3.0462666055886468E-2</v>
          </cell>
          <cell r="E322">
            <v>-1.3530860559688861E-3</v>
          </cell>
        </row>
        <row r="323">
          <cell r="D323">
            <v>-3.1858931614432921E-2</v>
          </cell>
          <cell r="E323">
            <v>-1.4991291328089162E-2</v>
          </cell>
        </row>
        <row r="324">
          <cell r="D324">
            <v>-8.4181525981468766E-4</v>
          </cell>
          <cell r="E324">
            <v>7.3904743278341541E-3</v>
          </cell>
        </row>
        <row r="325">
          <cell r="D325">
            <v>3.6764705882352156E-3</v>
          </cell>
          <cell r="E325">
            <v>1.859867743420876E-2</v>
          </cell>
        </row>
        <row r="326">
          <cell r="D326">
            <v>2.7548840048840156E-2</v>
          </cell>
          <cell r="E326">
            <v>2.873441893624756E-2</v>
          </cell>
        </row>
        <row r="327">
          <cell r="D327">
            <v>-1.4853323431117713E-2</v>
          </cell>
          <cell r="E327">
            <v>-5.7165237438012361E-3</v>
          </cell>
        </row>
        <row r="328">
          <cell r="D328">
            <v>-1.432340746324898E-3</v>
          </cell>
          <cell r="E328">
            <v>2.2440312483783943E-3</v>
          </cell>
        </row>
        <row r="329">
          <cell r="D329">
            <v>1.0342744979616523E-2</v>
          </cell>
          <cell r="E329">
            <v>-7.7831302262982459E-3</v>
          </cell>
        </row>
        <row r="330">
          <cell r="D330">
            <v>-1.3674064111185925E-2</v>
          </cell>
          <cell r="E330">
            <v>-1.2571683381670662E-2</v>
          </cell>
        </row>
        <row r="331">
          <cell r="D331">
            <v>-5.9242424242424194E-2</v>
          </cell>
          <cell r="E331">
            <v>-1.0950583951074328E-3</v>
          </cell>
        </row>
        <row r="332">
          <cell r="D332">
            <v>-3.7365115155419557E-2</v>
          </cell>
          <cell r="E332">
            <v>4.8395304873883769E-4</v>
          </cell>
        </row>
        <row r="333">
          <cell r="D333">
            <v>-1.3133679103229106E-2</v>
          </cell>
          <cell r="E333">
            <v>9.5911553341730595E-3</v>
          </cell>
        </row>
        <row r="334">
          <cell r="D334">
            <v>-7.6290582351445767E-3</v>
          </cell>
          <cell r="E334">
            <v>2.6789258822571328E-3</v>
          </cell>
        </row>
        <row r="335">
          <cell r="D335">
            <v>-2.4600666268044722E-2</v>
          </cell>
          <cell r="E335">
            <v>3.3199735019458195E-3</v>
          </cell>
        </row>
        <row r="336">
          <cell r="D336">
            <v>3.7306243979332736E-2</v>
          </cell>
          <cell r="E336">
            <v>6.017766655129886E-3</v>
          </cell>
        </row>
        <row r="337">
          <cell r="D337">
            <v>7.3955255382017651E-2</v>
          </cell>
          <cell r="E337">
            <v>-5.9797114412851373E-3</v>
          </cell>
        </row>
        <row r="338">
          <cell r="D338">
            <v>7.4994104237088327E-2</v>
          </cell>
          <cell r="E338">
            <v>1.0459408779241683E-2</v>
          </cell>
        </row>
        <row r="339">
          <cell r="D339">
            <v>3.7294332723948768E-2</v>
          </cell>
          <cell r="E339">
            <v>-6.6085943343615356E-3</v>
          </cell>
        </row>
        <row r="340">
          <cell r="D340">
            <v>2.079661614381401E-2</v>
          </cell>
          <cell r="E340">
            <v>-2.8350142531666871E-3</v>
          </cell>
        </row>
        <row r="341">
          <cell r="D341">
            <v>-3.3287292817679705E-2</v>
          </cell>
          <cell r="E341">
            <v>-4.1726993336508094E-3</v>
          </cell>
        </row>
        <row r="342">
          <cell r="D342">
            <v>-1.3573367623946116E-3</v>
          </cell>
          <cell r="E342">
            <v>6.9982804784746696E-3</v>
          </cell>
        </row>
        <row r="343">
          <cell r="D343">
            <v>-3.5481794119750908E-2</v>
          </cell>
          <cell r="E343">
            <v>2.6742325580298137E-3</v>
          </cell>
        </row>
        <row r="344">
          <cell r="D344">
            <v>5.9333976118073339E-3</v>
          </cell>
          <cell r="E344">
            <v>1.1347961332045197E-2</v>
          </cell>
        </row>
        <row r="345">
          <cell r="D345">
            <v>1.5630760156307634E-2</v>
          </cell>
          <cell r="E345">
            <v>-1.9268746703183284E-4</v>
          </cell>
        </row>
        <row r="346">
          <cell r="D346">
            <v>-1.430127041742286E-2</v>
          </cell>
          <cell r="E346">
            <v>-8.1982080972238594E-3</v>
          </cell>
        </row>
        <row r="347">
          <cell r="D347">
            <v>7.3648549123515278E-5</v>
          </cell>
          <cell r="E347">
            <v>6.7712230494155626E-3</v>
          </cell>
        </row>
        <row r="348">
          <cell r="D348">
            <v>3.1445614551881662E-2</v>
          </cell>
          <cell r="E348">
            <v>1.1619945258311296E-2</v>
          </cell>
        </row>
        <row r="349">
          <cell r="D349">
            <v>-8.2107668142225171E-3</v>
          </cell>
          <cell r="E349">
            <v>1.554839383623994E-3</v>
          </cell>
        </row>
        <row r="350">
          <cell r="D350">
            <v>-1.0582391476495565E-2</v>
          </cell>
          <cell r="E350">
            <v>7.5130158949075158E-3</v>
          </cell>
        </row>
        <row r="351">
          <cell r="D351">
            <v>1.1204889406286321E-2</v>
          </cell>
          <cell r="E351">
            <v>1.8109184407963704E-3</v>
          </cell>
        </row>
        <row r="352">
          <cell r="D352">
            <v>-2.1873650885019372E-2</v>
          </cell>
          <cell r="E352">
            <v>-1.4788243646626342E-2</v>
          </cell>
        </row>
        <row r="353">
          <cell r="D353">
            <v>-6.9148153597175062E-3</v>
          </cell>
          <cell r="E353">
            <v>-2.2669766815596553E-2</v>
          </cell>
        </row>
        <row r="354">
          <cell r="D354">
            <v>-4.8888888888888636E-3</v>
          </cell>
          <cell r="E354">
            <v>5.7535201544678862E-3</v>
          </cell>
        </row>
        <row r="355">
          <cell r="D355">
            <v>2.8881941342861362E-2</v>
          </cell>
          <cell r="E355">
            <v>-5.0101237186618089E-3</v>
          </cell>
        </row>
        <row r="356">
          <cell r="D356">
            <v>-2.8939372015621503E-4</v>
          </cell>
          <cell r="E356">
            <v>-9.1238417569016496E-3</v>
          </cell>
        </row>
        <row r="357">
          <cell r="D357">
            <v>-1.3460703430308392E-2</v>
          </cell>
          <cell r="E357">
            <v>-3.0086598479121471E-3</v>
          </cell>
        </row>
        <row r="358">
          <cell r="D358">
            <v>-2.347417840375537E-3</v>
          </cell>
          <cell r="E358">
            <v>8.9410728928607155E-3</v>
          </cell>
        </row>
        <row r="359">
          <cell r="D359">
            <v>1.9852941176471341E-3</v>
          </cell>
          <cell r="E359">
            <v>9.3274866974609686E-3</v>
          </cell>
        </row>
        <row r="360">
          <cell r="D360">
            <v>-2.6418140456447759E-3</v>
          </cell>
          <cell r="E360">
            <v>-5.2741919048199617E-4</v>
          </cell>
        </row>
        <row r="361">
          <cell r="D361">
            <v>-9.6387315135015982E-3</v>
          </cell>
          <cell r="E361">
            <v>-9.5496795177856704E-3</v>
          </cell>
        </row>
        <row r="362">
          <cell r="D362">
            <v>-2.3031203566122012E-3</v>
          </cell>
          <cell r="E362">
            <v>6.8188229891577154E-3</v>
          </cell>
        </row>
        <row r="363">
          <cell r="D363">
            <v>2.122272693424674E-2</v>
          </cell>
          <cell r="E363">
            <v>7.1394708641763609E-3</v>
          </cell>
        </row>
        <row r="364">
          <cell r="D364">
            <v>1.3125273443196818E-2</v>
          </cell>
          <cell r="E364">
            <v>7.0247909706333579E-3</v>
          </cell>
        </row>
        <row r="365">
          <cell r="D365">
            <v>1.8857060601698609E-2</v>
          </cell>
          <cell r="E365">
            <v>1.3581171532558476E-2</v>
          </cell>
        </row>
        <row r="366">
          <cell r="D366">
            <v>7.9118395026844066E-3</v>
          </cell>
          <cell r="E366">
            <v>2.5443250545078518E-3</v>
          </cell>
        </row>
        <row r="367">
          <cell r="D367">
            <v>4.4154751892346187E-3</v>
          </cell>
          <cell r="E367">
            <v>2.0927332411233828E-3</v>
          </cell>
        </row>
        <row r="368">
          <cell r="D368">
            <v>5.3031888912147855E-3</v>
          </cell>
          <cell r="E368">
            <v>4.3190881500243198E-3</v>
          </cell>
        </row>
        <row r="369">
          <cell r="D369">
            <v>2.0823210939127605E-4</v>
          </cell>
          <cell r="E369">
            <v>4.8456414083324056E-3</v>
          </cell>
        </row>
        <row r="370">
          <cell r="D370">
            <v>-9.8542678695349595E-3</v>
          </cell>
          <cell r="E370">
            <v>9.0898939455833529E-3</v>
          </cell>
        </row>
        <row r="371">
          <cell r="D371">
            <v>2.0114942528735663E-2</v>
          </cell>
          <cell r="E371">
            <v>1.2530645142764099E-2</v>
          </cell>
        </row>
        <row r="372">
          <cell r="D372">
            <v>-3.36654070766066E-3</v>
          </cell>
          <cell r="E372">
            <v>1.3344522478866987E-3</v>
          </cell>
        </row>
        <row r="373">
          <cell r="D373">
            <v>2.7919481593823323E-2</v>
          </cell>
          <cell r="E373">
            <v>1.1831038065343247E-2</v>
          </cell>
        </row>
        <row r="374">
          <cell r="D374">
            <v>-8.3160083160083755E-3</v>
          </cell>
          <cell r="E374">
            <v>3.4586276853520348E-3</v>
          </cell>
        </row>
        <row r="375">
          <cell r="D375">
            <v>-8.7238790829782375E-3</v>
          </cell>
          <cell r="E375">
            <v>-1.801322729868057E-3</v>
          </cell>
        </row>
        <row r="376">
          <cell r="D376">
            <v>4.9461045163050887E-2</v>
          </cell>
          <cell r="E376">
            <v>8.790036159625909E-3</v>
          </cell>
        </row>
        <row r="377">
          <cell r="D377">
            <v>6.7607098745367739E-3</v>
          </cell>
          <cell r="E377">
            <v>8.9026264923742476E-3</v>
          </cell>
        </row>
        <row r="378">
          <cell r="D378">
            <v>-2.7119519597082449E-3</v>
          </cell>
          <cell r="E378">
            <v>8.5644982635005949E-3</v>
          </cell>
        </row>
        <row r="379">
          <cell r="D379">
            <v>-2.6545807704758603E-3</v>
          </cell>
          <cell r="E379">
            <v>1.3210955371989843E-3</v>
          </cell>
        </row>
        <row r="380">
          <cell r="D380">
            <v>-1.7008569202804497E-2</v>
          </cell>
          <cell r="E380">
            <v>2.7665555004720895E-3</v>
          </cell>
        </row>
        <row r="381">
          <cell r="D381">
            <v>-9.3778893144894175E-3</v>
          </cell>
          <cell r="E381">
            <v>-5.9886876230174427E-3</v>
          </cell>
        </row>
        <row r="382">
          <cell r="D382">
            <v>1.5333333333332651E-3</v>
          </cell>
          <cell r="E382">
            <v>7.8263440435304111E-4</v>
          </cell>
        </row>
        <row r="383">
          <cell r="D383">
            <v>-7.9877521134260054E-3</v>
          </cell>
          <cell r="E383">
            <v>1.6314246953144092E-2</v>
          </cell>
        </row>
        <row r="384">
          <cell r="D384">
            <v>3.0128162115010463E-2</v>
          </cell>
          <cell r="E384">
            <v>1.0625266213793439E-2</v>
          </cell>
        </row>
        <row r="385">
          <cell r="D385">
            <v>2.6055237102656152E-3</v>
          </cell>
          <cell r="E385">
            <v>5.4106852490481468E-3</v>
          </cell>
        </row>
        <row r="386">
          <cell r="D386">
            <v>-1.2474012474012393E-2</v>
          </cell>
          <cell r="E386">
            <v>1.0870508419063046E-2</v>
          </cell>
        </row>
        <row r="387">
          <cell r="D387">
            <v>3.9539473684210465E-2</v>
          </cell>
          <cell r="E387">
            <v>1.5618807064162464E-2</v>
          </cell>
        </row>
        <row r="388">
          <cell r="D388">
            <v>-3.1706853996582442E-2</v>
          </cell>
          <cell r="E388">
            <v>-7.3734168246528788E-3</v>
          </cell>
        </row>
        <row r="389">
          <cell r="D389">
            <v>2.745098039215679E-2</v>
          </cell>
          <cell r="E389">
            <v>7.7104181605664058E-3</v>
          </cell>
        </row>
        <row r="390">
          <cell r="D390">
            <v>-1.6603053435114409E-2</v>
          </cell>
          <cell r="E390">
            <v>7.1043192074374904E-3</v>
          </cell>
        </row>
        <row r="391">
          <cell r="D391">
            <v>-2.7168639627402542E-3</v>
          </cell>
          <cell r="E391">
            <v>-3.3966437385537932E-3</v>
          </cell>
        </row>
        <row r="392">
          <cell r="D392">
            <v>-1.3297009794382714E-2</v>
          </cell>
          <cell r="E392">
            <v>-2.8711189119875842E-3</v>
          </cell>
        </row>
        <row r="393">
          <cell r="D393">
            <v>7.8885090717857316E-4</v>
          </cell>
          <cell r="E393">
            <v>1.6144153190448832E-2</v>
          </cell>
        </row>
        <row r="394">
          <cell r="D394">
            <v>4.506043089858109E-2</v>
          </cell>
          <cell r="E394">
            <v>-2.1196203569355167E-3</v>
          </cell>
        </row>
        <row r="395">
          <cell r="D395">
            <v>-1.5650534255185297E-2</v>
          </cell>
          <cell r="E395">
            <v>-4.507676441534921E-3</v>
          </cell>
        </row>
        <row r="396">
          <cell r="D396">
            <v>-5.8744652321053303E-3</v>
          </cell>
          <cell r="E396">
            <v>-4.1756492931129575E-3</v>
          </cell>
        </row>
        <row r="397">
          <cell r="D397">
            <v>-4.2391932686749092E-3</v>
          </cell>
          <cell r="E397">
            <v>1.5330550190043501E-3</v>
          </cell>
        </row>
        <row r="398">
          <cell r="D398">
            <v>-3.9347223118107056E-3</v>
          </cell>
          <cell r="E398">
            <v>-7.4407705950703905E-4</v>
          </cell>
        </row>
        <row r="399">
          <cell r="D399">
            <v>6.3463281958296737E-3</v>
          </cell>
          <cell r="E399">
            <v>-7.1116007800944327E-3</v>
          </cell>
        </row>
        <row r="400">
          <cell r="D400">
            <v>-1.7696267696267694E-2</v>
          </cell>
          <cell r="E400">
            <v>-6.1943562030725065E-3</v>
          </cell>
        </row>
        <row r="401">
          <cell r="D401">
            <v>1.198820831968545E-2</v>
          </cell>
          <cell r="E401">
            <v>4.568468857509304E-3</v>
          </cell>
        </row>
        <row r="402">
          <cell r="D402">
            <v>1.1587260486794541E-2</v>
          </cell>
          <cell r="E402">
            <v>1.2316280845974916E-2</v>
          </cell>
        </row>
        <row r="403">
          <cell r="D403">
            <v>8.9588532667817054E-3</v>
          </cell>
          <cell r="E403">
            <v>1.4140732765787969E-2</v>
          </cell>
        </row>
        <row r="404">
          <cell r="D404">
            <v>-8.8793048772751789E-3</v>
          </cell>
          <cell r="E404">
            <v>5.367990624187205E-3</v>
          </cell>
        </row>
        <row r="405">
          <cell r="D405">
            <v>-6.527164522941129E-3</v>
          </cell>
          <cell r="E405">
            <v>-6.2606585764939928E-4</v>
          </cell>
        </row>
        <row r="406">
          <cell r="D406">
            <v>-8.8244766505636372E-3</v>
          </cell>
          <cell r="E406">
            <v>1.3325630075052971E-3</v>
          </cell>
        </row>
        <row r="407">
          <cell r="D407">
            <v>-8.8380556277617966E-3</v>
          </cell>
          <cell r="E407">
            <v>6.4783258369489997E-3</v>
          </cell>
        </row>
        <row r="408">
          <cell r="D408">
            <v>1.2195121951219414E-2</v>
          </cell>
          <cell r="E408">
            <v>1.1058972972110684E-2</v>
          </cell>
        </row>
        <row r="409">
          <cell r="D409">
            <v>-1.5092628578831353E-2</v>
          </cell>
          <cell r="E409">
            <v>8.4441560086865874E-3</v>
          </cell>
        </row>
        <row r="410">
          <cell r="D410">
            <v>-8.8128904965472099E-3</v>
          </cell>
          <cell r="E410">
            <v>-3.9136619298660354E-3</v>
          </cell>
        </row>
        <row r="411">
          <cell r="D411">
            <v>1.0085594851038297E-2</v>
          </cell>
          <cell r="E411">
            <v>6.49049330128739E-3</v>
          </cell>
        </row>
        <row r="412">
          <cell r="D412">
            <v>-2.9560533403402002E-3</v>
          </cell>
          <cell r="E412">
            <v>-7.3425817014711329E-3</v>
          </cell>
        </row>
        <row r="413">
          <cell r="D413">
            <v>-2.1478455659507123E-2</v>
          </cell>
          <cell r="E413">
            <v>8.8269220646608167E-4</v>
          </cell>
        </row>
        <row r="414">
          <cell r="D414">
            <v>-8.0123889038513172E-3</v>
          </cell>
          <cell r="E414">
            <v>1.4875452885078704E-2</v>
          </cell>
        </row>
        <row r="415">
          <cell r="D415">
            <v>-2.4434941967013753E-3</v>
          </cell>
          <cell r="E415">
            <v>-2.735926147814584E-3</v>
          </cell>
        </row>
        <row r="416">
          <cell r="D416">
            <v>1.5309246785058175E-2</v>
          </cell>
          <cell r="E416">
            <v>1.5047964210284436E-5</v>
          </cell>
        </row>
        <row r="417">
          <cell r="D417">
            <v>4.8921056158691177E-3</v>
          </cell>
          <cell r="E417">
            <v>-4.3471503699274586E-3</v>
          </cell>
        </row>
        <row r="418">
          <cell r="D418">
            <v>-2.0940313437812514E-2</v>
          </cell>
          <cell r="E418">
            <v>-1.5146498806746691E-3</v>
          </cell>
        </row>
        <row r="419">
          <cell r="D419">
            <v>3.4057625502349974E-3</v>
          </cell>
          <cell r="E419">
            <v>1.2411818851775071E-3</v>
          </cell>
        </row>
        <row r="420">
          <cell r="D420">
            <v>6.9241735116421848E-3</v>
          </cell>
          <cell r="E420">
            <v>4.0156127021860992E-3</v>
          </cell>
        </row>
        <row r="421">
          <cell r="D421">
            <v>6.3372210611474253E-3</v>
          </cell>
          <cell r="E421">
            <v>-7.7786582020461861E-3</v>
          </cell>
        </row>
        <row r="422">
          <cell r="D422">
            <v>-1.1455751323105834E-2</v>
          </cell>
          <cell r="E422">
            <v>-8.1855867566205612E-3</v>
          </cell>
        </row>
        <row r="423">
          <cell r="D423">
            <v>1.0843046896177595E-3</v>
          </cell>
          <cell r="E423">
            <v>1.1319922034783727E-3</v>
          </cell>
        </row>
        <row r="424">
          <cell r="D424">
            <v>-4.603303547251603E-3</v>
          </cell>
          <cell r="E424">
            <v>-1.6689647069723851E-3</v>
          </cell>
        </row>
        <row r="425">
          <cell r="D425">
            <v>-1.353373231773654E-2</v>
          </cell>
          <cell r="E425">
            <v>-2.5149277490487554E-3</v>
          </cell>
        </row>
        <row r="426">
          <cell r="D426">
            <v>-6.3426404688038715E-2</v>
          </cell>
          <cell r="E426">
            <v>-2.3027618130208774E-2</v>
          </cell>
        </row>
        <row r="427">
          <cell r="D427">
            <v>4.7626058152373939E-2</v>
          </cell>
          <cell r="E427">
            <v>1.1374550667080751E-2</v>
          </cell>
        </row>
        <row r="428">
          <cell r="D428">
            <v>1.6863406408094476E-2</v>
          </cell>
          <cell r="E428">
            <v>-1.5359539621535133E-2</v>
          </cell>
        </row>
        <row r="429">
          <cell r="D429">
            <v>1.2299613045881711E-2</v>
          </cell>
          <cell r="E429">
            <v>2.5988699450943138E-3</v>
          </cell>
        </row>
        <row r="430">
          <cell r="D430">
            <v>-1.2286689419795688E-3</v>
          </cell>
          <cell r="E430">
            <v>-1.490009568079384E-2</v>
          </cell>
        </row>
        <row r="431">
          <cell r="D431">
            <v>-3.300984144341159E-2</v>
          </cell>
          <cell r="E431">
            <v>-2.4914881972746772E-2</v>
          </cell>
        </row>
        <row r="432">
          <cell r="D432">
            <v>-1.5336772916814021E-2</v>
          </cell>
          <cell r="E432">
            <v>1.4078966597197986E-3</v>
          </cell>
        </row>
        <row r="433">
          <cell r="D433">
            <v>2.5265575653172626E-2</v>
          </cell>
          <cell r="E433">
            <v>1.8464772073233337E-2</v>
          </cell>
        </row>
        <row r="434">
          <cell r="D434">
            <v>-1.0431251750210089E-2</v>
          </cell>
          <cell r="E434">
            <v>1.2638908545955969E-2</v>
          </cell>
        </row>
        <row r="435">
          <cell r="D435">
            <v>4.1032897064026356E-3</v>
          </cell>
          <cell r="E435">
            <v>1.1022802910866426E-2</v>
          </cell>
        </row>
        <row r="436">
          <cell r="D436">
            <v>-2.1137180300148759E-4</v>
          </cell>
          <cell r="E436">
            <v>-1.4427270853314713E-2</v>
          </cell>
        </row>
        <row r="437">
          <cell r="D437">
            <v>-1.6631430584919053E-2</v>
          </cell>
          <cell r="E437">
            <v>-5.0522484308559816E-3</v>
          </cell>
        </row>
        <row r="438">
          <cell r="D438">
            <v>6.8797477425828297E-3</v>
          </cell>
          <cell r="E438">
            <v>3.439926392274154E-3</v>
          </cell>
        </row>
        <row r="439">
          <cell r="D439">
            <v>-1.1957295373665529E-2</v>
          </cell>
          <cell r="E439">
            <v>-1.8881888308400251E-3</v>
          </cell>
        </row>
        <row r="440">
          <cell r="D440">
            <v>-5.0425010805354542E-4</v>
          </cell>
          <cell r="E440">
            <v>2.3841677088405088E-3</v>
          </cell>
        </row>
        <row r="441">
          <cell r="D441">
            <v>-6.9189189189189761E-3</v>
          </cell>
          <cell r="E441">
            <v>4.3857661658370222E-3</v>
          </cell>
        </row>
        <row r="442">
          <cell r="D442">
            <v>5.8785107772697754E-3</v>
          </cell>
          <cell r="E442">
            <v>1.5280302487570169E-2</v>
          </cell>
        </row>
        <row r="443">
          <cell r="D443">
            <v>2.8499278499278625E-2</v>
          </cell>
          <cell r="E443">
            <v>1.4145224039702448E-2</v>
          </cell>
        </row>
        <row r="444">
          <cell r="D444">
            <v>4.279200280603193E-3</v>
          </cell>
          <cell r="E444">
            <v>-8.1110518317639643E-3</v>
          </cell>
        </row>
        <row r="445">
          <cell r="D445">
            <v>-8.8013411567476312E-3</v>
          </cell>
          <cell r="E445">
            <v>1.6257668264925526E-3</v>
          </cell>
        </row>
        <row r="446">
          <cell r="D446">
            <v>-4.6511627906976501E-3</v>
          </cell>
          <cell r="E446">
            <v>1.4163475985072485E-2</v>
          </cell>
        </row>
        <row r="447">
          <cell r="D447">
            <v>-1.5505522514868293E-2</v>
          </cell>
          <cell r="E447">
            <v>-1.119796265131549E-2</v>
          </cell>
        </row>
        <row r="448">
          <cell r="D448">
            <v>1.5102481121897124E-3</v>
          </cell>
          <cell r="E448">
            <v>-4.7114881096365522E-3</v>
          </cell>
        </row>
        <row r="449">
          <cell r="D449">
            <v>1.9388194743645718E-3</v>
          </cell>
          <cell r="E449">
            <v>-3.153578592784205E-2</v>
          </cell>
        </row>
        <row r="450">
          <cell r="D450">
            <v>-3.9418046298287917E-3</v>
          </cell>
          <cell r="E450">
            <v>-1.9449959887685511E-2</v>
          </cell>
        </row>
        <row r="451">
          <cell r="D451">
            <v>2.8565261188660231E-2</v>
          </cell>
          <cell r="E451">
            <v>3.4994214078581075E-2</v>
          </cell>
        </row>
        <row r="452">
          <cell r="D452">
            <v>2.5883175935642153E-3</v>
          </cell>
          <cell r="E452">
            <v>-4.9139247961012275E-3</v>
          </cell>
        </row>
        <row r="453">
          <cell r="D453">
            <v>-1.3536142897013661E-2</v>
          </cell>
          <cell r="E453">
            <v>1.9595372221212767E-2</v>
          </cell>
        </row>
        <row r="454">
          <cell r="D454">
            <v>-3.8477861083604459E-2</v>
          </cell>
          <cell r="E454">
            <v>-8.2707389344871558E-3</v>
          </cell>
        </row>
        <row r="455">
          <cell r="D455">
            <v>1.3167573929674799E-2</v>
          </cell>
          <cell r="E455">
            <v>1.2872066682362983E-3</v>
          </cell>
        </row>
        <row r="456">
          <cell r="D456">
            <v>2.9768387424671215E-3</v>
          </cell>
          <cell r="E456">
            <v>9.0479020714966454E-3</v>
          </cell>
        </row>
        <row r="457">
          <cell r="D457">
            <v>4.4158100477777159E-3</v>
          </cell>
          <cell r="E457">
            <v>1.0757404372214647E-3</v>
          </cell>
        </row>
        <row r="458">
          <cell r="D458">
            <v>-8.2882882882883285E-3</v>
          </cell>
          <cell r="E458">
            <v>-1.5359494258364302E-2</v>
          </cell>
        </row>
        <row r="459">
          <cell r="D459">
            <v>5.4505813953488374E-3</v>
          </cell>
          <cell r="E459">
            <v>1.1832992107630022E-4</v>
          </cell>
        </row>
        <row r="460">
          <cell r="D460">
            <v>-4.1199855439103235E-3</v>
          </cell>
          <cell r="E460">
            <v>-1.5923351002665447E-3</v>
          </cell>
        </row>
        <row r="461">
          <cell r="D461">
            <v>7.1853679779359057E-3</v>
          </cell>
          <cell r="E461">
            <v>3.6519173677160891E-3</v>
          </cell>
        </row>
        <row r="462">
          <cell r="D462">
            <v>-2.378035598472382E-3</v>
          </cell>
          <cell r="E462">
            <v>-3.3946109812713408E-3</v>
          </cell>
        </row>
        <row r="463">
          <cell r="D463">
            <v>3.2866223634787715E-2</v>
          </cell>
          <cell r="E463">
            <v>6.4248332764400742E-4</v>
          </cell>
        </row>
        <row r="464">
          <cell r="D464">
            <v>-8.3222602979229152E-3</v>
          </cell>
          <cell r="E464">
            <v>-8.7201257008388319E-3</v>
          </cell>
        </row>
        <row r="465">
          <cell r="D465">
            <v>-1.5514809590973322E-2</v>
          </cell>
          <cell r="E465">
            <v>-1.380191394370054E-2</v>
          </cell>
        </row>
        <row r="466">
          <cell r="D466">
            <v>1.977077363896862E-2</v>
          </cell>
          <cell r="E466">
            <v>5.824509771268741E-3</v>
          </cell>
        </row>
        <row r="467">
          <cell r="D467">
            <v>-4.2146670413038964E-4</v>
          </cell>
          <cell r="E467">
            <v>1.2898310629108992E-2</v>
          </cell>
        </row>
        <row r="468">
          <cell r="D468">
            <v>-7.0976809557274714E-3</v>
          </cell>
          <cell r="E468">
            <v>1.6184744336763542E-2</v>
          </cell>
        </row>
        <row r="469">
          <cell r="D469">
            <v>-4.883572793545175E-3</v>
          </cell>
          <cell r="E469">
            <v>-5.4578205811553438E-3</v>
          </cell>
        </row>
        <row r="470">
          <cell r="D470">
            <v>8.1081081081082144E-3</v>
          </cell>
          <cell r="E470">
            <v>6.4138364191125424E-3</v>
          </cell>
        </row>
        <row r="471">
          <cell r="D471">
            <v>3.0055030337237127E-2</v>
          </cell>
          <cell r="E471">
            <v>1.4523183281136325E-2</v>
          </cell>
        </row>
        <row r="472">
          <cell r="D472">
            <v>1.1575342465753409E-2</v>
          </cell>
          <cell r="E472">
            <v>8.6909313200178619E-3</v>
          </cell>
        </row>
        <row r="473">
          <cell r="D473">
            <v>-3.6563071297988493E-3</v>
          </cell>
          <cell r="E473">
            <v>4.8397021180011186E-4</v>
          </cell>
        </row>
        <row r="474">
          <cell r="D474">
            <v>1.2911994563370554E-3</v>
          </cell>
          <cell r="E474">
            <v>3.7880769753984005E-3</v>
          </cell>
        </row>
        <row r="475">
          <cell r="D475">
            <v>-6.44767205103853E-3</v>
          </cell>
          <cell r="E475">
            <v>-2.1723884663681931E-3</v>
          </cell>
        </row>
        <row r="476">
          <cell r="D476">
            <v>-4.0303299405695407E-3</v>
          </cell>
          <cell r="E476">
            <v>-3.2126084314703697E-4</v>
          </cell>
        </row>
        <row r="477">
          <cell r="D477">
            <v>-2.2839506172839589E-2</v>
          </cell>
          <cell r="E477">
            <v>2.428638409112394E-3</v>
          </cell>
        </row>
        <row r="478">
          <cell r="D478">
            <v>-1.2142907278725273E-2</v>
          </cell>
          <cell r="E478">
            <v>2.4123288700154386E-3</v>
          </cell>
        </row>
        <row r="479">
          <cell r="D479">
            <v>4.973710387949329E-3</v>
          </cell>
          <cell r="E479">
            <v>3.8895339272309194E-3</v>
          </cell>
        </row>
        <row r="480">
          <cell r="D480">
            <v>2.8634049773755738E-2</v>
          </cell>
          <cell r="E480">
            <v>1.8738466964866623E-2</v>
          </cell>
        </row>
        <row r="481">
          <cell r="D481">
            <v>1.766444429170385E-2</v>
          </cell>
          <cell r="E481">
            <v>-3.5547362353366337E-4</v>
          </cell>
        </row>
        <row r="482">
          <cell r="D482">
            <v>6.5513980818586986E-3</v>
          </cell>
          <cell r="E482">
            <v>2.5282745953605947E-3</v>
          </cell>
        </row>
        <row r="483">
          <cell r="D483">
            <v>3.8247332751794481E-3</v>
          </cell>
          <cell r="E483">
            <v>9.3749589196910794E-3</v>
          </cell>
        </row>
        <row r="484">
          <cell r="D484">
            <v>5.3475935828877766E-3</v>
          </cell>
          <cell r="E484">
            <v>-5.9725786894095523E-4</v>
          </cell>
        </row>
        <row r="485">
          <cell r="D485">
            <v>-1.5425531914893572E-2</v>
          </cell>
          <cell r="E485">
            <v>-9.3000659571038959E-3</v>
          </cell>
        </row>
        <row r="486">
          <cell r="D486">
            <v>6.0777957860614342E-3</v>
          </cell>
          <cell r="E486">
            <v>-9.8495953270613876E-3</v>
          </cell>
        </row>
        <row r="487">
          <cell r="D487">
            <v>-7.1821721036380267E-3</v>
          </cell>
          <cell r="E487">
            <v>4.2128382960890422E-3</v>
          </cell>
        </row>
        <row r="488">
          <cell r="D488">
            <v>1.4197823000473798E-3</v>
          </cell>
          <cell r="E488">
            <v>7.6372143326285625E-3</v>
          </cell>
        </row>
        <row r="489">
          <cell r="D489">
            <v>7.9665136375911879E-3</v>
          </cell>
          <cell r="E489">
            <v>5.9311183213307224E-3</v>
          </cell>
        </row>
        <row r="490">
          <cell r="D490">
            <v>-6.0281312793036444E-4</v>
          </cell>
          <cell r="E490">
            <v>-9.5875650382787284E-3</v>
          </cell>
        </row>
        <row r="491">
          <cell r="D491">
            <v>1.9234635748274272E-2</v>
          </cell>
          <cell r="E491">
            <v>1.0153841530162005E-2</v>
          </cell>
        </row>
        <row r="492">
          <cell r="D492">
            <v>-3.9452919516045677E-4</v>
          </cell>
          <cell r="E492">
            <v>1.3873517099074429E-3</v>
          </cell>
        </row>
        <row r="493">
          <cell r="D493">
            <v>-1.8221286672806276E-2</v>
          </cell>
          <cell r="E493">
            <v>1.552769053771229E-2</v>
          </cell>
        </row>
        <row r="494">
          <cell r="D494">
            <v>-1.0519262981574493E-2</v>
          </cell>
          <cell r="E494">
            <v>5.6635789966421862E-3</v>
          </cell>
        </row>
        <row r="495">
          <cell r="D495">
            <v>-1.8959913326110586E-3</v>
          </cell>
          <cell r="E495">
            <v>-8.0628449870495081E-4</v>
          </cell>
        </row>
        <row r="496">
          <cell r="D496">
            <v>2.7137042062415581E-3</v>
          </cell>
          <cell r="E496">
            <v>1.1265065084479544E-2</v>
          </cell>
        </row>
        <row r="497">
          <cell r="D497">
            <v>1.6373477672530362E-2</v>
          </cell>
          <cell r="E497">
            <v>4.2326804924190152E-3</v>
          </cell>
        </row>
        <row r="498">
          <cell r="D498">
            <v>3.7278657968313291E-3</v>
          </cell>
          <cell r="E498">
            <v>6.8321345855530922E-3</v>
          </cell>
        </row>
        <row r="499">
          <cell r="D499">
            <v>-1.0611486934606485E-3</v>
          </cell>
          <cell r="E499">
            <v>-1.0715301108284176E-3</v>
          </cell>
        </row>
        <row r="500">
          <cell r="D500">
            <v>-6.2408710662594452E-3</v>
          </cell>
          <cell r="E500">
            <v>6.9425958581239384E-3</v>
          </cell>
        </row>
        <row r="501">
          <cell r="D501">
            <v>-6.6141101015500334E-3</v>
          </cell>
          <cell r="E501">
            <v>3.7001840510569269E-3</v>
          </cell>
        </row>
        <row r="502">
          <cell r="D502">
            <v>4.922994148900392E-2</v>
          </cell>
          <cell r="E502">
            <v>-2.2262017063279711E-3</v>
          </cell>
        </row>
        <row r="503">
          <cell r="D503">
            <v>-4.3586949554514356E-3</v>
          </cell>
          <cell r="E503">
            <v>-1.268772009171657E-3</v>
          </cell>
        </row>
        <row r="504">
          <cell r="D504">
            <v>-3.7339857078478879E-3</v>
          </cell>
          <cell r="E504">
            <v>-4.4484117480568615E-3</v>
          </cell>
        </row>
        <row r="505">
          <cell r="D505">
            <v>3.5735056542810992E-2</v>
          </cell>
          <cell r="E505">
            <v>3.8609844405936076E-3</v>
          </cell>
        </row>
        <row r="506">
          <cell r="D506">
            <v>9.3586224107814874E-4</v>
          </cell>
          <cell r="E506">
            <v>-4.9297184533637576E-3</v>
          </cell>
        </row>
        <row r="507">
          <cell r="D507">
            <v>4.9741320201957172E-2</v>
          </cell>
          <cell r="E507">
            <v>6.7325000317446128E-3</v>
          </cell>
        </row>
        <row r="508">
          <cell r="D508">
            <v>2.0248203788373591E-2</v>
          </cell>
          <cell r="E508">
            <v>-2.5317248479159752E-3</v>
          </cell>
        </row>
        <row r="509">
          <cell r="D509">
            <v>-1.379350483063674E-2</v>
          </cell>
          <cell r="E509">
            <v>4.7876473466055783E-3</v>
          </cell>
        </row>
        <row r="510">
          <cell r="D510">
            <v>3.7592210091472442E-2</v>
          </cell>
          <cell r="E510">
            <v>4.3339168592706843E-3</v>
          </cell>
        </row>
        <row r="511">
          <cell r="D511">
            <v>-2.5025594357866034E-2</v>
          </cell>
          <cell r="E511">
            <v>3.6889104546422805E-3</v>
          </cell>
        </row>
        <row r="512">
          <cell r="D512">
            <v>1.0967215027418178E-2</v>
          </cell>
          <cell r="E512">
            <v>-6.2869512828001147E-3</v>
          </cell>
        </row>
        <row r="513">
          <cell r="D513">
            <v>-7.4437391806117734E-3</v>
          </cell>
          <cell r="E513">
            <v>4.7543595347663047E-3</v>
          </cell>
        </row>
        <row r="514">
          <cell r="D514">
            <v>-8.0809255275855266E-3</v>
          </cell>
          <cell r="E514">
            <v>-2.9554468914235726E-3</v>
          </cell>
        </row>
        <row r="515">
          <cell r="D515">
            <v>-3.3993670144180782E-3</v>
          </cell>
          <cell r="E515">
            <v>7.1762405010329959E-3</v>
          </cell>
        </row>
        <row r="516">
          <cell r="D516">
            <v>1.099741237355919E-2</v>
          </cell>
          <cell r="E516">
            <v>7.5845302975461517E-3</v>
          </cell>
        </row>
        <row r="517">
          <cell r="D517">
            <v>7.7366063637950818E-3</v>
          </cell>
          <cell r="E517">
            <v>-5.9317806868969031E-4</v>
          </cell>
        </row>
        <row r="518">
          <cell r="D518">
            <v>9.351189101824085E-3</v>
          </cell>
          <cell r="E518">
            <v>-3.9210511111740839E-3</v>
          </cell>
        </row>
        <row r="519">
          <cell r="D519">
            <v>-9.7220633649777941E-3</v>
          </cell>
          <cell r="E519">
            <v>-1.0080932120226742E-3</v>
          </cell>
        </row>
        <row r="520">
          <cell r="D520">
            <v>-3.4650034650034324E-3</v>
          </cell>
          <cell r="E520">
            <v>-6.5302946324097429E-4</v>
          </cell>
        </row>
        <row r="521">
          <cell r="D521">
            <v>5.7371349095967144E-3</v>
          </cell>
          <cell r="E521">
            <v>-1.2622552513930517E-2</v>
          </cell>
        </row>
        <row r="522">
          <cell r="D522">
            <v>2.9962546816478352E-3</v>
          </cell>
          <cell r="E522">
            <v>-5.3665662661065653E-3</v>
          </cell>
        </row>
        <row r="523">
          <cell r="D523">
            <v>-9.7087378640776569E-3</v>
          </cell>
          <cell r="E523">
            <v>1.238267425421901E-2</v>
          </cell>
        </row>
        <row r="524">
          <cell r="D524">
            <v>-9.2818192365701701E-4</v>
          </cell>
          <cell r="E524">
            <v>1.0616792152940816E-2</v>
          </cell>
        </row>
        <row r="525">
          <cell r="D525">
            <v>-2.3226106143305406E-3</v>
          </cell>
          <cell r="E525">
            <v>-2.1296002918838497E-3</v>
          </cell>
        </row>
        <row r="526">
          <cell r="D526">
            <v>-1.5772319869630892E-2</v>
          </cell>
          <cell r="E526">
            <v>-1.3372351348589049E-2</v>
          </cell>
        </row>
        <row r="527">
          <cell r="D527">
            <v>-2.187925019218287E-3</v>
          </cell>
          <cell r="E527">
            <v>1.8401594703739634E-3</v>
          </cell>
        </row>
        <row r="528">
          <cell r="D528">
            <v>-6.7559559084983687E-3</v>
          </cell>
          <cell r="E528">
            <v>-7.3032049000976811E-3</v>
          </cell>
        </row>
        <row r="529">
          <cell r="D529">
            <v>-1.1754176610978514E-2</v>
          </cell>
          <cell r="E529">
            <v>-3.5147060233549779E-3</v>
          </cell>
        </row>
        <row r="530">
          <cell r="D530">
            <v>5.4337982249592813E-3</v>
          </cell>
          <cell r="E530">
            <v>-8.0074351474728311E-3</v>
          </cell>
        </row>
        <row r="531">
          <cell r="D531">
            <v>1.4351768450129023E-2</v>
          </cell>
          <cell r="E531">
            <v>1.329377650036662E-2</v>
          </cell>
        </row>
        <row r="532">
          <cell r="D532">
            <v>7.1631541558134504E-3</v>
          </cell>
          <cell r="E532">
            <v>-2.1885922565605732E-3</v>
          </cell>
        </row>
        <row r="533">
          <cell r="D533">
            <v>-1.9867160406747755E-2</v>
          </cell>
          <cell r="E533">
            <v>-5.9215061936089101E-3</v>
          </cell>
        </row>
        <row r="534">
          <cell r="D534">
            <v>-4.1979010494751943E-3</v>
          </cell>
          <cell r="E534">
            <v>8.133628024914916E-3</v>
          </cell>
        </row>
        <row r="535">
          <cell r="D535">
            <v>1.8006624510689434E-2</v>
          </cell>
          <cell r="E535">
            <v>4.275277296909144E-3</v>
          </cell>
        </row>
        <row r="536">
          <cell r="D536">
            <v>-1.7274017983909061E-2</v>
          </cell>
          <cell r="E536">
            <v>-1.9112545325273966E-2</v>
          </cell>
        </row>
        <row r="537">
          <cell r="D537">
            <v>3.088129063327712E-2</v>
          </cell>
          <cell r="E537">
            <v>1.2341831768831711E-2</v>
          </cell>
        </row>
        <row r="538">
          <cell r="D538">
            <v>-2.7445255474452489E-2</v>
          </cell>
          <cell r="E538">
            <v>-1.7154133037795501E-2</v>
          </cell>
        </row>
        <row r="539">
          <cell r="D539">
            <v>-2.0954668267787503E-2</v>
          </cell>
          <cell r="E539">
            <v>-1.8382257461257826E-2</v>
          </cell>
        </row>
        <row r="540">
          <cell r="D540">
            <v>-1.9869986508033909E-2</v>
          </cell>
          <cell r="E540">
            <v>-1.2012551865085385E-2</v>
          </cell>
        </row>
        <row r="541">
          <cell r="D541">
            <v>-9.6984107120509505E-3</v>
          </cell>
          <cell r="E541">
            <v>-2.0871708297781139E-2</v>
          </cell>
        </row>
        <row r="542">
          <cell r="D542">
            <v>1.0804321728691347E-2</v>
          </cell>
          <cell r="E542">
            <v>2.3570024703270884E-2</v>
          </cell>
        </row>
        <row r="543">
          <cell r="D543">
            <v>3.7504688086012175E-3</v>
          </cell>
          <cell r="E543">
            <v>2.2346492470096763E-2</v>
          </cell>
        </row>
        <row r="544">
          <cell r="D544">
            <v>1.8682276746791813E-3</v>
          </cell>
          <cell r="E544">
            <v>2.0209267670376761E-3</v>
          </cell>
        </row>
        <row r="545">
          <cell r="D545">
            <v>2.840626553953253E-2</v>
          </cell>
          <cell r="E545">
            <v>1.3225342900314912E-2</v>
          </cell>
        </row>
        <row r="546">
          <cell r="D546">
            <v>-1.6258688425506183E-2</v>
          </cell>
          <cell r="E546">
            <v>-1.5978328860683264E-2</v>
          </cell>
        </row>
        <row r="547">
          <cell r="D547">
            <v>3.0720078643408315E-4</v>
          </cell>
          <cell r="E547">
            <v>3.9625177393212739E-3</v>
          </cell>
        </row>
        <row r="548">
          <cell r="D548">
            <v>-4.9137030894915855E-4</v>
          </cell>
          <cell r="E548">
            <v>1.1269604383480217E-2</v>
          </cell>
        </row>
        <row r="549">
          <cell r="D549">
            <v>-3.1340256867202787E-3</v>
          </cell>
          <cell r="E549">
            <v>3.014050815143735E-3</v>
          </cell>
        </row>
        <row r="550">
          <cell r="D550">
            <v>-3.2055233633338075E-3</v>
          </cell>
          <cell r="E550">
            <v>3.9954602332372396E-3</v>
          </cell>
        </row>
        <row r="551">
          <cell r="D551">
            <v>1.4285714285714301E-2</v>
          </cell>
          <cell r="E551">
            <v>-4.4729319059375657E-3</v>
          </cell>
        </row>
        <row r="552">
          <cell r="D552">
            <v>-8.6580086580085817E-3</v>
          </cell>
          <cell r="E552">
            <v>-2.3940926544150431E-2</v>
          </cell>
        </row>
        <row r="553">
          <cell r="D553">
            <v>2.7061934928347235E-3</v>
          </cell>
          <cell r="E553">
            <v>1.3330542539351528E-3</v>
          </cell>
        </row>
        <row r="554">
          <cell r="D554">
            <v>2.0303011715635172E-2</v>
          </cell>
          <cell r="E554">
            <v>2.1761689940646397E-3</v>
          </cell>
        </row>
        <row r="555">
          <cell r="D555">
            <v>-6.6129614043533515E-4</v>
          </cell>
          <cell r="E555">
            <v>-3.5828146008385696E-3</v>
          </cell>
        </row>
        <row r="556">
          <cell r="D556">
            <v>-1.9551224207423449E-2</v>
          </cell>
          <cell r="E556">
            <v>-2.8619274738285335E-3</v>
          </cell>
        </row>
        <row r="557">
          <cell r="D557">
            <v>-3.43600441771998E-3</v>
          </cell>
          <cell r="E557">
            <v>-1.69915092114277E-2</v>
          </cell>
        </row>
        <row r="558">
          <cell r="D558">
            <v>4.8639330131758441E-3</v>
          </cell>
          <cell r="E558">
            <v>1.9667628129835829E-2</v>
          </cell>
        </row>
        <row r="559">
          <cell r="D559">
            <v>4.962931192941623E-3</v>
          </cell>
          <cell r="E559">
            <v>-1.015928494055799E-2</v>
          </cell>
        </row>
        <row r="560">
          <cell r="D560">
            <v>4.9993903182538298E-3</v>
          </cell>
          <cell r="E560">
            <v>1.7922999673746685E-2</v>
          </cell>
        </row>
        <row r="561">
          <cell r="D561">
            <v>1.7228827954380025E-2</v>
          </cell>
          <cell r="E561">
            <v>9.948736471131021E-3</v>
          </cell>
        </row>
        <row r="562">
          <cell r="D562">
            <v>-1.9620706106870351E-2</v>
          </cell>
          <cell r="E562">
            <v>-4.6126629027089579E-3</v>
          </cell>
        </row>
        <row r="563">
          <cell r="D563">
            <v>4.0148427519923662E-3</v>
          </cell>
          <cell r="E563">
            <v>1.5678758861266062E-3</v>
          </cell>
        </row>
        <row r="564">
          <cell r="D564">
            <v>-7.815813389881977E-3</v>
          </cell>
          <cell r="E564">
            <v>5.8303737499326054E-3</v>
          </cell>
        </row>
        <row r="565">
          <cell r="D565">
            <v>-1.0747435271128427E-2</v>
          </cell>
          <cell r="E565">
            <v>-1.7885194881091455E-3</v>
          </cell>
        </row>
        <row r="566">
          <cell r="D566">
            <v>0</v>
          </cell>
          <cell r="E566">
            <v>1.6681339760309839E-3</v>
          </cell>
        </row>
        <row r="567">
          <cell r="D567">
            <v>-1.0493827160493055E-3</v>
          </cell>
          <cell r="E567">
            <v>-8.653670636519074E-3</v>
          </cell>
        </row>
        <row r="568">
          <cell r="D568">
            <v>-1.8537971945869824E-4</v>
          </cell>
          <cell r="E568">
            <v>1.0825458764466934E-2</v>
          </cell>
        </row>
        <row r="569">
          <cell r="D569">
            <v>-1.2360939431397839E-3</v>
          </cell>
          <cell r="E569">
            <v>-2.0537544455060787E-3</v>
          </cell>
        </row>
        <row r="570">
          <cell r="D570">
            <v>6.1881188118808369E-4</v>
          </cell>
          <cell r="E570">
            <v>-8.3195494513595668E-3</v>
          </cell>
        </row>
        <row r="571">
          <cell r="D571">
            <v>1.7934446505876345E-3</v>
          </cell>
          <cell r="E571">
            <v>-4.9599807343085897E-3</v>
          </cell>
        </row>
        <row r="572">
          <cell r="D572">
            <v>-3.4570035187357381E-3</v>
          </cell>
          <cell r="E572">
            <v>2.1831374047235692E-2</v>
          </cell>
        </row>
        <row r="573">
          <cell r="D573">
            <v>4.2804930929814758E-2</v>
          </cell>
          <cell r="E573">
            <v>-8.5349465454917506E-3</v>
          </cell>
        </row>
        <row r="574">
          <cell r="D574">
            <v>7.3066413211357361E-3</v>
          </cell>
          <cell r="E574">
            <v>-5.1608564438508754E-3</v>
          </cell>
        </row>
        <row r="575">
          <cell r="D575">
            <v>-5.6024060859821232E-3</v>
          </cell>
          <cell r="E575">
            <v>-4.3500627619891827E-3</v>
          </cell>
        </row>
        <row r="576">
          <cell r="D576">
            <v>1.8028703593879682E-2</v>
          </cell>
          <cell r="E576">
            <v>-1.3390957514982845E-2</v>
          </cell>
        </row>
        <row r="577">
          <cell r="D577">
            <v>1.1184900384481044E-2</v>
          </cell>
          <cell r="E577">
            <v>-4.2056058930445735E-3</v>
          </cell>
        </row>
        <row r="578">
          <cell r="D578">
            <v>-1.8896186196566429E-2</v>
          </cell>
          <cell r="E578">
            <v>1.1057895190601718E-2</v>
          </cell>
        </row>
        <row r="579">
          <cell r="D579">
            <v>-1.0158543746330111E-2</v>
          </cell>
          <cell r="E579">
            <v>8.5275894513885467E-3</v>
          </cell>
        </row>
        <row r="580">
          <cell r="D580">
            <v>1.0440766447173396E-2</v>
          </cell>
          <cell r="E580">
            <v>5.1411090475375178E-3</v>
          </cell>
        </row>
        <row r="581">
          <cell r="D581">
            <v>1.9139317794868729E-2</v>
          </cell>
          <cell r="E581">
            <v>1.376080887807259E-2</v>
          </cell>
        </row>
        <row r="582">
          <cell r="D582">
            <v>1.077250993720839E-2</v>
          </cell>
          <cell r="E582">
            <v>4.0507630418259036E-3</v>
          </cell>
        </row>
        <row r="583">
          <cell r="D583">
            <v>1.5958053117519726E-3</v>
          </cell>
          <cell r="E583">
            <v>-6.5180108138390156E-3</v>
          </cell>
        </row>
        <row r="584">
          <cell r="D584">
            <v>-6.82826903380019E-4</v>
          </cell>
          <cell r="E584">
            <v>-2.3650396183539E-3</v>
          </cell>
        </row>
        <row r="585">
          <cell r="D585">
            <v>1.1388224575787987E-3</v>
          </cell>
          <cell r="E585">
            <v>7.4803501201451501E-3</v>
          </cell>
        </row>
        <row r="586">
          <cell r="D586">
            <v>1.7062905244000193E-4</v>
          </cell>
          <cell r="E586">
            <v>3.966679284189983E-3</v>
          </cell>
        </row>
        <row r="587">
          <cell r="D587">
            <v>1.0235996588001525E-3</v>
          </cell>
          <cell r="E587">
            <v>4.4156781195177509E-3</v>
          </cell>
        </row>
        <row r="588">
          <cell r="D588">
            <v>8.5780832812588238E-3</v>
          </cell>
          <cell r="E588">
            <v>1.1050598414795689E-2</v>
          </cell>
        </row>
        <row r="589">
          <cell r="D589">
            <v>4.4497014757238964E-3</v>
          </cell>
          <cell r="E589">
            <v>-4.6056261696971742E-4</v>
          </cell>
        </row>
        <row r="590">
          <cell r="D590">
            <v>5.6075814501205627E-3</v>
          </cell>
          <cell r="E590">
            <v>7.171075479662131E-3</v>
          </cell>
        </row>
        <row r="591">
          <cell r="D591">
            <v>9.3124407516867631E-3</v>
          </cell>
          <cell r="E591">
            <v>1.6340136259399916E-2</v>
          </cell>
        </row>
        <row r="592">
          <cell r="D592">
            <v>-1.6022099447513373E-3</v>
          </cell>
          <cell r="E592">
            <v>6.157464223780054E-3</v>
          </cell>
        </row>
        <row r="593">
          <cell r="D593">
            <v>1.4387692988766028E-3</v>
          </cell>
          <cell r="E593">
            <v>-1.3355118749748519E-3</v>
          </cell>
        </row>
        <row r="594">
          <cell r="D594">
            <v>6.7967066364590248E-3</v>
          </cell>
          <cell r="E594">
            <v>-6.9337522258866905E-4</v>
          </cell>
        </row>
        <row r="595">
          <cell r="D595">
            <v>1.0976948408348097E-4</v>
          </cell>
          <cell r="E595">
            <v>2.4570872630891986E-3</v>
          </cell>
        </row>
        <row r="596">
          <cell r="D596">
            <v>-2.3597848754253474E-3</v>
          </cell>
          <cell r="E596">
            <v>1.8866789596717478E-3</v>
          </cell>
        </row>
        <row r="597">
          <cell r="D597">
            <v>-3.9606138951537428E-3</v>
          </cell>
          <cell r="E597">
            <v>-3.2023081130521649E-3</v>
          </cell>
        </row>
        <row r="598">
          <cell r="D598">
            <v>-1.6568178052686806E-2</v>
          </cell>
          <cell r="E598">
            <v>-7.6921191709392704E-3</v>
          </cell>
        </row>
        <row r="599">
          <cell r="D599">
            <v>1.1063065086763626E-2</v>
          </cell>
          <cell r="E599">
            <v>9.9182420555899466E-3</v>
          </cell>
        </row>
        <row r="600">
          <cell r="D600">
            <v>6.3319262386137241E-3</v>
          </cell>
          <cell r="E600">
            <v>1.1031783681706658E-3</v>
          </cell>
        </row>
        <row r="601">
          <cell r="D601">
            <v>-1.3246495198145991E-3</v>
          </cell>
          <cell r="E601">
            <v>8.7229570940479638E-3</v>
          </cell>
        </row>
        <row r="602">
          <cell r="D602">
            <v>3.8686857521826669E-4</v>
          </cell>
          <cell r="E602">
            <v>-1.9193007112413736E-3</v>
          </cell>
        </row>
        <row r="603">
          <cell r="D603">
            <v>-1.3921882768907696E-2</v>
          </cell>
          <cell r="E603">
            <v>-3.1184868738145027E-3</v>
          </cell>
        </row>
        <row r="604">
          <cell r="D604">
            <v>4.0338394307804296E-3</v>
          </cell>
          <cell r="E604">
            <v>-7.2121185869074515E-3</v>
          </cell>
        </row>
        <row r="605">
          <cell r="D605">
            <v>-1.4508118966576604E-3</v>
          </cell>
          <cell r="E605">
            <v>2.2318140501233243E-3</v>
          </cell>
        </row>
        <row r="606">
          <cell r="D606">
            <v>-1.084101704386699E-2</v>
          </cell>
          <cell r="E606">
            <v>-4.6881474966038962E-3</v>
          </cell>
        </row>
        <row r="607">
          <cell r="D607">
            <v>0</v>
          </cell>
          <cell r="E607">
            <v>-5.2861212033855718E-4</v>
          </cell>
        </row>
        <row r="608">
          <cell r="D608">
            <v>-8.4740975086140488E-4</v>
          </cell>
          <cell r="E608">
            <v>-1.8013159358945402E-3</v>
          </cell>
        </row>
        <row r="609">
          <cell r="D609">
            <v>1.0742960533755383E-3</v>
          </cell>
          <cell r="E609">
            <v>1.2910040980612764E-3</v>
          </cell>
        </row>
        <row r="610">
          <cell r="D610">
            <v>-5.8175656594182494E-3</v>
          </cell>
          <cell r="E610">
            <v>-5.3917077786121946E-3</v>
          </cell>
        </row>
        <row r="611">
          <cell r="D611">
            <v>-3.1757754800590857E-2</v>
          </cell>
          <cell r="E611">
            <v>-1.4707170938081923E-2</v>
          </cell>
        </row>
        <row r="612">
          <cell r="D612">
            <v>-6.4542627471697264E-4</v>
          </cell>
          <cell r="E612">
            <v>2.8811325391176878E-3</v>
          </cell>
        </row>
        <row r="613">
          <cell r="D613">
            <v>2.0197275716298719E-2</v>
          </cell>
          <cell r="E613">
            <v>4.6300450785007443E-3</v>
          </cell>
        </row>
        <row r="614">
          <cell r="D614">
            <v>1.4790515653775448E-2</v>
          </cell>
          <cell r="E614">
            <v>9.3874020663054659E-3</v>
          </cell>
        </row>
        <row r="615">
          <cell r="D615">
            <v>-1.1342369420977842E-4</v>
          </cell>
          <cell r="E615">
            <v>-2.3930676977282784E-3</v>
          </cell>
        </row>
        <row r="616">
          <cell r="D616">
            <v>-8.0539958028473472E-3</v>
          </cell>
          <cell r="E616">
            <v>-5.3906603548448976E-3</v>
          </cell>
        </row>
        <row r="617">
          <cell r="D617">
            <v>-3.4879066842014137E-3</v>
          </cell>
          <cell r="E617">
            <v>-1.7491363955308285E-3</v>
          </cell>
        </row>
        <row r="618">
          <cell r="D618">
            <v>-4.1886619233416902E-3</v>
          </cell>
          <cell r="E618">
            <v>-2.0749306807564803E-3</v>
          </cell>
        </row>
        <row r="619">
          <cell r="D619">
            <v>1.227312013828865E-2</v>
          </cell>
          <cell r="E619">
            <v>1.7043078298473246E-2</v>
          </cell>
        </row>
        <row r="620">
          <cell r="D620">
            <v>-1.4799635701276145E-3</v>
          </cell>
          <cell r="E620">
            <v>-1.0191211110526135E-2</v>
          </cell>
        </row>
        <row r="621">
          <cell r="D621">
            <v>6.4416828183788844E-3</v>
          </cell>
          <cell r="E621">
            <v>-2.4466265588386745E-3</v>
          </cell>
        </row>
        <row r="622">
          <cell r="D622">
            <v>1.5859529878221531E-3</v>
          </cell>
          <cell r="E622">
            <v>7.0415292152849478E-4</v>
          </cell>
        </row>
        <row r="623">
          <cell r="D623">
            <v>-2.1489566250072036E-3</v>
          </cell>
          <cell r="E623">
            <v>2.3125287881408136E-4</v>
          </cell>
        </row>
        <row r="624">
          <cell r="D624">
            <v>-4.6472088410314154E-3</v>
          </cell>
          <cell r="E624">
            <v>2.8803067161324099E-3</v>
          </cell>
        </row>
        <row r="625">
          <cell r="D625">
            <v>-5.8076638387518182E-3</v>
          </cell>
          <cell r="E625">
            <v>4.3266329695856977E-3</v>
          </cell>
        </row>
        <row r="626">
          <cell r="D626">
            <v>-7.9033274153829901E-3</v>
          </cell>
          <cell r="E626">
            <v>8.1385063823409445E-4</v>
          </cell>
        </row>
        <row r="627">
          <cell r="D627">
            <v>-1.079489695780163E-2</v>
          </cell>
          <cell r="E627">
            <v>-1.6750478241925101E-3</v>
          </cell>
        </row>
        <row r="628">
          <cell r="D628">
            <v>-9.9206349206358482E-4</v>
          </cell>
          <cell r="E628">
            <v>-2.5189844469082948E-3</v>
          </cell>
        </row>
        <row r="629">
          <cell r="D629">
            <v>-2.8039020970850505E-3</v>
          </cell>
          <cell r="E629">
            <v>3.0017192236722737E-4</v>
          </cell>
        </row>
        <row r="630">
          <cell r="D630">
            <v>8.5525159627437147E-3</v>
          </cell>
          <cell r="E630">
            <v>-7.7371207534801239E-3</v>
          </cell>
        </row>
        <row r="631">
          <cell r="D631">
            <v>2.9563803217749922E-2</v>
          </cell>
          <cell r="E631">
            <v>-1.2046148159585447E-4</v>
          </cell>
        </row>
        <row r="632">
          <cell r="D632">
            <v>1.2975290533679407E-2</v>
          </cell>
          <cell r="E632">
            <v>-5.4328332593216368E-3</v>
          </cell>
        </row>
        <row r="633">
          <cell r="D633">
            <v>2.5395411004678115E-2</v>
          </cell>
          <cell r="E633">
            <v>8.4572850363901515E-3</v>
          </cell>
        </row>
        <row r="634">
          <cell r="D634">
            <v>-2.4494894633934342E-2</v>
          </cell>
          <cell r="E634">
            <v>6.428853661234999E-3</v>
          </cell>
        </row>
        <row r="635">
          <cell r="D635">
            <v>-1.1135237458944507E-4</v>
          </cell>
          <cell r="E635">
            <v>6.6082726528063948E-4</v>
          </cell>
        </row>
        <row r="636">
          <cell r="D636">
            <v>-2.3219555654546555E-2</v>
          </cell>
          <cell r="E636">
            <v>-3.1178149013975347E-3</v>
          </cell>
        </row>
        <row r="637">
          <cell r="D637">
            <v>9.3489909930453471E-3</v>
          </cell>
          <cell r="E637">
            <v>-3.1680774998278853E-3</v>
          </cell>
        </row>
        <row r="638">
          <cell r="D638">
            <v>-4.518242403705023E-3</v>
          </cell>
          <cell r="E638">
            <v>-7.7138426130159013E-3</v>
          </cell>
        </row>
        <row r="639">
          <cell r="D639">
            <v>2.3261091569272475E-3</v>
          </cell>
          <cell r="E639">
            <v>2.5167845763972676E-4</v>
          </cell>
        </row>
        <row r="640">
          <cell r="D640">
            <v>-3.7923812758249137E-3</v>
          </cell>
          <cell r="E640">
            <v>5.1320152038335908E-3</v>
          </cell>
        </row>
        <row r="641">
          <cell r="D641">
            <v>-5.113636363636557E-4</v>
          </cell>
          <cell r="E641">
            <v>-2.2504410332524795E-3</v>
          </cell>
        </row>
        <row r="642">
          <cell r="D642">
            <v>-1.0346199761241506E-2</v>
          </cell>
          <cell r="E642">
            <v>-2.1349349999874243E-3</v>
          </cell>
        </row>
        <row r="643">
          <cell r="D643">
            <v>4.020908725371542E-4</v>
          </cell>
          <cell r="E643">
            <v>-5.4494566867302422E-3</v>
          </cell>
        </row>
        <row r="644">
          <cell r="D644">
            <v>-6.9476343592099676E-3</v>
          </cell>
          <cell r="E644">
            <v>7.3681399038512995E-3</v>
          </cell>
        </row>
        <row r="645">
          <cell r="D645">
            <v>-1.133275513154079E-2</v>
          </cell>
          <cell r="E645">
            <v>7.2234700884181062E-3</v>
          </cell>
        </row>
        <row r="646">
          <cell r="D646">
            <v>-8.5969939762559136E-3</v>
          </cell>
          <cell r="E646">
            <v>1.0764536504549794E-2</v>
          </cell>
        </row>
        <row r="647">
          <cell r="D647">
            <v>2.654554034922066E-3</v>
          </cell>
          <cell r="E647">
            <v>-5.8924751118271225E-3</v>
          </cell>
        </row>
        <row r="648">
          <cell r="D648">
            <v>-5.8833911866796684E-4</v>
          </cell>
          <cell r="E648">
            <v>-4.0312607218550879E-3</v>
          </cell>
        </row>
        <row r="649">
          <cell r="D649">
            <v>3.5321127921352961E-4</v>
          </cell>
          <cell r="E649">
            <v>-5.7232045579070547E-3</v>
          </cell>
        </row>
        <row r="650">
          <cell r="D650">
            <v>-8.4152298005061299E-3</v>
          </cell>
          <cell r="E650">
            <v>-4.7872539206013009E-3</v>
          </cell>
        </row>
        <row r="651">
          <cell r="D651">
            <v>-5.9347181008898703E-4</v>
          </cell>
          <cell r="E651">
            <v>4.8618343352809009E-3</v>
          </cell>
        </row>
        <row r="652">
          <cell r="D652">
            <v>-4.9287410926366539E-3</v>
          </cell>
          <cell r="E652">
            <v>1.1409099833846197E-3</v>
          </cell>
        </row>
        <row r="653">
          <cell r="D653">
            <v>-9.3692188339201121E-3</v>
          </cell>
          <cell r="E653">
            <v>-1.3243429845880293E-4</v>
          </cell>
        </row>
        <row r="654">
          <cell r="D654">
            <v>-1.0421686746987889E-2</v>
          </cell>
          <cell r="E654">
            <v>-1.0764875628144445E-2</v>
          </cell>
        </row>
        <row r="655">
          <cell r="D655">
            <v>6.2701649723017052E-3</v>
          </cell>
          <cell r="E655">
            <v>1.1600522439261637E-3</v>
          </cell>
        </row>
        <row r="656">
          <cell r="D656">
            <v>-1.99637023593474E-3</v>
          </cell>
          <cell r="E656">
            <v>-8.2947398997442509E-4</v>
          </cell>
        </row>
        <row r="657">
          <cell r="D657">
            <v>-1.8003273322422252E-2</v>
          </cell>
          <cell r="E657">
            <v>-4.018882096025145E-3</v>
          </cell>
        </row>
        <row r="658">
          <cell r="D658">
            <v>-5.6172839506172627E-3</v>
          </cell>
          <cell r="E658">
            <v>-7.1313992136950262E-3</v>
          </cell>
        </row>
        <row r="659">
          <cell r="D659">
            <v>2.6693152895897127E-3</v>
          </cell>
          <cell r="E659">
            <v>4.9229783749753699E-3</v>
          </cell>
        </row>
        <row r="660">
          <cell r="D660">
            <v>2.8479445269934344E-3</v>
          </cell>
          <cell r="E660">
            <v>1.2293158709296582E-2</v>
          </cell>
        </row>
        <row r="661">
          <cell r="D661">
            <v>1.234720335844563E-4</v>
          </cell>
          <cell r="E661">
            <v>1.5290808205127399E-3</v>
          </cell>
        </row>
        <row r="662">
          <cell r="D662">
            <v>-1.2345679012345678E-2</v>
          </cell>
          <cell r="E662">
            <v>-8.0202308164549832E-3</v>
          </cell>
        </row>
        <row r="663">
          <cell r="D663">
            <v>-4.9374999999999506E-3</v>
          </cell>
          <cell r="E663">
            <v>-3.7239285548247365E-3</v>
          </cell>
        </row>
        <row r="664">
          <cell r="D664">
            <v>2.5124049996859848E-3</v>
          </cell>
          <cell r="E664">
            <v>4.3611794663666022E-3</v>
          </cell>
        </row>
        <row r="665">
          <cell r="D665">
            <v>1.6289706158761411E-3</v>
          </cell>
          <cell r="E665">
            <v>-6.0608953961661374E-3</v>
          </cell>
        </row>
        <row r="666">
          <cell r="D666">
            <v>6.8805904797638847E-4</v>
          </cell>
          <cell r="E666">
            <v>-2.3130160167836281E-3</v>
          </cell>
        </row>
        <row r="667">
          <cell r="D667">
            <v>-2.1752719089886172E-2</v>
          </cell>
          <cell r="E667">
            <v>-1.1162260486702595E-2</v>
          </cell>
        </row>
        <row r="668">
          <cell r="D668">
            <v>2.555910543130482E-4</v>
          </cell>
          <cell r="E668">
            <v>-8.9463222836476154E-3</v>
          </cell>
        </row>
        <row r="669">
          <cell r="D669">
            <v>1.2840168646991309E-2</v>
          </cell>
          <cell r="E669">
            <v>-6.5872408066804172E-3</v>
          </cell>
        </row>
        <row r="670">
          <cell r="D670">
            <v>4.0365815200251419E-3</v>
          </cell>
          <cell r="E670">
            <v>-4.9310239469031996E-3</v>
          </cell>
        </row>
        <row r="671">
          <cell r="D671">
            <v>-1.6960864375903653E-3</v>
          </cell>
          <cell r="E671">
            <v>-5.6742850347608698E-3</v>
          </cell>
        </row>
        <row r="672">
          <cell r="D672">
            <v>1.3591744273848636E-2</v>
          </cell>
          <cell r="E672">
            <v>1.0200643673400862E-2</v>
          </cell>
        </row>
        <row r="673">
          <cell r="D673">
            <v>-3.0109262478271805E-2</v>
          </cell>
          <cell r="E673">
            <v>-2.0059445702069606E-2</v>
          </cell>
        </row>
        <row r="674">
          <cell r="D674">
            <v>1.5874031876080257E-2</v>
          </cell>
          <cell r="E674">
            <v>1.2010348292437096E-2</v>
          </cell>
        </row>
        <row r="675">
          <cell r="D675">
            <v>-6.9308802217890261E-4</v>
          </cell>
          <cell r="E675">
            <v>-6.2138638206134255E-4</v>
          </cell>
        </row>
        <row r="676">
          <cell r="D676">
            <v>-1.4880201765447574E-2</v>
          </cell>
          <cell r="E676">
            <v>3.8509795706425857E-3</v>
          </cell>
        </row>
        <row r="677">
          <cell r="D677">
            <v>-7.936507936507995E-3</v>
          </cell>
          <cell r="E677">
            <v>-8.3901475207850077E-3</v>
          </cell>
        </row>
        <row r="678">
          <cell r="D678">
            <v>-2.3225806451612867E-2</v>
          </cell>
          <cell r="E678">
            <v>-6.5673276457090058E-3</v>
          </cell>
        </row>
        <row r="679">
          <cell r="D679">
            <v>1.0700132100396331E-2</v>
          </cell>
          <cell r="E679">
            <v>4.7959096058591555E-3</v>
          </cell>
        </row>
        <row r="680">
          <cell r="D680">
            <v>6.927199058946557E-3</v>
          </cell>
          <cell r="E680">
            <v>-2.4404499704391257E-3</v>
          </cell>
        </row>
        <row r="681">
          <cell r="D681">
            <v>5.0623052959501624E-3</v>
          </cell>
          <cell r="E681">
            <v>-1.4566554616823138E-2</v>
          </cell>
        </row>
        <row r="682">
          <cell r="D682">
            <v>6.9740410693528605E-3</v>
          </cell>
          <cell r="E682">
            <v>1.2258908699308386E-3</v>
          </cell>
        </row>
        <row r="683">
          <cell r="D683">
            <v>-7.6311401821213144E-3</v>
          </cell>
          <cell r="E683">
            <v>-1.5069589463638443E-2</v>
          </cell>
        </row>
        <row r="684">
          <cell r="D684">
            <v>-1.8739903069466368E-3</v>
          </cell>
          <cell r="E684">
            <v>2.5725456008521663E-2</v>
          </cell>
        </row>
        <row r="685">
          <cell r="D685">
            <v>-1.1006085717986268E-3</v>
          </cell>
          <cell r="E685">
            <v>1.1004049291644604E-2</v>
          </cell>
        </row>
        <row r="686">
          <cell r="D686">
            <v>-1.4906993324259401E-2</v>
          </cell>
          <cell r="E686">
            <v>-4.2854405014733261E-3</v>
          </cell>
        </row>
        <row r="687">
          <cell r="D687">
            <v>2.8949272978485277E-2</v>
          </cell>
          <cell r="E687">
            <v>1.9494078461643648E-2</v>
          </cell>
        </row>
        <row r="688">
          <cell r="D688">
            <v>1.4706822686873728E-3</v>
          </cell>
          <cell r="E688">
            <v>7.0756883708070891E-3</v>
          </cell>
        </row>
        <row r="689">
          <cell r="D689">
            <v>1.8005363299706253E-2</v>
          </cell>
          <cell r="E689">
            <v>-5.3040718965374446E-3</v>
          </cell>
        </row>
        <row r="690">
          <cell r="D690">
            <v>3.5122930255895779E-3</v>
          </cell>
          <cell r="E690">
            <v>-3.2721668791944121E-3</v>
          </cell>
        </row>
        <row r="691">
          <cell r="D691">
            <v>3.1250000000000002E-3</v>
          </cell>
          <cell r="E691">
            <v>-3.8134046765495415E-3</v>
          </cell>
        </row>
        <row r="692">
          <cell r="D692">
            <v>9.0965732087227909E-3</v>
          </cell>
          <cell r="E692">
            <v>1.3148759567243878E-2</v>
          </cell>
        </row>
        <row r="693">
          <cell r="D693">
            <v>-8.3971350950852904E-3</v>
          </cell>
          <cell r="E693">
            <v>3.0466048316461812E-3</v>
          </cell>
        </row>
        <row r="694">
          <cell r="D694">
            <v>6.2266500622661471E-4</v>
          </cell>
          <cell r="E694">
            <v>4.9618694897862478E-3</v>
          </cell>
        </row>
        <row r="695">
          <cell r="D695">
            <v>9.8942128189172598E-3</v>
          </cell>
          <cell r="E695">
            <v>1.5735543856164536E-2</v>
          </cell>
        </row>
        <row r="696">
          <cell r="D696">
            <v>5.5456281964386849E-4</v>
          </cell>
          <cell r="E696">
            <v>3.5510853804811746E-3</v>
          </cell>
        </row>
        <row r="697">
          <cell r="D697">
            <v>-2.0938539228969296E-3</v>
          </cell>
          <cell r="E697">
            <v>-1.7082362969647377E-3</v>
          </cell>
        </row>
        <row r="698">
          <cell r="D698">
            <v>-3.0856578622551808E-4</v>
          </cell>
          <cell r="E698">
            <v>3.9704510333718164E-3</v>
          </cell>
        </row>
        <row r="699">
          <cell r="D699">
            <v>-3.8273967528860086E-3</v>
          </cell>
          <cell r="E699">
            <v>1.6226457130344622E-3</v>
          </cell>
        </row>
        <row r="700">
          <cell r="D700">
            <v>-1.0410857036623949E-2</v>
          </cell>
          <cell r="E700">
            <v>-3.8219038476989928E-3</v>
          </cell>
        </row>
        <row r="701">
          <cell r="D701">
            <v>-1.6845137453816755E-2</v>
          </cell>
          <cell r="E701">
            <v>-1.5178380406766022E-2</v>
          </cell>
        </row>
        <row r="702">
          <cell r="D702">
            <v>-1.5350318471337557E-2</v>
          </cell>
          <cell r="E702">
            <v>-1.1148728521241356E-3</v>
          </cell>
        </row>
        <row r="703">
          <cell r="D703">
            <v>-5.6277896371046288E-3</v>
          </cell>
          <cell r="E703">
            <v>-1.2924563596671948E-2</v>
          </cell>
        </row>
        <row r="704">
          <cell r="D704">
            <v>1.3921415560759919E-2</v>
          </cell>
          <cell r="E704">
            <v>-2.8175386865109884E-4</v>
          </cell>
        </row>
        <row r="705">
          <cell r="D705">
            <v>3.8496086231232791E-3</v>
          </cell>
          <cell r="E705">
            <v>1.7636990868951711E-2</v>
          </cell>
        </row>
        <row r="706">
          <cell r="D706">
            <v>-1.2527163492266444E-2</v>
          </cell>
          <cell r="E706">
            <v>-7.4874991701207594E-3</v>
          </cell>
        </row>
        <row r="707">
          <cell r="D707">
            <v>-7.4433656957929167E-3</v>
          </cell>
          <cell r="E707">
            <v>-1.8166696323927924E-3</v>
          </cell>
        </row>
        <row r="708">
          <cell r="D708">
            <v>3.260515161396242E-4</v>
          </cell>
          <cell r="E708">
            <v>8.2174342069594453E-3</v>
          </cell>
        </row>
        <row r="709">
          <cell r="D709">
            <v>-1.8057366362451175E-2</v>
          </cell>
          <cell r="E709">
            <v>-1.601246391382475E-2</v>
          </cell>
        </row>
        <row r="710">
          <cell r="D710">
            <v>-1.7393613490008661E-2</v>
          </cell>
          <cell r="E710">
            <v>-1.7411301781615547E-2</v>
          </cell>
        </row>
        <row r="711">
          <cell r="D711">
            <v>-7.1616782649821112E-3</v>
          </cell>
          <cell r="E711">
            <v>-1.3010884451812869E-2</v>
          </cell>
        </row>
        <row r="712">
          <cell r="D712">
            <v>-3.2528070772371562E-2</v>
          </cell>
          <cell r="E712">
            <v>-9.6464000973768439E-3</v>
          </cell>
        </row>
        <row r="713">
          <cell r="D713">
            <v>-2.3915031300553915E-3</v>
          </cell>
          <cell r="E713">
            <v>4.060702275481891E-3</v>
          </cell>
        </row>
        <row r="714">
          <cell r="D714">
            <v>5.8873299019953418E-2</v>
          </cell>
          <cell r="E714">
            <v>2.7562351861624462E-2</v>
          </cell>
        </row>
        <row r="715">
          <cell r="D715">
            <v>2.7966440271673915E-2</v>
          </cell>
          <cell r="E715">
            <v>-5.6843087532443826E-3</v>
          </cell>
        </row>
        <row r="716">
          <cell r="D716">
            <v>3.2387614976033168E-3</v>
          </cell>
          <cell r="E716">
            <v>6.5840765453255862E-3</v>
          </cell>
        </row>
        <row r="717">
          <cell r="D717">
            <v>-5.1330061983471002E-2</v>
          </cell>
          <cell r="E717">
            <v>-4.7058198590495613E-2</v>
          </cell>
        </row>
        <row r="718">
          <cell r="D718">
            <v>-1.8716395562512759E-2</v>
          </cell>
          <cell r="E718">
            <v>-3.0531420185194089E-5</v>
          </cell>
        </row>
        <row r="719">
          <cell r="D719">
            <v>3.2598141212373342E-3</v>
          </cell>
          <cell r="E719">
            <v>1.1088795251200316E-3</v>
          </cell>
        </row>
        <row r="720">
          <cell r="D720">
            <v>5.115796750777743E-2</v>
          </cell>
          <cell r="E720">
            <v>1.3232666609212388E-2</v>
          </cell>
        </row>
        <row r="721">
          <cell r="D721">
            <v>1.2364353830976622E-2</v>
          </cell>
          <cell r="E721">
            <v>-1.5095719861738129E-4</v>
          </cell>
        </row>
        <row r="722">
          <cell r="D722">
            <v>-9.3549015786396263E-3</v>
          </cell>
          <cell r="E722">
            <v>-7.4812637709374945E-3</v>
          </cell>
        </row>
        <row r="723">
          <cell r="D723">
            <v>-1.9607843137254961E-2</v>
          </cell>
          <cell r="E723">
            <v>-2.8277408129444093E-3</v>
          </cell>
        </row>
        <row r="724">
          <cell r="D724">
            <v>-5.8862876254180295E-3</v>
          </cell>
          <cell r="E724">
            <v>-3.4351266413462258E-3</v>
          </cell>
        </row>
        <row r="725">
          <cell r="D725">
            <v>2.778899206028795E-2</v>
          </cell>
          <cell r="E725">
            <v>2.5901392267758668E-2</v>
          </cell>
        </row>
        <row r="726">
          <cell r="D726">
            <v>-1.1587561374795484E-2</v>
          </cell>
          <cell r="E726">
            <v>-1.4327360556956329E-2</v>
          </cell>
        </row>
        <row r="727">
          <cell r="D727">
            <v>6.6233938269984595E-4</v>
          </cell>
          <cell r="E727">
            <v>3.8754939265330749E-3</v>
          </cell>
        </row>
        <row r="728">
          <cell r="D728">
            <v>2.8461742123376912E-3</v>
          </cell>
          <cell r="E728">
            <v>1.0005995351324782E-2</v>
          </cell>
        </row>
        <row r="729">
          <cell r="D729">
            <v>6.468219919477383E-3</v>
          </cell>
          <cell r="E729">
            <v>-3.6734367088821118E-3</v>
          </cell>
        </row>
        <row r="730">
          <cell r="D730">
            <v>6.5578070693156473E-4</v>
          </cell>
          <cell r="E730">
            <v>-4.7535972847419367E-5</v>
          </cell>
        </row>
        <row r="731">
          <cell r="D731">
            <v>1.376236974900111E-3</v>
          </cell>
          <cell r="E731">
            <v>2.081042726231626E-3</v>
          </cell>
        </row>
        <row r="732">
          <cell r="D732">
            <v>-1.2107329842932085E-2</v>
          </cell>
          <cell r="E732">
            <v>-3.3548768944742465E-3</v>
          </cell>
        </row>
        <row r="733">
          <cell r="D733">
            <v>-6.2934746604835293E-3</v>
          </cell>
          <cell r="E733">
            <v>-4.6454551038693183E-3</v>
          </cell>
        </row>
        <row r="734">
          <cell r="D734">
            <v>5.3333333333334095E-3</v>
          </cell>
          <cell r="E734">
            <v>2.9672009298291283E-3</v>
          </cell>
        </row>
        <row r="735">
          <cell r="D735">
            <v>1.3992042440318203E-2</v>
          </cell>
          <cell r="E735">
            <v>4.9126164126843596E-3</v>
          </cell>
        </row>
        <row r="736">
          <cell r="D736">
            <v>-1.0725263226734592E-2</v>
          </cell>
          <cell r="E736">
            <v>3.5266518768253515E-3</v>
          </cell>
        </row>
        <row r="737">
          <cell r="D737">
            <v>5.9496264956698432E-3</v>
          </cell>
          <cell r="E737">
            <v>4.0496485516546355E-3</v>
          </cell>
        </row>
        <row r="738">
          <cell r="D738">
            <v>-1.1697443648550972E-2</v>
          </cell>
          <cell r="E738">
            <v>6.5212024288238786E-3</v>
          </cell>
        </row>
        <row r="739">
          <cell r="D739">
            <v>2.9589733359930964E-2</v>
          </cell>
          <cell r="E739">
            <v>1.1227108850713362E-2</v>
          </cell>
        </row>
        <row r="740">
          <cell r="D740">
            <v>1.7437354688711589E-3</v>
          </cell>
          <cell r="E740">
            <v>3.7562644797943621E-4</v>
          </cell>
        </row>
        <row r="741">
          <cell r="D741">
            <v>-1.2184901037973145E-2</v>
          </cell>
          <cell r="E741">
            <v>-7.1703397801570722E-3</v>
          </cell>
        </row>
        <row r="742">
          <cell r="D742">
            <v>5.090719227254935E-3</v>
          </cell>
          <cell r="E742">
            <v>5.8415386970052221E-3</v>
          </cell>
        </row>
        <row r="743">
          <cell r="D743">
            <v>-2.0129870129870276E-3</v>
          </cell>
          <cell r="E743">
            <v>1.1952193870856321E-2</v>
          </cell>
        </row>
        <row r="744">
          <cell r="D744">
            <v>6.5066042032603977E-5</v>
          </cell>
          <cell r="E744">
            <v>-1.4165037505750461E-4</v>
          </cell>
        </row>
        <row r="745">
          <cell r="D745">
            <v>-9.7592713077423558E-3</v>
          </cell>
          <cell r="E745">
            <v>7.6545629979040666E-4</v>
          </cell>
        </row>
        <row r="746">
          <cell r="D746">
            <v>-6.3074901445465152E-3</v>
          </cell>
          <cell r="E746">
            <v>-3.3332425884083066E-3</v>
          </cell>
        </row>
        <row r="747">
          <cell r="D747">
            <v>4.826765405977187E-3</v>
          </cell>
          <cell r="E747">
            <v>5.4629046919795826E-6</v>
          </cell>
        </row>
        <row r="748">
          <cell r="D748">
            <v>-1.2502467592287801E-3</v>
          </cell>
          <cell r="E748">
            <v>-3.3050392835330378E-3</v>
          </cell>
        </row>
        <row r="749">
          <cell r="D749">
            <v>1.3176966662281086E-4</v>
          </cell>
          <cell r="E749">
            <v>-2.2974116574073079E-3</v>
          </cell>
        </row>
        <row r="750">
          <cell r="D750">
            <v>2.6350461133068329E-3</v>
          </cell>
          <cell r="E750">
            <v>-1.4810335283858236E-2</v>
          </cell>
        </row>
        <row r="751">
          <cell r="D751">
            <v>-1.6951379763469016E-2</v>
          </cell>
          <cell r="E751">
            <v>4.1230394373127045E-3</v>
          </cell>
        </row>
        <row r="752">
          <cell r="D752">
            <v>-1.8045715813394614E-3</v>
          </cell>
          <cell r="E752">
            <v>-2.0962595638926084E-3</v>
          </cell>
        </row>
        <row r="753">
          <cell r="D753">
            <v>-1.2922664881151704E-2</v>
          </cell>
          <cell r="E753">
            <v>-8.0447138283392273E-4</v>
          </cell>
        </row>
        <row r="754">
          <cell r="D754">
            <v>6.7833401166865609E-5</v>
          </cell>
          <cell r="E754">
            <v>1.4988492411185969E-3</v>
          </cell>
        </row>
        <row r="755">
          <cell r="D755">
            <v>2.6928033643084846E-2</v>
          </cell>
          <cell r="E755">
            <v>2.8470661249403117E-3</v>
          </cell>
        </row>
        <row r="756">
          <cell r="D756">
            <v>4.8877146631438615E-3</v>
          </cell>
          <cell r="E756">
            <v>-1.1379001948398733E-4</v>
          </cell>
        </row>
        <row r="757">
          <cell r="D757">
            <v>5.7841461811490996E-3</v>
          </cell>
          <cell r="E757">
            <v>6.5834906720386279E-3</v>
          </cell>
        </row>
        <row r="758">
          <cell r="D758">
            <v>7.1886027970199601E-3</v>
          </cell>
          <cell r="E758">
            <v>6.607649905189408E-3</v>
          </cell>
        </row>
        <row r="759">
          <cell r="D759">
            <v>6.8777575914871674E-3</v>
          </cell>
          <cell r="E759">
            <v>9.7351914087729797E-3</v>
          </cell>
        </row>
        <row r="760">
          <cell r="D760">
            <v>1.4177084675860217E-3</v>
          </cell>
          <cell r="E760">
            <v>-5.5556097629726733E-3</v>
          </cell>
        </row>
        <row r="761">
          <cell r="D761">
            <v>3.7966537966538185E-3</v>
          </cell>
          <cell r="E761">
            <v>1.0186876416312949E-3</v>
          </cell>
        </row>
        <row r="762">
          <cell r="D762">
            <v>-2.4616962625809369E-2</v>
          </cell>
          <cell r="E762">
            <v>-1.4898828459812142E-3</v>
          </cell>
        </row>
        <row r="763">
          <cell r="D763">
            <v>8.4784751889582129E-3</v>
          </cell>
          <cell r="E763">
            <v>2.3275979603522394E-3</v>
          </cell>
        </row>
        <row r="764">
          <cell r="D764">
            <v>3.3889468196038205E-3</v>
          </cell>
          <cell r="E764">
            <v>8.5272574728579836E-3</v>
          </cell>
        </row>
        <row r="765">
          <cell r="D765">
            <v>2.5980774227066797E-4</v>
          </cell>
          <cell r="E765">
            <v>-8.6258539103353394E-3</v>
          </cell>
        </row>
        <row r="766">
          <cell r="D766">
            <v>0</v>
          </cell>
          <cell r="E766">
            <v>3.032866318792969E-3</v>
          </cell>
        </row>
        <row r="767">
          <cell r="D767">
            <v>1.298701298701225E-3</v>
          </cell>
          <cell r="E767">
            <v>-9.446309704321176E-3</v>
          </cell>
        </row>
        <row r="768">
          <cell r="D768">
            <v>5.1880674448768578E-3</v>
          </cell>
          <cell r="E768">
            <v>1.9194160733624131E-3</v>
          </cell>
        </row>
        <row r="769">
          <cell r="D769">
            <v>-6.4516129032258064E-3</v>
          </cell>
          <cell r="E769">
            <v>-6.3544543500459981E-3</v>
          </cell>
        </row>
        <row r="770">
          <cell r="D770">
            <v>0</v>
          </cell>
          <cell r="E770">
            <v>5.1664682413058681E-3</v>
          </cell>
        </row>
        <row r="771">
          <cell r="D771">
            <v>-6.4935064935064939E-3</v>
          </cell>
          <cell r="E771">
            <v>-6.853071435749424E-3</v>
          </cell>
        </row>
        <row r="772">
          <cell r="D772">
            <v>6.5359477124183009E-3</v>
          </cell>
          <cell r="E772">
            <v>-7.730334403592329E-3</v>
          </cell>
        </row>
        <row r="773">
          <cell r="D773">
            <v>-4.2857142857142634E-3</v>
          </cell>
          <cell r="E773">
            <v>2.6823850788830483E-3</v>
          </cell>
        </row>
        <row r="774">
          <cell r="D774">
            <v>-2.6672753358549649E-2</v>
          </cell>
          <cell r="E774">
            <v>-2.885720666865774E-2</v>
          </cell>
        </row>
        <row r="775">
          <cell r="D775">
            <v>1.8425460636515914E-2</v>
          </cell>
          <cell r="E775">
            <v>3.5073742012127151E-3</v>
          </cell>
        </row>
        <row r="776">
          <cell r="D776">
            <v>9.4736842105263008E-3</v>
          </cell>
          <cell r="E776">
            <v>1.0839564353050186E-2</v>
          </cell>
        </row>
        <row r="777">
          <cell r="D777">
            <v>4.7575599582898188E-3</v>
          </cell>
          <cell r="E777">
            <v>7.7049531713292091E-3</v>
          </cell>
        </row>
        <row r="778">
          <cell r="D778">
            <v>-2.1469806058247221E-2</v>
          </cell>
          <cell r="E778">
            <v>-6.4606444395737825E-3</v>
          </cell>
        </row>
        <row r="779">
          <cell r="D779">
            <v>-2.5586636616730832E-2</v>
          </cell>
          <cell r="E779">
            <v>-2.801695282305932E-2</v>
          </cell>
        </row>
        <row r="780">
          <cell r="D780">
            <v>0</v>
          </cell>
          <cell r="E780">
            <v>-8.9819092947808141E-3</v>
          </cell>
        </row>
        <row r="781">
          <cell r="D781">
            <v>2.0476190476190415E-2</v>
          </cell>
          <cell r="E781">
            <v>3.8390003346677423E-3</v>
          </cell>
        </row>
        <row r="782">
          <cell r="D782">
            <v>2.3931737884141081E-2</v>
          </cell>
          <cell r="E782">
            <v>1.8833741917377512E-2</v>
          </cell>
        </row>
        <row r="783">
          <cell r="D783">
            <v>2.6041666666667038E-3</v>
          </cell>
          <cell r="E783">
            <v>-4.567239831056156E-3</v>
          </cell>
        </row>
        <row r="784">
          <cell r="D784">
            <v>-1.298701298701963E-4</v>
          </cell>
          <cell r="E784">
            <v>-6.5616987295127847E-3</v>
          </cell>
        </row>
        <row r="785">
          <cell r="D785">
            <v>-1.2014547343810848E-2</v>
          </cell>
          <cell r="E785">
            <v>8.1382363365231011E-3</v>
          </cell>
        </row>
        <row r="786">
          <cell r="D786">
            <v>-1.005718793137449E-2</v>
          </cell>
          <cell r="E786">
            <v>5.8524943606813257E-3</v>
          </cell>
        </row>
        <row r="787">
          <cell r="D787">
            <v>-1.0491367861885684E-2</v>
          </cell>
          <cell r="E787">
            <v>-2.1505518162421126E-2</v>
          </cell>
        </row>
        <row r="788">
          <cell r="D788">
            <v>1.4628908871292298E-2</v>
          </cell>
          <cell r="E788">
            <v>4.6537332003717411E-3</v>
          </cell>
        </row>
        <row r="789">
          <cell r="D789">
            <v>-2.1031746031745891E-2</v>
          </cell>
          <cell r="E789">
            <v>-6.1137787408901208E-4</v>
          </cell>
        </row>
        <row r="790">
          <cell r="D790">
            <v>1.8781245777597627E-2</v>
          </cell>
          <cell r="E790">
            <v>7.3780564158839315E-3</v>
          </cell>
        </row>
        <row r="791">
          <cell r="D791">
            <v>3.978779840848957E-4</v>
          </cell>
          <cell r="E791">
            <v>6.5690084795115415E-4</v>
          </cell>
        </row>
        <row r="792">
          <cell r="D792">
            <v>-7.9543948031290295E-4</v>
          </cell>
          <cell r="E792">
            <v>8.7809412107237202E-3</v>
          </cell>
        </row>
        <row r="793">
          <cell r="D793">
            <v>3.1776568926628578E-2</v>
          </cell>
          <cell r="E793">
            <v>1.1497816247988997E-2</v>
          </cell>
        </row>
        <row r="794">
          <cell r="D794">
            <v>-5.2722947341348496E-3</v>
          </cell>
          <cell r="E794">
            <v>-2.2759441657834146E-3</v>
          </cell>
        </row>
        <row r="795">
          <cell r="D795">
            <v>6.7222545407536168E-3</v>
          </cell>
          <cell r="E795">
            <v>1.3335645894812526E-2</v>
          </cell>
        </row>
        <row r="796">
          <cell r="D796">
            <v>2.1187800963082663E-3</v>
          </cell>
          <cell r="E796">
            <v>4.9696375356313265E-3</v>
          </cell>
        </row>
        <row r="797">
          <cell r="D797">
            <v>9.6104561763183782E-4</v>
          </cell>
          <cell r="E797">
            <v>-2.7685749348147843E-2</v>
          </cell>
        </row>
        <row r="798">
          <cell r="D798">
            <v>-1.0881392818280667E-2</v>
          </cell>
          <cell r="E798">
            <v>5.9313872430531408E-4</v>
          </cell>
        </row>
        <row r="799">
          <cell r="D799">
            <v>0</v>
          </cell>
          <cell r="E799">
            <v>4.1663555520750463E-3</v>
          </cell>
        </row>
        <row r="800">
          <cell r="D800">
            <v>9.5127159774800931E-3</v>
          </cell>
          <cell r="E800">
            <v>7.5600019042826681E-3</v>
          </cell>
        </row>
        <row r="801">
          <cell r="D801">
            <v>6.5384615384616041E-3</v>
          </cell>
          <cell r="E801">
            <v>3.8258433311778341E-2</v>
          </cell>
        </row>
        <row r="802">
          <cell r="D802">
            <v>1.6622086358425582E-2</v>
          </cell>
          <cell r="E802">
            <v>4.4511903358461844E-4</v>
          </cell>
        </row>
        <row r="803">
          <cell r="D803">
            <v>3.4767900770531927E-2</v>
          </cell>
          <cell r="E803">
            <v>6.9084056275790428E-3</v>
          </cell>
        </row>
        <row r="804">
          <cell r="D804">
            <v>3.0875408645113867E-3</v>
          </cell>
          <cell r="E804">
            <v>2.5193381956065846E-3</v>
          </cell>
        </row>
        <row r="805">
          <cell r="D805">
            <v>-1.1044722071337946E-2</v>
          </cell>
          <cell r="E805">
            <v>-1.3293552101498012E-3</v>
          </cell>
        </row>
        <row r="806">
          <cell r="D806">
            <v>4.5160502868301028E-3</v>
          </cell>
          <cell r="E806">
            <v>-4.4312809803437447E-3</v>
          </cell>
        </row>
        <row r="807">
          <cell r="D807">
            <v>-2.7946537059538239E-2</v>
          </cell>
          <cell r="E807">
            <v>-8.4215778868615854E-3</v>
          </cell>
        </row>
        <row r="808">
          <cell r="D808">
            <v>-1.2625000000000063E-2</v>
          </cell>
          <cell r="E808">
            <v>-6.32390109866193E-3</v>
          </cell>
        </row>
        <row r="809">
          <cell r="D809">
            <v>-4.1144448664386457E-3</v>
          </cell>
          <cell r="E809">
            <v>-2.181692967457417E-3</v>
          </cell>
        </row>
        <row r="810">
          <cell r="D810">
            <v>-8.9620542808111926E-3</v>
          </cell>
          <cell r="E810">
            <v>1.1420318565048009E-2</v>
          </cell>
        </row>
        <row r="811">
          <cell r="D811">
            <v>-1.9433042585941519E-2</v>
          </cell>
          <cell r="E811">
            <v>-1.7881091522738174E-2</v>
          </cell>
        </row>
        <row r="812">
          <cell r="D812">
            <v>-2.1649551965465197E-2</v>
          </cell>
          <cell r="E812">
            <v>-4.1023076322984187E-2</v>
          </cell>
        </row>
        <row r="813">
          <cell r="D813">
            <v>6.1505548870168965E-3</v>
          </cell>
          <cell r="E813">
            <v>2.563077942734754E-3</v>
          </cell>
        </row>
        <row r="814">
          <cell r="D814">
            <v>-6.3122923588039108E-3</v>
          </cell>
          <cell r="E814">
            <v>-1.4738982483594728E-2</v>
          </cell>
        </row>
        <row r="815">
          <cell r="D815">
            <v>2.9421598127716327E-3</v>
          </cell>
          <cell r="E815">
            <v>8.2331793160327397E-4</v>
          </cell>
        </row>
        <row r="816">
          <cell r="D816">
            <v>-2.6668444562984509E-4</v>
          </cell>
          <cell r="E816">
            <v>1.3707258352518105E-2</v>
          </cell>
        </row>
        <row r="817">
          <cell r="D817">
            <v>-2.8009336445480996E-3</v>
          </cell>
          <cell r="E817">
            <v>-1.8836667781189809E-2</v>
          </cell>
        </row>
        <row r="818">
          <cell r="D818">
            <v>-6.0857353039523616E-3</v>
          </cell>
          <cell r="E818">
            <v>1.3766976693168908E-3</v>
          </cell>
        </row>
        <row r="819">
          <cell r="D819">
            <v>-4.5081415691025162E-3</v>
          </cell>
          <cell r="E819">
            <v>8.7684190866183179E-3</v>
          </cell>
        </row>
        <row r="820">
          <cell r="D820">
            <v>-3.7309901993916747E-2</v>
          </cell>
          <cell r="E820">
            <v>-2.6690517787414065E-2</v>
          </cell>
        </row>
        <row r="821">
          <cell r="D821">
            <v>5.9678438531207915E-3</v>
          </cell>
          <cell r="E821">
            <v>1.4860434914442556E-3</v>
          </cell>
        </row>
        <row r="822">
          <cell r="D822">
            <v>3.6292573981016904E-3</v>
          </cell>
          <cell r="E822">
            <v>1.2592632792115414E-2</v>
          </cell>
        </row>
        <row r="823">
          <cell r="D823">
            <v>8.3449235048677923E-3</v>
          </cell>
          <cell r="E823">
            <v>7.5159179073901348E-3</v>
          </cell>
        </row>
        <row r="824">
          <cell r="D824">
            <v>9.5172413793103133E-3</v>
          </cell>
          <cell r="E824">
            <v>4.1690143473914754E-3</v>
          </cell>
        </row>
        <row r="825">
          <cell r="D825">
            <v>-2.6711299357835748E-2</v>
          </cell>
          <cell r="E825">
            <v>8.8289675637672187E-4</v>
          </cell>
        </row>
        <row r="826">
          <cell r="D826">
            <v>-1.5862988699375243E-2</v>
          </cell>
          <cell r="E826">
            <v>-7.4771102002082392E-3</v>
          </cell>
        </row>
        <row r="827">
          <cell r="D827">
            <v>-2.2894230083446314E-2</v>
          </cell>
          <cell r="E827">
            <v>-1.21182878489214E-2</v>
          </cell>
        </row>
        <row r="828">
          <cell r="D828">
            <v>-8.7591240875911584E-3</v>
          </cell>
          <cell r="E828">
            <v>-2.1853117258879666E-2</v>
          </cell>
        </row>
        <row r="829">
          <cell r="D829">
            <v>1.7746686303387309E-2</v>
          </cell>
          <cell r="E829">
            <v>6.3495283055403223E-3</v>
          </cell>
        </row>
        <row r="830">
          <cell r="D830">
            <v>1.0129513059835493E-3</v>
          </cell>
          <cell r="E830">
            <v>-2.1165441355963121E-4</v>
          </cell>
        </row>
        <row r="831">
          <cell r="D831">
            <v>3.1297434044091167E-2</v>
          </cell>
          <cell r="E831">
            <v>-3.6686512666710125E-4</v>
          </cell>
        </row>
        <row r="832">
          <cell r="D832">
            <v>3.1258760863470555E-2</v>
          </cell>
          <cell r="E832">
            <v>4.399184081306828E-3</v>
          </cell>
        </row>
        <row r="833">
          <cell r="D833">
            <v>6.3884735625936266E-3</v>
          </cell>
          <cell r="E833">
            <v>6.6793719372935014E-3</v>
          </cell>
        </row>
        <row r="834">
          <cell r="D834">
            <v>-6.0102647217720184E-2</v>
          </cell>
          <cell r="E834">
            <v>-2.7009574975252793E-2</v>
          </cell>
        </row>
        <row r="835">
          <cell r="D835">
            <v>3.8583129760023024E-2</v>
          </cell>
          <cell r="E835">
            <v>1.3670767048769423E-2</v>
          </cell>
        </row>
        <row r="836">
          <cell r="D836">
            <v>2.0754064337598264E-3</v>
          </cell>
          <cell r="E836">
            <v>7.0313346504567971E-3</v>
          </cell>
        </row>
        <row r="837">
          <cell r="D837">
            <v>1.1045909561615229E-3</v>
          </cell>
          <cell r="E837">
            <v>9.8394063190747061E-3</v>
          </cell>
        </row>
        <row r="838">
          <cell r="D838">
            <v>1.8757327080890965E-2</v>
          </cell>
          <cell r="E838">
            <v>7.5314256316211994E-3</v>
          </cell>
        </row>
        <row r="839">
          <cell r="D839">
            <v>-1.6855073444797811E-2</v>
          </cell>
          <cell r="E839">
            <v>6.0961219686025284E-3</v>
          </cell>
        </row>
        <row r="840">
          <cell r="D840">
            <v>1.37703112090208E-4</v>
          </cell>
          <cell r="E840">
            <v>-3.8981697437809854E-2</v>
          </cell>
        </row>
        <row r="841">
          <cell r="D841">
            <v>2.2373674790031668E-2</v>
          </cell>
          <cell r="E841">
            <v>2.0139925688989417E-2</v>
          </cell>
        </row>
        <row r="842">
          <cell r="D842">
            <v>-2.0200659888223782E-4</v>
          </cell>
          <cell r="E842">
            <v>-2.6970834964039386E-3</v>
          </cell>
        </row>
        <row r="843">
          <cell r="D843">
            <v>-9.15948275862059E-3</v>
          </cell>
          <cell r="E843">
            <v>-1.120275480167658E-2</v>
          </cell>
        </row>
        <row r="844">
          <cell r="D844">
            <v>-1.5021750951604186E-2</v>
          </cell>
          <cell r="E844">
            <v>5.8865220921343261E-3</v>
          </cell>
        </row>
        <row r="845">
          <cell r="D845">
            <v>6.2107515009318486E-4</v>
          </cell>
          <cell r="E845">
            <v>2.1549882368743427E-3</v>
          </cell>
        </row>
        <row r="846">
          <cell r="D846">
            <v>8.2758620689654394E-3</v>
          </cell>
          <cell r="E846">
            <v>-6.7777474847075803E-3</v>
          </cell>
        </row>
        <row r="847">
          <cell r="D847">
            <v>1.8878248974008343E-2</v>
          </cell>
          <cell r="E847">
            <v>-5.9402842059108904E-3</v>
          </cell>
        </row>
        <row r="848">
          <cell r="D848">
            <v>2.0810955961332051E-3</v>
          </cell>
          <cell r="E848">
            <v>1.392127061641186E-3</v>
          </cell>
        </row>
        <row r="849">
          <cell r="D849">
            <v>2.5457225162456984E-3</v>
          </cell>
          <cell r="E849">
            <v>1.7079290249051221E-2</v>
          </cell>
        </row>
        <row r="850">
          <cell r="D850">
            <v>2.1650517875041634E-2</v>
          </cell>
          <cell r="E850">
            <v>1.1612705036002317E-2</v>
          </cell>
        </row>
        <row r="851">
          <cell r="D851">
            <v>4.1206095885932626E-3</v>
          </cell>
          <cell r="E851">
            <v>-6.4700602683752662E-3</v>
          </cell>
        </row>
        <row r="852">
          <cell r="D852">
            <v>-3.9538822303283101E-2</v>
          </cell>
          <cell r="E852">
            <v>-1.682237704132945E-2</v>
          </cell>
        </row>
        <row r="853">
          <cell r="D853">
            <v>-1.2885723974228398E-3</v>
          </cell>
          <cell r="E853">
            <v>-2.3642937589790556E-2</v>
          </cell>
        </row>
        <row r="854">
          <cell r="D854">
            <v>7.3339671329621936E-3</v>
          </cell>
          <cell r="E854">
            <v>1.7487404389355185E-3</v>
          </cell>
        </row>
        <row r="855">
          <cell r="D855">
            <v>3.6874747202372916E-2</v>
          </cell>
          <cell r="E855">
            <v>-9.4513800151754517E-3</v>
          </cell>
        </row>
        <row r="856">
          <cell r="D856">
            <v>-1.1702750146284819E-3</v>
          </cell>
          <cell r="E856">
            <v>-5.8207513979236652E-3</v>
          </cell>
        </row>
        <row r="857">
          <cell r="D857">
            <v>-4.1658530234979264E-3</v>
          </cell>
          <cell r="E857">
            <v>1.2556463931100857E-3</v>
          </cell>
        </row>
        <row r="858">
          <cell r="D858">
            <v>1.8301849794104263E-3</v>
          </cell>
          <cell r="E858">
            <v>1.9699679526144001E-3</v>
          </cell>
        </row>
        <row r="859">
          <cell r="D859">
            <v>-3.3274613427286444E-3</v>
          </cell>
          <cell r="E859">
            <v>7.6052019581393671E-3</v>
          </cell>
        </row>
        <row r="860">
          <cell r="D860">
            <v>-4.9751243781093937E-3</v>
          </cell>
          <cell r="E860">
            <v>-3.1353161534824862E-3</v>
          </cell>
        </row>
        <row r="861">
          <cell r="D861">
            <v>-5.9210526315791722E-4</v>
          </cell>
          <cell r="E861">
            <v>-1.8530344435268189E-3</v>
          </cell>
        </row>
        <row r="862">
          <cell r="D862">
            <v>-1.7707853334211033E-2</v>
          </cell>
          <cell r="E862">
            <v>2.885769922916418E-3</v>
          </cell>
        </row>
        <row r="863">
          <cell r="D863">
            <v>9.6501809408926272E-3</v>
          </cell>
          <cell r="E863">
            <v>2.1826943483975934E-2</v>
          </cell>
        </row>
        <row r="864">
          <cell r="D864">
            <v>8.7614496216646305E-3</v>
          </cell>
          <cell r="E864">
            <v>8.6805407599478621E-3</v>
          </cell>
        </row>
        <row r="865">
          <cell r="D865">
            <v>-1.0856691669956424E-2</v>
          </cell>
          <cell r="E865">
            <v>1.6194665249821435E-2</v>
          </cell>
        </row>
        <row r="866">
          <cell r="D866">
            <v>-1.3969267611255389E-2</v>
          </cell>
          <cell r="E866">
            <v>9.4690167102810269E-3</v>
          </cell>
        </row>
        <row r="867">
          <cell r="D867">
            <v>1.8282398974566606E-2</v>
          </cell>
          <cell r="E867">
            <v>-5.9188348705783598E-3</v>
          </cell>
        </row>
        <row r="868">
          <cell r="D868">
            <v>-1.2322777262488309E-2</v>
          </cell>
          <cell r="E868">
            <v>1.454052036143926E-2</v>
          </cell>
        </row>
        <row r="869">
          <cell r="D869">
            <v>1.9519720955191819E-2</v>
          </cell>
          <cell r="E869">
            <v>1.7832322271188032E-2</v>
          </cell>
        </row>
        <row r="870">
          <cell r="D870">
            <v>6.5793802223770674E-5</v>
          </cell>
          <cell r="E870">
            <v>-4.2487910866625123E-3</v>
          </cell>
        </row>
        <row r="871">
          <cell r="D871">
            <v>1.5789473684211124E-3</v>
          </cell>
          <cell r="E871">
            <v>5.5271513713817154E-3</v>
          </cell>
        </row>
        <row r="872">
          <cell r="D872">
            <v>7.8166053599579462E-3</v>
          </cell>
          <cell r="E872">
            <v>-4.4660110594789901E-3</v>
          </cell>
        </row>
        <row r="873">
          <cell r="D873">
            <v>-1.2644202567946279E-2</v>
          </cell>
          <cell r="E873">
            <v>-4.8491887354391765E-3</v>
          </cell>
        </row>
        <row r="874">
          <cell r="D874">
            <v>-9.8356327150307538E-3</v>
          </cell>
          <cell r="E874">
            <v>-1.0260765669108229E-2</v>
          </cell>
        </row>
        <row r="875">
          <cell r="D875">
            <v>1.6600000000000059E-2</v>
          </cell>
          <cell r="E875">
            <v>1.2611770331844588E-2</v>
          </cell>
        </row>
        <row r="876">
          <cell r="D876">
            <v>-4.5904649485226307E-4</v>
          </cell>
          <cell r="E876">
            <v>-6.6433339067363713E-4</v>
          </cell>
        </row>
        <row r="877">
          <cell r="D877">
            <v>-2.2831649389843788E-2</v>
          </cell>
          <cell r="E877">
            <v>-7.0469382852958147E-3</v>
          </cell>
        </row>
        <row r="878">
          <cell r="D878">
            <v>-6.3112662817241694E-3</v>
          </cell>
          <cell r="E878">
            <v>-1.0249445942921783E-2</v>
          </cell>
        </row>
        <row r="879">
          <cell r="D879">
            <v>-1.1554054054054108E-2</v>
          </cell>
          <cell r="E879">
            <v>-2.0466520205554002E-3</v>
          </cell>
        </row>
        <row r="880">
          <cell r="D880">
            <v>1.1689110670585878E-2</v>
          </cell>
          <cell r="E880">
            <v>-7.2719632865725367E-3</v>
          </cell>
        </row>
        <row r="881">
          <cell r="D881">
            <v>-5.0675675675675678E-3</v>
          </cell>
          <cell r="E881">
            <v>6.2762988725034632E-3</v>
          </cell>
        </row>
        <row r="882">
          <cell r="D882">
            <v>1.697792869269949E-3</v>
          </cell>
          <cell r="E882">
            <v>-3.5555750248233435E-3</v>
          </cell>
        </row>
        <row r="883">
          <cell r="D883">
            <v>9.9661016949152467E-3</v>
          </cell>
          <cell r="E883">
            <v>-1.0631516474820616E-2</v>
          </cell>
        </row>
        <row r="884">
          <cell r="D884">
            <v>5.840102033966601E-3</v>
          </cell>
          <cell r="E884">
            <v>2.5322927043635981E-5</v>
          </cell>
        </row>
        <row r="885">
          <cell r="D885">
            <v>-6.9407367859049118E-3</v>
          </cell>
          <cell r="E885">
            <v>-2.2529667685609409E-3</v>
          </cell>
        </row>
        <row r="886">
          <cell r="D886">
            <v>-3.9650537634408831E-3</v>
          </cell>
          <cell r="E886">
            <v>1.406405441740312E-3</v>
          </cell>
        </row>
        <row r="887">
          <cell r="D887">
            <v>-8.1640914918022257E-3</v>
          </cell>
          <cell r="E887">
            <v>2.9496860593921123E-3</v>
          </cell>
        </row>
        <row r="888">
          <cell r="D888">
            <v>-4.5238095238095279E-2</v>
          </cell>
          <cell r="E888">
            <v>-2.0470504546564764E-3</v>
          </cell>
        </row>
        <row r="889">
          <cell r="D889">
            <v>-2.3512646954042329E-3</v>
          </cell>
          <cell r="E889">
            <v>3.3216051964666919E-3</v>
          </cell>
        </row>
        <row r="890">
          <cell r="D890">
            <v>-5.5706327667476149E-3</v>
          </cell>
          <cell r="E890">
            <v>-1.5170944546053506E-3</v>
          </cell>
        </row>
        <row r="891">
          <cell r="D891">
            <v>-7.4691180695203993E-3</v>
          </cell>
          <cell r="E891">
            <v>-3.9470527893572908E-3</v>
          </cell>
        </row>
        <row r="892">
          <cell r="D892">
            <v>-1.0926193921852323E-2</v>
          </cell>
          <cell r="E892">
            <v>-2.2167911636692956E-3</v>
          </cell>
        </row>
        <row r="893">
          <cell r="D893">
            <v>-1.5216914185382867E-2</v>
          </cell>
          <cell r="E893">
            <v>-3.8124266875626707E-3</v>
          </cell>
        </row>
        <row r="894">
          <cell r="D894">
            <v>-4.5316098358221049E-3</v>
          </cell>
          <cell r="E894">
            <v>-7.2176238343432267E-3</v>
          </cell>
        </row>
        <row r="895">
          <cell r="D895">
            <v>-1.3432835820896031E-3</v>
          </cell>
          <cell r="E895">
            <v>-6.1941863971465387E-3</v>
          </cell>
        </row>
        <row r="896">
          <cell r="D896">
            <v>1.345090419967171E-3</v>
          </cell>
          <cell r="E896">
            <v>-9.1857603383144225E-4</v>
          </cell>
        </row>
        <row r="897">
          <cell r="D897">
            <v>0</v>
          </cell>
          <cell r="E897">
            <v>-7.5190670434262643E-3</v>
          </cell>
        </row>
        <row r="898">
          <cell r="D898">
            <v>1.4925373134328358E-2</v>
          </cell>
          <cell r="E898">
            <v>1.3080434591549422E-2</v>
          </cell>
        </row>
        <row r="899">
          <cell r="D899">
            <v>0</v>
          </cell>
          <cell r="E899">
            <v>8.9107236327000718E-3</v>
          </cell>
        </row>
        <row r="900">
          <cell r="D900">
            <v>-4.4117647058825201E-4</v>
          </cell>
          <cell r="E900">
            <v>-2.001530412062504E-3</v>
          </cell>
        </row>
        <row r="901">
          <cell r="D901">
            <v>-1.3903192584963855E-2</v>
          </cell>
          <cell r="E901">
            <v>-1.0166976669314102E-2</v>
          </cell>
        </row>
        <row r="902">
          <cell r="D902">
            <v>-6.4901156284968625E-3</v>
          </cell>
          <cell r="E902">
            <v>2.7992976032979503E-3</v>
          </cell>
        </row>
        <row r="903">
          <cell r="D903">
            <v>-6.0819942934374699E-3</v>
          </cell>
          <cell r="E903">
            <v>2.018786408604967E-3</v>
          </cell>
        </row>
        <row r="904">
          <cell r="D904">
            <v>-1.269169751454262E-2</v>
          </cell>
          <cell r="E904">
            <v>3.3662770523905398E-3</v>
          </cell>
        </row>
        <row r="905">
          <cell r="D905">
            <v>1.668069477389247E-2</v>
          </cell>
          <cell r="E905">
            <v>6.3116635062802967E-3</v>
          </cell>
        </row>
        <row r="906">
          <cell r="D906">
            <v>-2.1825844810716643E-3</v>
          </cell>
          <cell r="E906">
            <v>1.3197098296573428E-2</v>
          </cell>
        </row>
        <row r="907">
          <cell r="D907">
            <v>-2.187358575954295E-3</v>
          </cell>
          <cell r="E907">
            <v>-1.7865033608416515E-3</v>
          </cell>
        </row>
        <row r="908">
          <cell r="D908">
            <v>5.3669967495654095E-3</v>
          </cell>
          <cell r="E908">
            <v>-1.8559946774701489E-3</v>
          </cell>
        </row>
        <row r="909">
          <cell r="D909">
            <v>-3.0075187969925239E-3</v>
          </cell>
          <cell r="E909">
            <v>1.8706343731089939E-3</v>
          </cell>
        </row>
        <row r="910">
          <cell r="D910">
            <v>2.7149321266969357E-3</v>
          </cell>
          <cell r="E910">
            <v>-3.260488355670312E-3</v>
          </cell>
        </row>
        <row r="911">
          <cell r="D911">
            <v>0</v>
          </cell>
          <cell r="E911">
            <v>-4.6020715877803237E-3</v>
          </cell>
        </row>
        <row r="912">
          <cell r="D912">
            <v>8.5740072202165028E-3</v>
          </cell>
          <cell r="E912">
            <v>2.0071631367882506E-3</v>
          </cell>
        </row>
        <row r="913">
          <cell r="D913">
            <v>2.6323639075316936E-2</v>
          </cell>
          <cell r="E913">
            <v>9.2446663731624527E-3</v>
          </cell>
        </row>
        <row r="914">
          <cell r="D914">
            <v>-2.0417060233960636E-2</v>
          </cell>
          <cell r="E914">
            <v>-2.1079404775014958E-3</v>
          </cell>
        </row>
        <row r="915">
          <cell r="D915">
            <v>7.3431241655541402E-3</v>
          </cell>
          <cell r="E915">
            <v>1.8140809131349123E-3</v>
          </cell>
        </row>
        <row r="916">
          <cell r="D916">
            <v>-1.5168249760695106E-2</v>
          </cell>
          <cell r="E916">
            <v>3.1684191874254385E-3</v>
          </cell>
        </row>
        <row r="917">
          <cell r="D917">
            <v>2.115887850467299E-2</v>
          </cell>
          <cell r="E917">
            <v>-3.7124033850621727E-3</v>
          </cell>
        </row>
        <row r="918">
          <cell r="D918">
            <v>-1.3032654854297854E-2</v>
          </cell>
          <cell r="E918">
            <v>-1.5406250103697462E-2</v>
          </cell>
        </row>
        <row r="919">
          <cell r="D919">
            <v>2.2255192878337013E-3</v>
          </cell>
          <cell r="E919">
            <v>1.512276230903052E-3</v>
          </cell>
        </row>
        <row r="920">
          <cell r="D920">
            <v>-7.4019245003696763E-4</v>
          </cell>
          <cell r="E920">
            <v>-1.1117507574601183E-2</v>
          </cell>
        </row>
        <row r="921">
          <cell r="D921">
            <v>1.9555555555555455E-2</v>
          </cell>
          <cell r="E921">
            <v>3.0220953502317978E-3</v>
          </cell>
        </row>
        <row r="922">
          <cell r="D922">
            <v>1.9907003777971589E-2</v>
          </cell>
          <cell r="E922">
            <v>1.3183920575136177E-2</v>
          </cell>
        </row>
        <row r="923">
          <cell r="D923">
            <v>1.011540105428135E-2</v>
          </cell>
          <cell r="E923">
            <v>3.2505204061642249E-3</v>
          </cell>
        </row>
        <row r="924">
          <cell r="D924">
            <v>-5.1480959097321448E-3</v>
          </cell>
          <cell r="E924">
            <v>3.4836435402039365E-3</v>
          </cell>
        </row>
        <row r="925">
          <cell r="D925">
            <v>-7.5848869355638563E-3</v>
          </cell>
          <cell r="E925">
            <v>-5.5689248292557069E-3</v>
          </cell>
        </row>
        <row r="926">
          <cell r="D926">
            <v>0</v>
          </cell>
          <cell r="E926">
            <v>4.5644252921483745E-3</v>
          </cell>
        </row>
        <row r="927">
          <cell r="D927">
            <v>0</v>
          </cell>
          <cell r="E927">
            <v>5.1846299030426646E-3</v>
          </cell>
        </row>
        <row r="928">
          <cell r="D928">
            <v>-3.5714285714293835E-4</v>
          </cell>
          <cell r="E928">
            <v>1.5045654408243446E-2</v>
          </cell>
        </row>
        <row r="929">
          <cell r="D929">
            <v>3.5727045373355748E-4</v>
          </cell>
          <cell r="E929">
            <v>4.4679330005848381E-3</v>
          </cell>
        </row>
        <row r="930">
          <cell r="D930">
            <v>-2.2142857142857307E-3</v>
          </cell>
          <cell r="E930">
            <v>-5.6185524546357437E-3</v>
          </cell>
        </row>
        <row r="931">
          <cell r="D931">
            <v>-4.43839931276401E-3</v>
          </cell>
          <cell r="E931">
            <v>-1.259718889925894E-3</v>
          </cell>
        </row>
        <row r="932">
          <cell r="D932">
            <v>-5.0334363989352972E-4</v>
          </cell>
          <cell r="E932">
            <v>4.3671438435305748E-3</v>
          </cell>
        </row>
        <row r="933">
          <cell r="D933">
            <v>4.3165467625898872E-3</v>
          </cell>
          <cell r="E933">
            <v>-3.8160932910692724E-3</v>
          </cell>
        </row>
        <row r="934">
          <cell r="D934">
            <v>-7.6647564469913554E-3</v>
          </cell>
          <cell r="E934">
            <v>-1.3668935714665775E-3</v>
          </cell>
        </row>
        <row r="935">
          <cell r="D935">
            <v>-3.320580379701205E-3</v>
          </cell>
          <cell r="E935">
            <v>3.9154663375832221E-3</v>
          </cell>
        </row>
        <row r="936">
          <cell r="D936">
            <v>9.4155138697758713E-4</v>
          </cell>
          <cell r="E936">
            <v>-1.1253564638230846E-3</v>
          </cell>
        </row>
        <row r="937">
          <cell r="D937">
            <v>0</v>
          </cell>
          <cell r="E937">
            <v>-1.8865768461095576E-2</v>
          </cell>
        </row>
        <row r="938">
          <cell r="D938">
            <v>6.5123010130248488E-4</v>
          </cell>
          <cell r="E938">
            <v>6.5909476617574073E-3</v>
          </cell>
        </row>
        <row r="939">
          <cell r="D939">
            <v>5.134138404801562E-3</v>
          </cell>
          <cell r="E939">
            <v>1.0600106780313653E-3</v>
          </cell>
        </row>
        <row r="940">
          <cell r="D940">
            <v>-1.4388489208633094E-2</v>
          </cell>
          <cell r="E940">
            <v>-1.8419088577688255E-2</v>
          </cell>
        </row>
        <row r="941">
          <cell r="D941">
            <v>-1.4598540145985401E-2</v>
          </cell>
          <cell r="E941">
            <v>-1.7477849895235257E-3</v>
          </cell>
        </row>
        <row r="942">
          <cell r="D942">
            <v>0</v>
          </cell>
          <cell r="E942">
            <v>6.7248532376310254E-3</v>
          </cell>
        </row>
        <row r="943">
          <cell r="D943">
            <v>-1.4518518518518578E-2</v>
          </cell>
          <cell r="E943">
            <v>-4.0096328751635978E-3</v>
          </cell>
        </row>
        <row r="944">
          <cell r="D944">
            <v>-7.8171978352374639E-3</v>
          </cell>
          <cell r="E944">
            <v>-2.6664035315801158E-3</v>
          </cell>
        </row>
        <row r="945">
          <cell r="D945">
            <v>9.8484848484849345E-3</v>
          </cell>
          <cell r="E945">
            <v>4.1826600755165734E-3</v>
          </cell>
        </row>
        <row r="946">
          <cell r="D946">
            <v>-3.2258064516129115E-2</v>
          </cell>
          <cell r="E946">
            <v>-9.8963664738470902E-3</v>
          </cell>
        </row>
        <row r="947">
          <cell r="D947">
            <v>-2.2480620155038143E-3</v>
          </cell>
          <cell r="E947">
            <v>-8.0060085013903496E-3</v>
          </cell>
        </row>
        <row r="948">
          <cell r="D948">
            <v>-4.2654028436019023E-2</v>
          </cell>
          <cell r="E948">
            <v>-2.7784896665480521E-2</v>
          </cell>
        </row>
        <row r="949">
          <cell r="D949">
            <v>-2.6132121408862188E-2</v>
          </cell>
          <cell r="E949">
            <v>-1.2290481755453097E-2</v>
          </cell>
        </row>
        <row r="950">
          <cell r="D950">
            <v>2.808333333333337E-2</v>
          </cell>
          <cell r="E950">
            <v>1.2592872562234302E-2</v>
          </cell>
        </row>
        <row r="951">
          <cell r="D951">
            <v>2.1317986544540774E-2</v>
          </cell>
          <cell r="E951">
            <v>-4.245408881346298E-3</v>
          </cell>
        </row>
        <row r="952">
          <cell r="D952">
            <v>7.9365079365079361E-3</v>
          </cell>
          <cell r="E952">
            <v>1.2250310064231355E-2</v>
          </cell>
        </row>
        <row r="953">
          <cell r="D953">
            <v>-7.874015748031496E-3</v>
          </cell>
          <cell r="E953">
            <v>-8.7722225487334628E-3</v>
          </cell>
        </row>
        <row r="954">
          <cell r="D954">
            <v>-1.2063492063492031E-2</v>
          </cell>
          <cell r="E954">
            <v>-1.3151802217476138E-2</v>
          </cell>
        </row>
        <row r="955">
          <cell r="D955">
            <v>1.5745501285346995E-2</v>
          </cell>
          <cell r="E955">
            <v>1.1912596491344152E-2</v>
          </cell>
        </row>
        <row r="956">
          <cell r="D956">
            <v>1.6371401455235631E-2</v>
          </cell>
          <cell r="E956">
            <v>1.6934462297486463E-2</v>
          </cell>
        </row>
        <row r="957">
          <cell r="D957">
            <v>-1.953155396467194E-2</v>
          </cell>
          <cell r="E957">
            <v>9.783414088660675E-3</v>
          </cell>
        </row>
        <row r="958">
          <cell r="D958">
            <v>1.7460317460317369E-3</v>
          </cell>
          <cell r="E958">
            <v>-6.7767708172550047E-3</v>
          </cell>
        </row>
        <row r="959">
          <cell r="D959">
            <v>-9.665663127871961E-3</v>
          </cell>
          <cell r="E959">
            <v>4.3769872691436472E-3</v>
          </cell>
        </row>
        <row r="960">
          <cell r="D960">
            <v>-2.3840000000000031E-2</v>
          </cell>
          <cell r="E960">
            <v>7.1415344155744999E-3</v>
          </cell>
        </row>
        <row r="961">
          <cell r="D961">
            <v>-4.9172266841503263E-4</v>
          </cell>
          <cell r="E961">
            <v>-1.2260190326066896E-2</v>
          </cell>
        </row>
        <row r="962">
          <cell r="D962">
            <v>-1.1233191210232784E-2</v>
          </cell>
          <cell r="E962">
            <v>7.3260525429603325E-3</v>
          </cell>
        </row>
        <row r="963">
          <cell r="D963">
            <v>-1.8907040384774865E-2</v>
          </cell>
          <cell r="E963">
            <v>5.8576277832908545E-5</v>
          </cell>
        </row>
        <row r="964">
          <cell r="D964">
            <v>-8.7904657256360937E-3</v>
          </cell>
          <cell r="E964">
            <v>-1.1774367590933177E-2</v>
          </cell>
        </row>
        <row r="965">
          <cell r="D965">
            <v>-3.3256587362496853E-3</v>
          </cell>
          <cell r="E965">
            <v>-1.4946637750490028E-2</v>
          </cell>
        </row>
        <row r="966">
          <cell r="D966">
            <v>-2.5838466803559171E-2</v>
          </cell>
          <cell r="E966">
            <v>-3.4705789795006409E-2</v>
          </cell>
        </row>
        <row r="967">
          <cell r="D967">
            <v>-4.0400491832073933E-3</v>
          </cell>
          <cell r="E967">
            <v>1.1707202062687503E-2</v>
          </cell>
        </row>
        <row r="968">
          <cell r="D968">
            <v>-3.4126984126984165E-2</v>
          </cell>
          <cell r="E968">
            <v>-9.8762370430940036E-3</v>
          </cell>
        </row>
        <row r="969">
          <cell r="D969">
            <v>-4.8388569341732959E-3</v>
          </cell>
          <cell r="E969">
            <v>9.2715107641675777E-4</v>
          </cell>
        </row>
        <row r="970">
          <cell r="D970">
            <v>-9.1743119266055051E-3</v>
          </cell>
          <cell r="E970">
            <v>1.5920989689048422E-2</v>
          </cell>
        </row>
        <row r="971">
          <cell r="D971">
            <v>-8.7962962962963229E-3</v>
          </cell>
          <cell r="E971">
            <v>1.8672074334955376E-2</v>
          </cell>
        </row>
        <row r="972">
          <cell r="D972">
            <v>3.138720224194301E-2</v>
          </cell>
          <cell r="E972">
            <v>2.668424452493276E-2</v>
          </cell>
        </row>
        <row r="973">
          <cell r="D973">
            <v>-1.0144008694864509E-2</v>
          </cell>
          <cell r="E973">
            <v>-9.6948259742014806E-3</v>
          </cell>
        </row>
        <row r="974">
          <cell r="D974">
            <v>-3.4586878945923695E-2</v>
          </cell>
          <cell r="E974">
            <v>-1.4320207918165771E-2</v>
          </cell>
        </row>
        <row r="975">
          <cell r="D975">
            <v>-5.4971092787413347E-3</v>
          </cell>
          <cell r="E975">
            <v>2.0109467293116093E-2</v>
          </cell>
        </row>
        <row r="976">
          <cell r="D976">
            <v>8.2912417802343489E-3</v>
          </cell>
          <cell r="E976">
            <v>-1.3060241840666855E-3</v>
          </cell>
        </row>
        <row r="977">
          <cell r="D977">
            <v>-1.0302457466918748E-2</v>
          </cell>
          <cell r="E977">
            <v>2.7959174730440199E-3</v>
          </cell>
        </row>
        <row r="978">
          <cell r="D978">
            <v>6.5896284977558202E-3</v>
          </cell>
          <cell r="E978">
            <v>-6.4406430970470885E-3</v>
          </cell>
        </row>
        <row r="979">
          <cell r="D979">
            <v>-4.9335863377610078E-3</v>
          </cell>
          <cell r="E979">
            <v>1.7780809840884058E-2</v>
          </cell>
        </row>
        <row r="980">
          <cell r="D980">
            <v>3.0511060259344716E-3</v>
          </cell>
          <cell r="E980">
            <v>8.0598153421265317E-3</v>
          </cell>
        </row>
        <row r="981">
          <cell r="D981">
            <v>6.6064638783269986E-2</v>
          </cell>
          <cell r="E981">
            <v>4.8301220824434037E-3</v>
          </cell>
        </row>
        <row r="982">
          <cell r="D982">
            <v>2.5858225590725996E-3</v>
          </cell>
          <cell r="E982">
            <v>1.7814258309261987E-2</v>
          </cell>
        </row>
        <row r="983">
          <cell r="D983">
            <v>5.8786908573461395E-2</v>
          </cell>
          <cell r="E983">
            <v>-1.7067770216539584E-2</v>
          </cell>
        </row>
        <row r="984">
          <cell r="D984">
            <v>-1.85636287274254E-2</v>
          </cell>
          <cell r="E984">
            <v>-5.9484765623319725E-4</v>
          </cell>
        </row>
        <row r="985">
          <cell r="D985">
            <v>-1.617596713454297E-2</v>
          </cell>
          <cell r="E985">
            <v>-1.3586563734884588E-2</v>
          </cell>
        </row>
        <row r="986">
          <cell r="D986">
            <v>2.8360156589821581E-2</v>
          </cell>
          <cell r="E986">
            <v>4.2937864640136278E-3</v>
          </cell>
        </row>
        <row r="987">
          <cell r="D987">
            <v>-1.7764994501310697E-3</v>
          </cell>
          <cell r="E987">
            <v>-6.005780745447502E-3</v>
          </cell>
        </row>
        <row r="988">
          <cell r="D988">
            <v>1.7542372881355874E-2</v>
          </cell>
          <cell r="E988">
            <v>-9.8593795073597112E-3</v>
          </cell>
        </row>
        <row r="989">
          <cell r="D989">
            <v>-1.2659282085450122E-2</v>
          </cell>
          <cell r="E989">
            <v>6.7906388511084102E-3</v>
          </cell>
        </row>
        <row r="990">
          <cell r="D990">
            <v>-9.7849008857022069E-3</v>
          </cell>
          <cell r="E990">
            <v>5.3177252951416183E-3</v>
          </cell>
        </row>
        <row r="991">
          <cell r="D991">
            <v>-1.9848368685577975E-2</v>
          </cell>
          <cell r="E991">
            <v>-7.993907830429671E-3</v>
          </cell>
        </row>
        <row r="992">
          <cell r="D992">
            <v>-1.6773857118025436E-2</v>
          </cell>
          <cell r="E992">
            <v>-3.201634927425119E-3</v>
          </cell>
        </row>
        <row r="993">
          <cell r="D993">
            <v>1.6529656147794614E-2</v>
          </cell>
          <cell r="E993">
            <v>1.8760550813897729E-3</v>
          </cell>
        </row>
        <row r="994">
          <cell r="D994">
            <v>-8.6956521739130436E-3</v>
          </cell>
          <cell r="E994">
            <v>-6.7124148535225537E-3</v>
          </cell>
        </row>
        <row r="995">
          <cell r="D995">
            <v>-1.2280701754386015E-2</v>
          </cell>
          <cell r="E995">
            <v>-2.4092596537628715E-3</v>
          </cell>
        </row>
        <row r="996">
          <cell r="D996">
            <v>2.1314387211367726E-2</v>
          </cell>
          <cell r="E996">
            <v>6.3868425747604183E-3</v>
          </cell>
        </row>
        <row r="997">
          <cell r="D997">
            <v>3.4173913043478318E-2</v>
          </cell>
          <cell r="E997">
            <v>1.6378303100400154E-2</v>
          </cell>
        </row>
        <row r="998">
          <cell r="D998">
            <v>-6.4743967039435817E-3</v>
          </cell>
          <cell r="E998">
            <v>2.3545491932167729E-3</v>
          </cell>
        </row>
        <row r="999">
          <cell r="D999">
            <v>-9.4786729857819097E-3</v>
          </cell>
          <cell r="E999">
            <v>-2.4047691853590829E-3</v>
          </cell>
        </row>
        <row r="1000">
          <cell r="D1000">
            <v>-7.689678742310612E-4</v>
          </cell>
          <cell r="E1000">
            <v>5.8643236467959383E-4</v>
          </cell>
        </row>
        <row r="1001">
          <cell r="D1001">
            <v>-1.6246259085078898E-3</v>
          </cell>
          <cell r="E1001">
            <v>5.4791069304742793E-3</v>
          </cell>
        </row>
        <row r="1002">
          <cell r="D1002">
            <v>-1.2675573826652997E-2</v>
          </cell>
          <cell r="E1002">
            <v>5.009674035734578E-3</v>
          </cell>
        </row>
        <row r="1003">
          <cell r="D1003">
            <v>-1.908396946564888E-2</v>
          </cell>
          <cell r="E1003">
            <v>1.5069195554275284E-3</v>
          </cell>
        </row>
        <row r="1004">
          <cell r="D1004">
            <v>-1.5033604527767978E-2</v>
          </cell>
          <cell r="E1004">
            <v>-9.6567228542038534E-4</v>
          </cell>
        </row>
        <row r="1005">
          <cell r="D1005">
            <v>-2.1458071467049745E-2</v>
          </cell>
          <cell r="E1005">
            <v>-2.9256442981862342E-3</v>
          </cell>
        </row>
        <row r="1006">
          <cell r="D1006">
            <v>4.9545829892651281E-3</v>
          </cell>
          <cell r="E1006">
            <v>-8.7336118860010959E-3</v>
          </cell>
        </row>
        <row r="1007">
          <cell r="D1007">
            <v>-1.0042910618095447E-2</v>
          </cell>
          <cell r="E1007">
            <v>-2.3078905249098985E-2</v>
          </cell>
        </row>
        <row r="1008">
          <cell r="D1008">
            <v>-2.6007562482707806E-2</v>
          </cell>
          <cell r="E1008">
            <v>-1.0750171512354974E-2</v>
          </cell>
        </row>
        <row r="1009">
          <cell r="D1009">
            <v>-4.7344001515008047E-3</v>
          </cell>
          <cell r="E1009">
            <v>1.4601153421018628E-3</v>
          </cell>
        </row>
        <row r="1010">
          <cell r="D1010">
            <v>1.598325563695183E-2</v>
          </cell>
          <cell r="E1010">
            <v>2.0499810376754012E-3</v>
          </cell>
        </row>
        <row r="1011">
          <cell r="D1011">
            <v>-2.0882105066017453E-2</v>
          </cell>
          <cell r="E1011">
            <v>-5.0515974978526269E-3</v>
          </cell>
        </row>
        <row r="1012">
          <cell r="D1012">
            <v>1.5397857689364951E-2</v>
          </cell>
          <cell r="E1012">
            <v>3.0326061581414173E-3</v>
          </cell>
        </row>
        <row r="1013">
          <cell r="D1013">
            <v>-1.1773570688518413E-2</v>
          </cell>
          <cell r="E1013">
            <v>-2.7731924562565398E-3</v>
          </cell>
        </row>
        <row r="1014">
          <cell r="D1014">
            <v>0</v>
          </cell>
          <cell r="E1014">
            <v>-5.0799826522503044E-3</v>
          </cell>
        </row>
        <row r="1015">
          <cell r="D1015">
            <v>-1.5821578345405991E-2</v>
          </cell>
          <cell r="E1015">
            <v>7.5313841267952021E-4</v>
          </cell>
        </row>
        <row r="1016">
          <cell r="D1016">
            <v>1.1040092969203956E-2</v>
          </cell>
          <cell r="E1016">
            <v>1.5956331207047786E-2</v>
          </cell>
        </row>
        <row r="1017">
          <cell r="D1017">
            <v>-8.716475095785544E-3</v>
          </cell>
          <cell r="E1017">
            <v>-7.4655106739900398E-3</v>
          </cell>
        </row>
        <row r="1018">
          <cell r="D1018">
            <v>2.6282732631172083E-2</v>
          </cell>
          <cell r="E1018">
            <v>-5.337125293229778E-3</v>
          </cell>
        </row>
        <row r="1019">
          <cell r="D1019">
            <v>6.4965634121082003E-3</v>
          </cell>
          <cell r="E1019">
            <v>-7.8296210202361005E-4</v>
          </cell>
        </row>
        <row r="1020">
          <cell r="D1020">
            <v>-6.361085126286312E-3</v>
          </cell>
          <cell r="E1020">
            <v>8.0729139842999429E-3</v>
          </cell>
        </row>
        <row r="1021">
          <cell r="D1021">
            <v>4.1423460741856315E-3</v>
          </cell>
          <cell r="E1021">
            <v>1.9810073505864135E-3</v>
          </cell>
        </row>
        <row r="1022">
          <cell r="D1022">
            <v>-3.187699231201982E-3</v>
          </cell>
          <cell r="E1022">
            <v>6.0317558227050809E-3</v>
          </cell>
        </row>
        <row r="1023">
          <cell r="D1023">
            <v>3.4612490594431972E-2</v>
          </cell>
          <cell r="E1023">
            <v>1.3839233288131239E-2</v>
          </cell>
        </row>
        <row r="1024">
          <cell r="D1024">
            <v>0</v>
          </cell>
          <cell r="E1024">
            <v>2.2376219950244135E-3</v>
          </cell>
        </row>
        <row r="1025">
          <cell r="D1025">
            <v>4.5454545454542869E-4</v>
          </cell>
          <cell r="E1025">
            <v>8.8645674724656971E-3</v>
          </cell>
        </row>
        <row r="1026">
          <cell r="D1026">
            <v>2.8805088596092703E-2</v>
          </cell>
          <cell r="E1026">
            <v>2.8202839529604187E-3</v>
          </cell>
        </row>
        <row r="1027">
          <cell r="D1027">
            <v>3.8509097332626738E-2</v>
          </cell>
          <cell r="E1027">
            <v>8.3401373468796544E-3</v>
          </cell>
        </row>
        <row r="1028">
          <cell r="D1028">
            <v>2.5514543289675114E-2</v>
          </cell>
          <cell r="E1028">
            <v>3.8230150802668807E-3</v>
          </cell>
        </row>
        <row r="1029">
          <cell r="D1029">
            <v>-1.4927848731132246E-3</v>
          </cell>
          <cell r="E1029">
            <v>1.3946991453375396E-4</v>
          </cell>
        </row>
        <row r="1030">
          <cell r="D1030">
            <v>-1.1960132890365547E-2</v>
          </cell>
          <cell r="E1030">
            <v>3.520233383538675E-3</v>
          </cell>
        </row>
        <row r="1031">
          <cell r="D1031">
            <v>-7.4815063887020902E-3</v>
          </cell>
          <cell r="E1031">
            <v>-9.7649305264574538E-3</v>
          </cell>
        </row>
        <row r="1032">
          <cell r="D1032">
            <v>1.6346235284153528E-2</v>
          </cell>
          <cell r="E1032">
            <v>-1.0893749840124761E-2</v>
          </cell>
        </row>
        <row r="1033">
          <cell r="D1033">
            <v>-8.8333333333333527E-3</v>
          </cell>
          <cell r="E1033">
            <v>-7.2234101717971004E-3</v>
          </cell>
        </row>
        <row r="1034">
          <cell r="D1034">
            <v>3.867496216579855E-3</v>
          </cell>
          <cell r="E1034">
            <v>1.0045782161633907E-2</v>
          </cell>
        </row>
        <row r="1035">
          <cell r="D1035">
            <v>2.1775544388608951E-3</v>
          </cell>
          <cell r="E1035">
            <v>5.5120110645161821E-3</v>
          </cell>
        </row>
        <row r="1036">
          <cell r="D1036">
            <v>-8.3570115326683141E-5</v>
          </cell>
          <cell r="E1036">
            <v>6.3253513138520883E-3</v>
          </cell>
        </row>
        <row r="1037">
          <cell r="D1037">
            <v>1.8303384872544903E-2</v>
          </cell>
          <cell r="E1037">
            <v>-3.44353388138621E-3</v>
          </cell>
        </row>
        <row r="1038">
          <cell r="D1038">
            <v>-9.3565331582403204E-3</v>
          </cell>
          <cell r="E1038">
            <v>-8.685671068901479E-3</v>
          </cell>
        </row>
        <row r="1039">
          <cell r="D1039">
            <v>-8.8649544324772775E-3</v>
          </cell>
          <cell r="E1039">
            <v>3.440135801814361E-3</v>
          </cell>
        </row>
        <row r="1040">
          <cell r="D1040">
            <v>0</v>
          </cell>
          <cell r="E1040">
            <v>-9.8851684506043782E-3</v>
          </cell>
        </row>
        <row r="1041">
          <cell r="D1041">
            <v>-2.8755328930870166E-2</v>
          </cell>
          <cell r="E1041">
            <v>-2.1083160411130759E-3</v>
          </cell>
        </row>
        <row r="1042">
          <cell r="D1042">
            <v>1.5750064549444859E-2</v>
          </cell>
          <cell r="E1042">
            <v>-4.4142722786362065E-4</v>
          </cell>
        </row>
        <row r="1043">
          <cell r="D1043">
            <v>-1.6946280291472651E-4</v>
          </cell>
          <cell r="E1043">
            <v>-6.8567012697307267E-4</v>
          </cell>
        </row>
        <row r="1044">
          <cell r="D1044">
            <v>1.2288135593220364E-2</v>
          </cell>
          <cell r="E1044">
            <v>-1.648393121063259E-3</v>
          </cell>
        </row>
        <row r="1045">
          <cell r="D1045">
            <v>-1.0213478442863112E-2</v>
          </cell>
          <cell r="E1045">
            <v>8.4787306170828556E-3</v>
          </cell>
        </row>
        <row r="1046">
          <cell r="D1046">
            <v>2.7657954833798494E-2</v>
          </cell>
          <cell r="E1046">
            <v>7.6323601429253403E-3</v>
          </cell>
        </row>
        <row r="1047">
          <cell r="D1047">
            <v>-3.6543209876543192E-2</v>
          </cell>
          <cell r="E1047">
            <v>-7.8728743083364156E-3</v>
          </cell>
        </row>
        <row r="1048">
          <cell r="D1048">
            <v>-3.6733299162823065E-3</v>
          </cell>
          <cell r="E1048">
            <v>-1.5506381323446314E-3</v>
          </cell>
        </row>
        <row r="1049">
          <cell r="D1049">
            <v>-7.1165223355911713E-3</v>
          </cell>
          <cell r="E1049">
            <v>1.9993351701760053E-3</v>
          </cell>
        </row>
        <row r="1050">
          <cell r="D1050">
            <v>1.6753022452504297E-2</v>
          </cell>
          <cell r="E1050">
            <v>6.8258139521388036E-3</v>
          </cell>
        </row>
        <row r="1051">
          <cell r="D1051">
            <v>-2.7178528962119347E-3</v>
          </cell>
          <cell r="E1051">
            <v>6.5888493181675374E-3</v>
          </cell>
        </row>
        <row r="1052">
          <cell r="D1052">
            <v>1.7032873445750298E-2</v>
          </cell>
          <cell r="E1052">
            <v>4.9230689945430565E-3</v>
          </cell>
        </row>
        <row r="1053">
          <cell r="D1053">
            <v>-6.866521520683364E-3</v>
          </cell>
          <cell r="E1053">
            <v>-1.0711261984433744E-2</v>
          </cell>
        </row>
        <row r="1054">
          <cell r="D1054">
            <v>6.0708263069139869E-3</v>
          </cell>
          <cell r="E1054">
            <v>5.6827686043534262E-3</v>
          </cell>
        </row>
        <row r="1055">
          <cell r="D1055">
            <v>-2.0533020449212108E-2</v>
          </cell>
          <cell r="E1055">
            <v>-3.162640323819214E-3</v>
          </cell>
        </row>
        <row r="1056">
          <cell r="D1056">
            <v>-5.4761701035338454E-3</v>
          </cell>
          <cell r="E1056">
            <v>-5.6537425611642503E-3</v>
          </cell>
        </row>
        <row r="1057">
          <cell r="D1057">
            <v>1.3507700249505232E-2</v>
          </cell>
          <cell r="E1057">
            <v>1.7093539701289834E-5</v>
          </cell>
        </row>
        <row r="1058">
          <cell r="D1058">
            <v>-1.290322580645158E-2</v>
          </cell>
          <cell r="E1058">
            <v>-3.1868072871163045E-3</v>
          </cell>
        </row>
        <row r="1059">
          <cell r="D1059">
            <v>5.5899552803578062E-3</v>
          </cell>
          <cell r="E1059">
            <v>-1.6657609680107515E-3</v>
          </cell>
        </row>
        <row r="1060">
          <cell r="D1060">
            <v>-2.5570854357307868E-2</v>
          </cell>
          <cell r="E1060">
            <v>-1.6573635320510025E-2</v>
          </cell>
        </row>
        <row r="1061">
          <cell r="D1061">
            <v>1.6324381253291203E-2</v>
          </cell>
          <cell r="E1061">
            <v>-7.3061921823593299E-5</v>
          </cell>
        </row>
        <row r="1062">
          <cell r="D1062">
            <v>6.3039723661485669E-3</v>
          </cell>
          <cell r="E1062">
            <v>-1.0276651836719056E-2</v>
          </cell>
        </row>
        <row r="1063">
          <cell r="D1063">
            <v>-2.7460739723676941E-3</v>
          </cell>
          <cell r="E1063">
            <v>-1.1911579885141132E-3</v>
          </cell>
        </row>
        <row r="1064">
          <cell r="D1064">
            <v>1.807073401600558E-2</v>
          </cell>
          <cell r="E1064">
            <v>-2.276650347520072E-3</v>
          </cell>
        </row>
        <row r="1065">
          <cell r="D1065">
            <v>1.7242836615670627E-2</v>
          </cell>
          <cell r="E1065">
            <v>3.2332211534144346E-2</v>
          </cell>
        </row>
        <row r="1066">
          <cell r="D1066">
            <v>3.9883672621520896E-3</v>
          </cell>
          <cell r="E1066">
            <v>1.597378086659527E-3</v>
          </cell>
        </row>
        <row r="1067">
          <cell r="D1067">
            <v>3.0124968964661099E-2</v>
          </cell>
          <cell r="E1067">
            <v>5.9118252426622372E-2</v>
          </cell>
        </row>
        <row r="1068">
          <cell r="D1068">
            <v>-2.5387643608901715E-2</v>
          </cell>
          <cell r="E1068">
            <v>-9.1200454453413734E-3</v>
          </cell>
        </row>
        <row r="1069">
          <cell r="D1069">
            <v>1.3024482730195353E-2</v>
          </cell>
          <cell r="E1069">
            <v>1.17049694859349E-3</v>
          </cell>
        </row>
        <row r="1070">
          <cell r="D1070">
            <v>8.3001057856619421E-3</v>
          </cell>
          <cell r="E1070">
            <v>1.5105681913935968E-2</v>
          </cell>
        </row>
        <row r="1071">
          <cell r="D1071">
            <v>-8.8774110241303719E-4</v>
          </cell>
          <cell r="E1071">
            <v>1.6556695826354887E-3</v>
          </cell>
        </row>
        <row r="1072">
          <cell r="D1072">
            <v>1.4297253634894961E-2</v>
          </cell>
          <cell r="E1072">
            <v>6.2526927902320124E-3</v>
          </cell>
        </row>
        <row r="1073">
          <cell r="D1073">
            <v>3.5119853468185053E-2</v>
          </cell>
          <cell r="E1073">
            <v>1.3855134283115085E-2</v>
          </cell>
        </row>
        <row r="1074">
          <cell r="D1074">
            <v>4.0006154793045872E-3</v>
          </cell>
          <cell r="E1074">
            <v>8.895680603675498E-3</v>
          </cell>
        </row>
        <row r="1075">
          <cell r="D1075">
            <v>-2.6743295019157048E-2</v>
          </cell>
          <cell r="E1075">
            <v>-6.2440312471410998E-3</v>
          </cell>
        </row>
        <row r="1076">
          <cell r="D1076">
            <v>2.1336902606093958E-2</v>
          </cell>
          <cell r="E1076">
            <v>-4.9579967732619303E-3</v>
          </cell>
        </row>
        <row r="1077">
          <cell r="D1077">
            <v>-7.7089115016889493E-5</v>
          </cell>
          <cell r="E1077">
            <v>-5.455722562641808E-4</v>
          </cell>
        </row>
        <row r="1078">
          <cell r="D1078">
            <v>1.1795543905635657E-2</v>
          </cell>
          <cell r="E1078">
            <v>-6.1624046697535009E-4</v>
          </cell>
        </row>
        <row r="1079">
          <cell r="D1079">
            <v>-2.2782688204815674E-2</v>
          </cell>
          <cell r="E1079">
            <v>1.482465744357184E-3</v>
          </cell>
        </row>
        <row r="1080">
          <cell r="D1080">
            <v>-1.1306042884990276E-2</v>
          </cell>
          <cell r="E1080">
            <v>7.5466333143549271E-3</v>
          </cell>
        </row>
        <row r="1081">
          <cell r="D1081">
            <v>1.5772870662460793E-3</v>
          </cell>
          <cell r="E1081">
            <v>1.0163212815052339E-2</v>
          </cell>
        </row>
        <row r="1082">
          <cell r="D1082">
            <v>2.3622047244095383E-4</v>
          </cell>
          <cell r="E1082">
            <v>3.863515417668939E-3</v>
          </cell>
        </row>
        <row r="1083">
          <cell r="D1083">
            <v>9.1317011729512444E-3</v>
          </cell>
          <cell r="E1083">
            <v>7.2433738444455395E-3</v>
          </cell>
        </row>
        <row r="1084">
          <cell r="D1084">
            <v>1.5835868632498643E-2</v>
          </cell>
          <cell r="E1084">
            <v>7.012186842796077E-3</v>
          </cell>
        </row>
        <row r="1085">
          <cell r="D1085">
            <v>4.423283673782822E-2</v>
          </cell>
          <cell r="E1085">
            <v>8.8707057398909935E-3</v>
          </cell>
        </row>
        <row r="1086">
          <cell r="D1086">
            <v>-7.0598617443740231E-3</v>
          </cell>
          <cell r="E1086">
            <v>1.8997621081116148E-2</v>
          </cell>
        </row>
        <row r="1087">
          <cell r="D1087">
            <v>-4.5919123092875462E-3</v>
          </cell>
          <cell r="E1087">
            <v>4.0785192503985882E-3</v>
          </cell>
        </row>
        <row r="1088">
          <cell r="D1088">
            <v>1.7261904761904711E-2</v>
          </cell>
          <cell r="E1088">
            <v>1.1072868827816483E-2</v>
          </cell>
        </row>
        <row r="1089">
          <cell r="D1089">
            <v>-1.2434172030427067E-2</v>
          </cell>
          <cell r="E1089">
            <v>-3.1451125869100117E-3</v>
          </cell>
        </row>
        <row r="1090">
          <cell r="D1090">
            <v>1.6145756184268837E-2</v>
          </cell>
          <cell r="E1090">
            <v>-5.2395354319728844E-4</v>
          </cell>
        </row>
        <row r="1091">
          <cell r="D1091">
            <v>-1.946064139941682E-2</v>
          </cell>
          <cell r="E1091">
            <v>-4.1053223262559942E-3</v>
          </cell>
        </row>
        <row r="1092">
          <cell r="D1092">
            <v>-1.7839887014048952E-2</v>
          </cell>
          <cell r="E1092">
            <v>-1.9766565914903517E-2</v>
          </cell>
        </row>
        <row r="1093">
          <cell r="D1093">
            <v>1.7407099069099991E-3</v>
          </cell>
          <cell r="E1093">
            <v>1.6820219853248417E-2</v>
          </cell>
        </row>
        <row r="1094">
          <cell r="D1094">
            <v>-1.4203686914475851E-2</v>
          </cell>
          <cell r="E1094">
            <v>-8.6933623070607289E-3</v>
          </cell>
        </row>
        <row r="1095">
          <cell r="D1095">
            <v>2.9276517473942533E-2</v>
          </cell>
          <cell r="E1095">
            <v>1.288603620205188E-2</v>
          </cell>
        </row>
        <row r="1096">
          <cell r="D1096">
            <v>-3.7230081906180191E-3</v>
          </cell>
          <cell r="E1096">
            <v>2.9189829920453023E-3</v>
          </cell>
        </row>
        <row r="1097">
          <cell r="D1097">
            <v>-1.4125560538116701E-2</v>
          </cell>
          <cell r="E1097">
            <v>-8.6340682476848344E-3</v>
          </cell>
        </row>
        <row r="1098">
          <cell r="D1098">
            <v>-9.3245394587217791E-3</v>
          </cell>
          <cell r="E1098">
            <v>3.7263406653410486E-3</v>
          </cell>
        </row>
        <row r="1099">
          <cell r="D1099">
            <v>-4.1322314049588339E-3</v>
          </cell>
          <cell r="E1099">
            <v>-2.2213788730831899E-3</v>
          </cell>
        </row>
        <row r="1100">
          <cell r="D1100">
            <v>-1.4907023205778377E-2</v>
          </cell>
          <cell r="E1100">
            <v>-1.5980176898944803E-2</v>
          </cell>
        </row>
        <row r="1101">
          <cell r="D1101">
            <v>-2.9329173166926608E-2</v>
          </cell>
          <cell r="E1101">
            <v>-6.3332557044078056E-4</v>
          </cell>
        </row>
        <row r="1102">
          <cell r="D1102">
            <v>1.2536162005785939E-2</v>
          </cell>
          <cell r="E1102">
            <v>1.5395030146757352E-5</v>
          </cell>
        </row>
        <row r="1103">
          <cell r="D1103">
            <v>4.68253968253971E-3</v>
          </cell>
          <cell r="E1103">
            <v>7.0042091051556038E-3</v>
          </cell>
        </row>
        <row r="1104">
          <cell r="D1104">
            <v>7.504542222924424E-3</v>
          </cell>
          <cell r="E1104">
            <v>-1.6659420708697182E-3</v>
          </cell>
        </row>
        <row r="1105">
          <cell r="D1105">
            <v>-4.2339658146464346E-3</v>
          </cell>
          <cell r="E1105">
            <v>-4.0401743526123747E-3</v>
          </cell>
        </row>
        <row r="1106">
          <cell r="D1106">
            <v>-1.5039370078740131E-2</v>
          </cell>
          <cell r="E1106">
            <v>-1.4916190680392646E-2</v>
          </cell>
        </row>
        <row r="1107">
          <cell r="D1107">
            <v>1.2071308657766336E-2</v>
          </cell>
          <cell r="E1107">
            <v>-1.1243433615399149E-2</v>
          </cell>
        </row>
        <row r="1108">
          <cell r="D1108">
            <v>-1.3902053712480182E-2</v>
          </cell>
          <cell r="E1108">
            <v>-2.6860246234421122E-2</v>
          </cell>
        </row>
        <row r="1109">
          <cell r="D1109">
            <v>9.2918936238384851E-3</v>
          </cell>
          <cell r="E1109">
            <v>6.8938530180938738E-3</v>
          </cell>
        </row>
        <row r="1110">
          <cell r="D1110">
            <v>7.9365079365079361E-3</v>
          </cell>
          <cell r="E1110">
            <v>8.7121366770647225E-3</v>
          </cell>
        </row>
        <row r="1111">
          <cell r="D1111">
            <v>-7.874015748031496E-3</v>
          </cell>
          <cell r="E1111">
            <v>-4.724397045381145E-3</v>
          </cell>
        </row>
        <row r="1112">
          <cell r="D1112">
            <v>-1.9444444444444466E-2</v>
          </cell>
          <cell r="E1112">
            <v>6.9483340616747682E-3</v>
          </cell>
        </row>
        <row r="1113">
          <cell r="D1113">
            <v>-5.6657223796034223E-3</v>
          </cell>
          <cell r="E1113">
            <v>-1.0989449997019381E-3</v>
          </cell>
        </row>
        <row r="1114">
          <cell r="D1114">
            <v>-3.8258038258038168E-3</v>
          </cell>
          <cell r="E1114">
            <v>5.6002078797164944E-3</v>
          </cell>
        </row>
        <row r="1115">
          <cell r="D1115">
            <v>-4.0039222095113163E-3</v>
          </cell>
          <cell r="E1115">
            <v>-3.2110155545722685E-3</v>
          </cell>
        </row>
        <row r="1116">
          <cell r="D1116">
            <v>-1.5587825088194088E-3</v>
          </cell>
          <cell r="E1116">
            <v>-7.7910021272964312E-3</v>
          </cell>
        </row>
        <row r="1117">
          <cell r="D1117">
            <v>3.05669679539852E-2</v>
          </cell>
          <cell r="E1117">
            <v>1.8135117502508622E-3</v>
          </cell>
        </row>
        <row r="1118">
          <cell r="D1118">
            <v>-3.0298198054536396E-3</v>
          </cell>
          <cell r="E1118">
            <v>1.2969687823804533E-3</v>
          </cell>
        </row>
        <row r="1119">
          <cell r="D1119">
            <v>-3.5828534868842001E-2</v>
          </cell>
          <cell r="E1119">
            <v>2.2663721069308604E-3</v>
          </cell>
        </row>
        <row r="1120">
          <cell r="D1120">
            <v>-3.3344392833443898E-2</v>
          </cell>
          <cell r="E1120">
            <v>3.5116431504380375E-3</v>
          </cell>
        </row>
        <row r="1121">
          <cell r="D1121">
            <v>-1.9649905611807156E-2</v>
          </cell>
          <cell r="E1121">
            <v>3.9944086990111787E-4</v>
          </cell>
        </row>
        <row r="1122">
          <cell r="D1122">
            <v>3.9387308533917094E-3</v>
          </cell>
          <cell r="E1122">
            <v>8.103409087940449E-3</v>
          </cell>
        </row>
        <row r="1123">
          <cell r="D1123">
            <v>-8.5440278988666435E-3</v>
          </cell>
          <cell r="E1123">
            <v>2.8437699561146405E-3</v>
          </cell>
        </row>
        <row r="1124">
          <cell r="D1124">
            <v>5.451987337319773E-3</v>
          </cell>
          <cell r="E1124">
            <v>-9.0640081780662594E-4</v>
          </cell>
        </row>
        <row r="1125">
          <cell r="D1125">
            <v>3.6732552037782203E-3</v>
          </cell>
          <cell r="E1125">
            <v>-1.8489332314817598E-3</v>
          </cell>
        </row>
        <row r="1126">
          <cell r="D1126">
            <v>-2.9627047751830202E-3</v>
          </cell>
          <cell r="E1126">
            <v>-1.6400862562284272E-3</v>
          </cell>
        </row>
        <row r="1127">
          <cell r="D1127">
            <v>5.0690438734486828E-3</v>
          </cell>
          <cell r="E1127">
            <v>8.532725508131932E-3</v>
          </cell>
        </row>
        <row r="1128">
          <cell r="D1128">
            <v>2.608695652174012E-4</v>
          </cell>
          <cell r="E1128">
            <v>2.7820742795817617E-3</v>
          </cell>
        </row>
        <row r="1129">
          <cell r="D1129">
            <v>-4.1728244805703208E-3</v>
          </cell>
          <cell r="E1129">
            <v>6.9087277144714524E-3</v>
          </cell>
        </row>
        <row r="1130">
          <cell r="D1130">
            <v>-3.9284155390659353E-3</v>
          </cell>
          <cell r="E1130">
            <v>8.5966750517152656E-3</v>
          </cell>
        </row>
        <row r="1131">
          <cell r="D1131">
            <v>7.4496056091148868E-3</v>
          </cell>
          <cell r="E1131">
            <v>5.0774399088884012E-4</v>
          </cell>
        </row>
        <row r="1132">
          <cell r="D1132">
            <v>-5.0456720313179493E-3</v>
          </cell>
          <cell r="E1132">
            <v>4.7978611061939291E-3</v>
          </cell>
        </row>
        <row r="1133">
          <cell r="D1133">
            <v>-1.3115327446009066E-3</v>
          </cell>
          <cell r="E1133">
            <v>8.5236467357024184E-3</v>
          </cell>
        </row>
        <row r="1134">
          <cell r="D1134">
            <v>1.7510068289266576E-3</v>
          </cell>
          <cell r="E1134">
            <v>7.4423338560761663E-3</v>
          </cell>
        </row>
        <row r="1135">
          <cell r="D1135">
            <v>5.0690438734486828E-3</v>
          </cell>
          <cell r="E1135">
            <v>5.5649481050187048E-3</v>
          </cell>
        </row>
        <row r="1136">
          <cell r="D1136">
            <v>0</v>
          </cell>
          <cell r="E1136">
            <v>1.4798742959801943E-2</v>
          </cell>
        </row>
        <row r="1137">
          <cell r="D1137">
            <v>1.0608695652173903E-2</v>
          </cell>
          <cell r="E1137">
            <v>4.5743408170815557E-3</v>
          </cell>
        </row>
        <row r="1138">
          <cell r="D1138">
            <v>2.0478403028738559E-2</v>
          </cell>
          <cell r="E1138">
            <v>-3.8614340705236203E-3</v>
          </cell>
        </row>
        <row r="1139">
          <cell r="D1139">
            <v>1.8718381112984815E-2</v>
          </cell>
          <cell r="E1139">
            <v>-2.4569999765787485E-3</v>
          </cell>
        </row>
        <row r="1140">
          <cell r="D1140">
            <v>1.4070518126138199E-3</v>
          </cell>
          <cell r="E1140">
            <v>1.8576214842715027E-2</v>
          </cell>
        </row>
        <row r="1141">
          <cell r="D1141">
            <v>3.9672700223159031E-2</v>
          </cell>
          <cell r="E1141">
            <v>1.4878794339953745E-2</v>
          </cell>
        </row>
        <row r="1142">
          <cell r="D1142">
            <v>-9.3807138882264635E-3</v>
          </cell>
          <cell r="E1142">
            <v>-8.9676036507187803E-5</v>
          </cell>
        </row>
        <row r="1143">
          <cell r="D1143">
            <v>1.1475804510071477E-2</v>
          </cell>
          <cell r="E1143">
            <v>1.1194844536173379E-3</v>
          </cell>
        </row>
        <row r="1144">
          <cell r="D1144">
            <v>-2.8562361155188782E-3</v>
          </cell>
          <cell r="E1144">
            <v>6.4703751487524665E-4</v>
          </cell>
        </row>
        <row r="1145">
          <cell r="D1145">
            <v>-1.312858052196058E-2</v>
          </cell>
          <cell r="E1145">
            <v>-3.9084490523551233E-3</v>
          </cell>
        </row>
        <row r="1146">
          <cell r="D1146">
            <v>2.2736434733532155E-2</v>
          </cell>
          <cell r="E1146">
            <v>1.0292306771497233E-2</v>
          </cell>
        </row>
        <row r="1147">
          <cell r="D1147">
            <v>-1.797398502167916E-2</v>
          </cell>
          <cell r="E1147">
            <v>9.583370643434579E-3</v>
          </cell>
        </row>
        <row r="1148">
          <cell r="D1148">
            <v>1.9426828289315259E-2</v>
          </cell>
          <cell r="E1148">
            <v>7.3252602964697811E-3</v>
          </cell>
        </row>
        <row r="1149">
          <cell r="D1149">
            <v>5.5122450586666193E-4</v>
          </cell>
          <cell r="E1149">
            <v>6.577528718672984E-3</v>
          </cell>
        </row>
        <row r="1150">
          <cell r="D1150">
            <v>5.5092082480712407E-4</v>
          </cell>
          <cell r="E1150">
            <v>8.9995660459308378E-3</v>
          </cell>
        </row>
        <row r="1151">
          <cell r="D1151">
            <v>7.0007079367577661E-3</v>
          </cell>
          <cell r="E1151">
            <v>1.4392282793726154E-2</v>
          </cell>
        </row>
        <row r="1152">
          <cell r="D1152">
            <v>1.5466333385408449E-2</v>
          </cell>
          <cell r="E1152">
            <v>-2.4141173399697367E-3</v>
          </cell>
        </row>
        <row r="1153">
          <cell r="D1153">
            <v>2.2846153846153839E-2</v>
          </cell>
          <cell r="E1153">
            <v>9.2276980726181627E-3</v>
          </cell>
        </row>
        <row r="1154">
          <cell r="D1154">
            <v>-2.2561480033091025E-3</v>
          </cell>
          <cell r="E1154">
            <v>2.0113108036717682E-2</v>
          </cell>
        </row>
        <row r="1155">
          <cell r="D1155">
            <v>8.4419989447501662E-3</v>
          </cell>
          <cell r="E1155">
            <v>2.0343987670682375E-2</v>
          </cell>
        </row>
        <row r="1156">
          <cell r="D1156">
            <v>1.5696240376710366E-3</v>
          </cell>
          <cell r="E1156">
            <v>2.0852089215877348E-3</v>
          </cell>
        </row>
        <row r="1157">
          <cell r="D1157">
            <v>-9.1791044776118637E-3</v>
          </cell>
          <cell r="E1157">
            <v>2.1308305225318483E-3</v>
          </cell>
        </row>
        <row r="1158">
          <cell r="D1158">
            <v>1.8076372674548516E-3</v>
          </cell>
          <cell r="E1158">
            <v>1.0197782870092506E-2</v>
          </cell>
        </row>
        <row r="1159">
          <cell r="D1159">
            <v>-3.4583865874744722E-3</v>
          </cell>
          <cell r="E1159">
            <v>-5.705899258093664E-3</v>
          </cell>
        </row>
        <row r="1160">
          <cell r="D1160">
            <v>-1.9238023387401066E-2</v>
          </cell>
          <cell r="E1160">
            <v>8.599195748071949E-4</v>
          </cell>
        </row>
        <row r="1161">
          <cell r="D1161">
            <v>7.6923076923076927E-3</v>
          </cell>
          <cell r="E1161">
            <v>5.9963911955264832E-3</v>
          </cell>
        </row>
        <row r="1162">
          <cell r="D1162">
            <v>2.3053435114503897E-2</v>
          </cell>
          <cell r="E1162">
            <v>1.341429043735573E-2</v>
          </cell>
        </row>
        <row r="1163">
          <cell r="D1163">
            <v>1.7758543500969969E-2</v>
          </cell>
          <cell r="E1163">
            <v>1.25911272370252E-2</v>
          </cell>
        </row>
        <row r="1164">
          <cell r="D1164">
            <v>-3.4457478005865019E-3</v>
          </cell>
          <cell r="E1164">
            <v>4.4565682353659023E-3</v>
          </cell>
        </row>
        <row r="1165">
          <cell r="D1165">
            <v>1.8391819318767011E-3</v>
          </cell>
          <cell r="E1165">
            <v>1.0151869068063443E-2</v>
          </cell>
        </row>
        <row r="1166">
          <cell r="D1166">
            <v>-9.5461888676748015E-4</v>
          </cell>
          <cell r="E1166">
            <v>1.7925334166693733E-2</v>
          </cell>
        </row>
        <row r="1167">
          <cell r="D1167">
            <v>7.7912532157295268E-3</v>
          </cell>
          <cell r="E1167">
            <v>-5.6958991071324339E-3</v>
          </cell>
        </row>
        <row r="1168">
          <cell r="D1168">
            <v>1.3274013565750076E-2</v>
          </cell>
          <cell r="E1168">
            <v>4.5967732337874357E-4</v>
          </cell>
        </row>
        <row r="1169">
          <cell r="D1169">
            <v>6.2477506658029272E-2</v>
          </cell>
          <cell r="E1169">
            <v>1.9239090405782488E-2</v>
          </cell>
        </row>
        <row r="1170">
          <cell r="D1170">
            <v>-5.1487026624213754E-3</v>
          </cell>
          <cell r="E1170">
            <v>1.433104370554979E-2</v>
          </cell>
        </row>
        <row r="1171">
          <cell r="D1171">
            <v>-7.7630234933604792E-3</v>
          </cell>
          <cell r="E1171">
            <v>7.2357565718769263E-3</v>
          </cell>
        </row>
        <row r="1172">
          <cell r="D1172">
            <v>1.571614851417193E-2</v>
          </cell>
          <cell r="E1172">
            <v>1.190928558407179E-2</v>
          </cell>
        </row>
        <row r="1173">
          <cell r="D1173">
            <v>2.0945945945946101E-3</v>
          </cell>
          <cell r="E1173">
            <v>1.4727946220332034E-2</v>
          </cell>
        </row>
        <row r="1174">
          <cell r="D1174">
            <v>1.0585934866158676E-2</v>
          </cell>
          <cell r="E1174">
            <v>2.3263205583354804E-2</v>
          </cell>
        </row>
        <row r="1175">
          <cell r="D1175">
            <v>1.1342407259141709E-3</v>
          </cell>
          <cell r="E1175">
            <v>-3.190703982853294E-3</v>
          </cell>
        </row>
        <row r="1176">
          <cell r="D1176">
            <v>2.0059980006664382E-2</v>
          </cell>
          <cell r="E1176">
            <v>6.2783725404026349E-3</v>
          </cell>
        </row>
        <row r="1177">
          <cell r="D1177">
            <v>-5.6187116163596866E-3</v>
          </cell>
          <cell r="E1177">
            <v>-1.726141173785626E-2</v>
          </cell>
        </row>
        <row r="1178">
          <cell r="D1178">
            <v>5.3876478318004052E-3</v>
          </cell>
          <cell r="E1178">
            <v>2.6046198416180173E-3</v>
          </cell>
        </row>
        <row r="1179">
          <cell r="D1179">
            <v>4.4307933603450533E-2</v>
          </cell>
          <cell r="E1179">
            <v>1.0386982833816094E-2</v>
          </cell>
        </row>
        <row r="1180">
          <cell r="D1180">
            <v>-8.6983729662078509E-3</v>
          </cell>
          <cell r="E1180">
            <v>-1.3992737337747724E-2</v>
          </cell>
        </row>
        <row r="1181">
          <cell r="D1181">
            <v>-2.9606716747680058E-2</v>
          </cell>
          <cell r="E1181">
            <v>-3.6372389221141818E-2</v>
          </cell>
        </row>
        <row r="1182">
          <cell r="D1182">
            <v>4.0983606557376756E-3</v>
          </cell>
          <cell r="E1182">
            <v>-6.1276688391439472E-3</v>
          </cell>
        </row>
        <row r="1183">
          <cell r="D1183">
            <v>-1.0042112082928299E-2</v>
          </cell>
          <cell r="E1183">
            <v>3.932230987024209E-3</v>
          </cell>
        </row>
        <row r="1184">
          <cell r="D1184">
            <v>-4.8429319371728341E-3</v>
          </cell>
          <cell r="E1184">
            <v>-1.5766848179167389E-2</v>
          </cell>
        </row>
        <row r="1185">
          <cell r="D1185">
            <v>-4.9980270945679299E-2</v>
          </cell>
          <cell r="E1185">
            <v>-4.1068086927674739E-2</v>
          </cell>
        </row>
        <row r="1186">
          <cell r="D1186">
            <v>7.5453412709400756E-3</v>
          </cell>
          <cell r="E1186">
            <v>2.8605914588536462E-2</v>
          </cell>
        </row>
        <row r="1187">
          <cell r="D1187">
            <v>6.0872552387495601E-2</v>
          </cell>
          <cell r="E1187">
            <v>1.9529236019809458E-2</v>
          </cell>
        </row>
        <row r="1188">
          <cell r="D1188">
            <v>8.4839064827407704E-3</v>
          </cell>
          <cell r="E1188">
            <v>6.426842931052979E-3</v>
          </cell>
        </row>
        <row r="1189">
          <cell r="D1189">
            <v>7.3208322630363134E-3</v>
          </cell>
          <cell r="E1189">
            <v>3.5399570607631159E-2</v>
          </cell>
        </row>
        <row r="1190">
          <cell r="D1190">
            <v>-1.6129032258064523E-2</v>
          </cell>
          <cell r="E1190">
            <v>-4.8278906024548087E-3</v>
          </cell>
        </row>
        <row r="1191">
          <cell r="D1191">
            <v>3.9525691699603786E-3</v>
          </cell>
          <cell r="E1191">
            <v>4.6192983328567699E-3</v>
          </cell>
        </row>
        <row r="1192">
          <cell r="D1192">
            <v>-8.8421324383632666E-3</v>
          </cell>
          <cell r="E1192">
            <v>-1.1895397842269272E-4</v>
          </cell>
        </row>
        <row r="1193">
          <cell r="D1193">
            <v>-4.9488832454254797E-3</v>
          </cell>
          <cell r="E1193">
            <v>-1.9223640901274402E-3</v>
          </cell>
        </row>
        <row r="1194">
          <cell r="D1194">
            <v>1.9632223022054274E-4</v>
          </cell>
          <cell r="E1194">
            <v>-4.3070670496273356E-3</v>
          </cell>
        </row>
        <row r="1195">
          <cell r="D1195">
            <v>5.0379481811044895E-3</v>
          </cell>
          <cell r="E1195">
            <v>-1.034450067196399E-3</v>
          </cell>
        </row>
        <row r="1196">
          <cell r="D1196">
            <v>-3.8408957750146692E-3</v>
          </cell>
          <cell r="E1196">
            <v>-3.9072422284480391E-3</v>
          </cell>
        </row>
        <row r="1197">
          <cell r="D1197">
            <v>-1.3723696248856877E-3</v>
          </cell>
          <cell r="E1197">
            <v>1.0915545014576868E-2</v>
          </cell>
        </row>
        <row r="1198">
          <cell r="D1198">
            <v>3.2720371703429991E-4</v>
          </cell>
          <cell r="E1198">
            <v>3.1059663803513054E-4</v>
          </cell>
        </row>
        <row r="1199">
          <cell r="D1199">
            <v>3.9251602773779553E-3</v>
          </cell>
          <cell r="E1199">
            <v>-5.6972995920024621E-3</v>
          </cell>
        </row>
        <row r="1200">
          <cell r="D1200">
            <v>-8.1454450671184665E-3</v>
          </cell>
          <cell r="E1200">
            <v>-8.2764140559625481E-3</v>
          </cell>
        </row>
        <row r="1201">
          <cell r="D1201">
            <v>-9.7891071545891141E-3</v>
          </cell>
          <cell r="E1201">
            <v>-2.6690740421724153E-3</v>
          </cell>
        </row>
        <row r="1202">
          <cell r="D1202">
            <v>-1.804670912951167E-2</v>
          </cell>
          <cell r="E1202">
            <v>-5.7409984435402685E-3</v>
          </cell>
        </row>
        <row r="1203">
          <cell r="D1203">
            <v>-4.4594594594594365E-3</v>
          </cell>
          <cell r="E1203">
            <v>1.2630849461413133E-3</v>
          </cell>
        </row>
        <row r="1204">
          <cell r="D1204">
            <v>-3.7328627663907382E-3</v>
          </cell>
          <cell r="E1204">
            <v>1.038490584165571E-2</v>
          </cell>
        </row>
        <row r="1205">
          <cell r="D1205">
            <v>-6.1993323795898675E-3</v>
          </cell>
          <cell r="E1205">
            <v>8.0515287832652448E-3</v>
          </cell>
        </row>
        <row r="1206">
          <cell r="D1206">
            <v>1.3298601590348217E-2</v>
          </cell>
          <cell r="E1206">
            <v>5.7127368851876432E-3</v>
          </cell>
        </row>
        <row r="1207">
          <cell r="D1207">
            <v>7.4956027601136607E-2</v>
          </cell>
          <cell r="E1207">
            <v>-8.0901009110580738E-3</v>
          </cell>
        </row>
        <row r="1208">
          <cell r="D1208">
            <v>1.4411579609817444E-2</v>
          </cell>
          <cell r="E1208">
            <v>-7.5422240906056716E-3</v>
          </cell>
        </row>
        <row r="1209">
          <cell r="D1209">
            <v>-2.2395930268626994E-2</v>
          </cell>
          <cell r="E1209">
            <v>-3.0892108919396748E-2</v>
          </cell>
        </row>
        <row r="1210">
          <cell r="D1210">
            <v>-1.402462241401198E-2</v>
          </cell>
          <cell r="E1210">
            <v>2.2224471691773603E-3</v>
          </cell>
        </row>
        <row r="1211">
          <cell r="D1211">
            <v>1.0040548368410904E-2</v>
          </cell>
          <cell r="E1211">
            <v>6.6886977207507052E-3</v>
          </cell>
        </row>
        <row r="1212">
          <cell r="D1212">
            <v>-3.0459440514879251E-2</v>
          </cell>
          <cell r="E1212">
            <v>9.7634794772680777E-3</v>
          </cell>
        </row>
        <row r="1213">
          <cell r="D1213">
            <v>-4.6007229707520982E-4</v>
          </cell>
          <cell r="E1213">
            <v>1.2635922271539137E-2</v>
          </cell>
        </row>
        <row r="1214">
          <cell r="D1214">
            <v>2.3934771173066714E-2</v>
          </cell>
          <cell r="E1214">
            <v>5.4052554412278722E-3</v>
          </cell>
        </row>
        <row r="1215">
          <cell r="D1215">
            <v>-4.9768815823272541E-2</v>
          </cell>
          <cell r="E1215">
            <v>-4.7994453717868951E-2</v>
          </cell>
        </row>
        <row r="1216">
          <cell r="D1216">
            <v>1.5070622423464146E-2</v>
          </cell>
          <cell r="E1216">
            <v>2.6465103269744691E-3</v>
          </cell>
        </row>
        <row r="1217">
          <cell r="D1217">
            <v>2.703062583222372E-2</v>
          </cell>
          <cell r="E1217">
            <v>1.5138926612848238E-2</v>
          </cell>
        </row>
        <row r="1218">
          <cell r="D1218">
            <v>-2.8458446778166644E-2</v>
          </cell>
          <cell r="E1218">
            <v>-1.8241511707080351E-2</v>
          </cell>
        </row>
        <row r="1219">
          <cell r="D1219">
            <v>-9.4748782277975299E-3</v>
          </cell>
          <cell r="E1219">
            <v>-1.8798736022219556E-2</v>
          </cell>
        </row>
        <row r="1220">
          <cell r="D1220">
            <v>-5.6584708656111492E-3</v>
          </cell>
          <cell r="E1220">
            <v>9.8005844374489063E-3</v>
          </cell>
        </row>
        <row r="1221">
          <cell r="D1221">
            <v>3.651514125059268E-2</v>
          </cell>
          <cell r="E1221">
            <v>7.4264283262798192E-5</v>
          </cell>
        </row>
        <row r="1222">
          <cell r="D1222">
            <v>6.5359477124183009E-3</v>
          </cell>
          <cell r="E1222">
            <v>1.8108554742439591E-2</v>
          </cell>
        </row>
        <row r="1223">
          <cell r="D1223">
            <v>-1.8766233766233677E-2</v>
          </cell>
          <cell r="E1223">
            <v>5.769734349851314E-3</v>
          </cell>
        </row>
        <row r="1224">
          <cell r="D1224">
            <v>1.7669247567996739E-2</v>
          </cell>
          <cell r="E1224">
            <v>1.4560116444752592E-2</v>
          </cell>
        </row>
        <row r="1225">
          <cell r="D1225">
            <v>1.0794641695929228E-2</v>
          </cell>
          <cell r="E1225">
            <v>7.8023338706714419E-3</v>
          </cell>
        </row>
        <row r="1226">
          <cell r="D1226">
            <v>-2.7470406587750965E-2</v>
          </cell>
          <cell r="E1226">
            <v>-1.3715934668363887E-3</v>
          </cell>
        </row>
        <row r="1227">
          <cell r="D1227">
            <v>0</v>
          </cell>
          <cell r="E1227">
            <v>7.6614504160925825E-3</v>
          </cell>
        </row>
        <row r="1228">
          <cell r="D1228">
            <v>2.493881061057095E-2</v>
          </cell>
          <cell r="E1228">
            <v>2.5465496766658716E-2</v>
          </cell>
        </row>
        <row r="1229">
          <cell r="D1229">
            <v>1.187556473473605E-2</v>
          </cell>
          <cell r="E1229">
            <v>9.5833660539979531E-3</v>
          </cell>
        </row>
        <row r="1230">
          <cell r="D1230">
            <v>2.2515626993238939E-2</v>
          </cell>
          <cell r="E1230">
            <v>-3.4220482161726818E-3</v>
          </cell>
        </row>
        <row r="1231">
          <cell r="D1231">
            <v>-1.9337533528788115E-3</v>
          </cell>
          <cell r="E1231">
            <v>-1.05620238188697E-3</v>
          </cell>
        </row>
        <row r="1232">
          <cell r="D1232">
            <v>-2.3625000000000007E-2</v>
          </cell>
          <cell r="E1232">
            <v>-8.1530240210353261E-4</v>
          </cell>
        </row>
        <row r="1233">
          <cell r="D1233">
            <v>-1.8499551913967394E-2</v>
          </cell>
          <cell r="E1233">
            <v>2.9064179751288888E-3</v>
          </cell>
        </row>
        <row r="1234">
          <cell r="D1234">
            <v>1.4869888475836437E-2</v>
          </cell>
          <cell r="E1234">
            <v>-5.8440192504573523E-4</v>
          </cell>
        </row>
        <row r="1235">
          <cell r="D1235">
            <v>-3.6051667630615084E-2</v>
          </cell>
          <cell r="E1235">
            <v>-2.5957903627859033E-2</v>
          </cell>
        </row>
        <row r="1236">
          <cell r="D1236">
            <v>6.6666666666666666E-2</v>
          </cell>
          <cell r="E1236">
            <v>1.1991392764601273E-2</v>
          </cell>
        </row>
        <row r="1237">
          <cell r="D1237">
            <v>-2.4999999999995024E-4</v>
          </cell>
          <cell r="E1237">
            <v>1.1423022574355078E-3</v>
          </cell>
        </row>
        <row r="1238">
          <cell r="D1238">
            <v>9.6274068517128789E-3</v>
          </cell>
          <cell r="E1238">
            <v>9.4326581806799866E-3</v>
          </cell>
        </row>
        <row r="1239">
          <cell r="D1239">
            <v>2.8482972136223404E-3</v>
          </cell>
          <cell r="E1239">
            <v>3.4989450800425488E-3</v>
          </cell>
        </row>
        <row r="1240">
          <cell r="D1240">
            <v>1.0866880711286681E-2</v>
          </cell>
          <cell r="E1240">
            <v>-4.7829216274194297E-3</v>
          </cell>
        </row>
        <row r="1241">
          <cell r="D1241">
            <v>-2.3576838504764143E-2</v>
          </cell>
          <cell r="E1241">
            <v>-4.0596232806562127E-3</v>
          </cell>
        </row>
        <row r="1242">
          <cell r="D1242">
            <v>1.5138245965219487E-2</v>
          </cell>
          <cell r="E1242">
            <v>5.7376745979353105E-3</v>
          </cell>
        </row>
        <row r="1243">
          <cell r="D1243">
            <v>9.3049051022922775E-3</v>
          </cell>
          <cell r="E1243">
            <v>5.8088702668343982E-3</v>
          </cell>
        </row>
        <row r="1244">
          <cell r="D1244">
            <v>7.387508394895952E-3</v>
          </cell>
          <cell r="E1244">
            <v>9.7336702966696765E-3</v>
          </cell>
        </row>
        <row r="1245">
          <cell r="D1245">
            <v>5.5151515151514946E-3</v>
          </cell>
          <cell r="E1245">
            <v>8.9308750899166119E-3</v>
          </cell>
        </row>
        <row r="1246">
          <cell r="D1246">
            <v>3.3632692423603235E-2</v>
          </cell>
          <cell r="E1246">
            <v>-2.0405968712336573E-3</v>
          </cell>
        </row>
        <row r="1247">
          <cell r="D1247">
            <v>-1.3878360254242203E-2</v>
          </cell>
          <cell r="E1247">
            <v>-3.1160310012175729E-3</v>
          </cell>
        </row>
        <row r="1248">
          <cell r="D1248">
            <v>-1.1530956182366606E-2</v>
          </cell>
          <cell r="E1248">
            <v>1.3464813630449666E-3</v>
          </cell>
        </row>
        <row r="1249">
          <cell r="D1249">
            <v>4.6063651591290392E-3</v>
          </cell>
          <cell r="E1249">
            <v>1.3003866563925071E-2</v>
          </cell>
        </row>
        <row r="1250">
          <cell r="D1250">
            <v>-1.0301911510748635E-2</v>
          </cell>
          <cell r="E1250">
            <v>9.7517505450437376E-3</v>
          </cell>
        </row>
        <row r="1251">
          <cell r="D1251">
            <v>2.7677496991576895E-3</v>
          </cell>
          <cell r="E1251">
            <v>1.7586475130808646E-2</v>
          </cell>
        </row>
        <row r="1252">
          <cell r="D1252">
            <v>2.0400816032641509E-3</v>
          </cell>
          <cell r="E1252">
            <v>9.9788868111011769E-3</v>
          </cell>
        </row>
        <row r="1253">
          <cell r="D1253">
            <v>2.3952095808378468E-4</v>
          </cell>
          <cell r="E1253">
            <v>3.2690167862433439E-3</v>
          </cell>
        </row>
        <row r="1254">
          <cell r="D1254">
            <v>5.7471264367816568E-3</v>
          </cell>
          <cell r="E1254">
            <v>-8.6356740659591783E-4</v>
          </cell>
        </row>
        <row r="1255">
          <cell r="D1255">
            <v>1.1904761904761227E-3</v>
          </cell>
          <cell r="E1255">
            <v>-2.1329766360032453E-3</v>
          </cell>
        </row>
        <row r="1256">
          <cell r="D1256">
            <v>-8.4423305588584279E-3</v>
          </cell>
          <cell r="E1256">
            <v>-6.1421812591829362E-4</v>
          </cell>
        </row>
        <row r="1257">
          <cell r="D1257">
            <v>7.3150257824679153E-3</v>
          </cell>
          <cell r="E1257">
            <v>8.8174554261679864E-3</v>
          </cell>
        </row>
        <row r="1258">
          <cell r="D1258">
            <v>1.0119047619047552E-2</v>
          </cell>
          <cell r="E1258">
            <v>7.3834542144328545E-3</v>
          </cell>
        </row>
        <row r="1259">
          <cell r="D1259">
            <v>1.7678255745433788E-3</v>
          </cell>
          <cell r="E1259">
            <v>-1.036629053107646E-3</v>
          </cell>
        </row>
        <row r="1260">
          <cell r="D1260">
            <v>8.1764705882352139E-3</v>
          </cell>
          <cell r="E1260">
            <v>9.7041161074621542E-3</v>
          </cell>
        </row>
        <row r="1261">
          <cell r="D1261">
            <v>-6.8848824318803806E-3</v>
          </cell>
          <cell r="E1261">
            <v>-1.1171115705640093E-3</v>
          </cell>
        </row>
        <row r="1262">
          <cell r="D1262">
            <v>-6.8738617002527223E-3</v>
          </cell>
          <cell r="E1262">
            <v>1.0717451654407248E-2</v>
          </cell>
        </row>
        <row r="1263">
          <cell r="D1263">
            <v>-2.7922385234264074E-2</v>
          </cell>
          <cell r="E1263">
            <v>-1.4403084843506758E-2</v>
          </cell>
        </row>
        <row r="1264">
          <cell r="D1264">
            <v>-2.3673320350535459E-2</v>
          </cell>
          <cell r="E1264">
            <v>-8.2638922112173736E-3</v>
          </cell>
        </row>
        <row r="1265">
          <cell r="D1265">
            <v>-8.8512123667644198E-3</v>
          </cell>
          <cell r="E1265">
            <v>-6.2573001952813713E-3</v>
          </cell>
        </row>
        <row r="1266">
          <cell r="D1266">
            <v>1.0376705867555536E-2</v>
          </cell>
          <cell r="E1266">
            <v>1.7612391243183288E-2</v>
          </cell>
        </row>
        <row r="1267">
          <cell r="D1267">
            <v>5.8508651811278335E-3</v>
          </cell>
          <cell r="E1267">
            <v>1.1990611121318015E-2</v>
          </cell>
        </row>
        <row r="1268">
          <cell r="D1268">
            <v>0</v>
          </cell>
          <cell r="E1268">
            <v>-4.177876385444483E-5</v>
          </cell>
        </row>
        <row r="1269">
          <cell r="D1269">
            <v>-1.6089108910891055E-2</v>
          </cell>
          <cell r="E1269">
            <v>-2.1904531536037081E-3</v>
          </cell>
        </row>
        <row r="1270">
          <cell r="D1270">
            <v>1.1320754716981562E-3</v>
          </cell>
          <cell r="E1270">
            <v>7.744984905336522E-4</v>
          </cell>
        </row>
        <row r="1271">
          <cell r="D1271">
            <v>7.5009423294383704E-2</v>
          </cell>
          <cell r="E1271">
            <v>5.8830370482004001E-3</v>
          </cell>
        </row>
        <row r="1272">
          <cell r="D1272">
            <v>3.383590462833095E-2</v>
          </cell>
          <cell r="E1272">
            <v>9.764043483317492E-3</v>
          </cell>
        </row>
        <row r="1273">
          <cell r="D1273">
            <v>-4.0133401164434345E-3</v>
          </cell>
          <cell r="E1273">
            <v>9.9199028280964607E-3</v>
          </cell>
        </row>
        <row r="1274">
          <cell r="D1274">
            <v>8.2860385925085586E-3</v>
          </cell>
          <cell r="E1274">
            <v>1.7816701974031756E-3</v>
          </cell>
        </row>
        <row r="1275">
          <cell r="D1275">
            <v>-9.3436901947540063E-3</v>
          </cell>
          <cell r="E1275">
            <v>3.5722713951225368E-3</v>
          </cell>
        </row>
        <row r="1276">
          <cell r="D1276">
            <v>2.1590909090909157E-2</v>
          </cell>
          <cell r="E1276">
            <v>5.4937428850926088E-3</v>
          </cell>
        </row>
        <row r="1277">
          <cell r="D1277">
            <v>4.7830923248052565E-3</v>
          </cell>
          <cell r="E1277">
            <v>-3.429014359122138E-3</v>
          </cell>
        </row>
        <row r="1278">
          <cell r="D1278">
            <v>1.2841802280526919E-2</v>
          </cell>
          <cell r="E1278">
            <v>1.635102019072027E-3</v>
          </cell>
        </row>
        <row r="1279">
          <cell r="D1279">
            <v>-3.0986993114001462E-2</v>
          </cell>
          <cell r="E1279">
            <v>-3.3254984890323811E-3</v>
          </cell>
        </row>
        <row r="1280">
          <cell r="D1280">
            <v>3.8914894816987067E-3</v>
          </cell>
          <cell r="E1280">
            <v>2.1052162536036208E-3</v>
          </cell>
        </row>
        <row r="1281">
          <cell r="D1281">
            <v>0</v>
          </cell>
          <cell r="E1281">
            <v>1.1563284677372981E-2</v>
          </cell>
        </row>
        <row r="1282">
          <cell r="D1282">
            <v>-1.4213483146067423E-2</v>
          </cell>
          <cell r="E1282">
            <v>-6.1270251887788167E-3</v>
          </cell>
        </row>
        <row r="1283">
          <cell r="D1283">
            <v>4.9011226990368695E-2</v>
          </cell>
          <cell r="E1283">
            <v>-9.0202945039619606E-3</v>
          </cell>
        </row>
        <row r="1284">
          <cell r="D1284">
            <v>-7.1168577171728271E-3</v>
          </cell>
          <cell r="E1284">
            <v>5.5881971716924045E-4</v>
          </cell>
        </row>
        <row r="1285">
          <cell r="D1285">
            <v>3.7754432042022201E-3</v>
          </cell>
          <cell r="E1285">
            <v>1.3359843970441574E-2</v>
          </cell>
        </row>
        <row r="1286">
          <cell r="D1286">
            <v>-1.0084491687108173E-2</v>
          </cell>
          <cell r="E1286">
            <v>-3.996126437957128E-3</v>
          </cell>
        </row>
        <row r="1287">
          <cell r="D1287">
            <v>7.5440528634361488E-3</v>
          </cell>
          <cell r="E1287">
            <v>-1.2022452850310953E-2</v>
          </cell>
        </row>
        <row r="1288">
          <cell r="D1288">
            <v>-6.9956823522981972E-3</v>
          </cell>
          <cell r="E1288">
            <v>-5.9895541062102032E-3</v>
          </cell>
        </row>
        <row r="1289">
          <cell r="D1289">
            <v>-1.3924816995982173E-2</v>
          </cell>
          <cell r="E1289">
            <v>-4.8034585008996204E-3</v>
          </cell>
        </row>
        <row r="1290">
          <cell r="D1290">
            <v>-1.2614422862245987E-2</v>
          </cell>
          <cell r="E1290">
            <v>-1.4744879467953539E-3</v>
          </cell>
        </row>
        <row r="1291">
          <cell r="D1291">
            <v>1.7637083097795391E-2</v>
          </cell>
          <cell r="E1291">
            <v>-6.7990870192567998E-3</v>
          </cell>
        </row>
        <row r="1292">
          <cell r="D1292">
            <v>3.3329630041107803E-4</v>
          </cell>
          <cell r="E1292">
            <v>-9.0518338198691279E-3</v>
          </cell>
        </row>
        <row r="1293">
          <cell r="D1293">
            <v>6.3860506441580254E-3</v>
          </cell>
          <cell r="E1293">
            <v>2.8646020243424737E-3</v>
          </cell>
        </row>
        <row r="1294">
          <cell r="D1294">
            <v>9.7665949346135324E-3</v>
          </cell>
          <cell r="E1294">
            <v>4.6852340803789513E-2</v>
          </cell>
        </row>
        <row r="1295">
          <cell r="D1295">
            <v>-1.4207650273224013E-2</v>
          </cell>
          <cell r="E1295">
            <v>6.5427376805843439E-3</v>
          </cell>
        </row>
        <row r="1296">
          <cell r="D1296">
            <v>1.1419068736141919E-2</v>
          </cell>
          <cell r="E1296">
            <v>2.7308671711766701E-2</v>
          </cell>
        </row>
        <row r="1297">
          <cell r="D1297">
            <v>-8.0017538090540827E-3</v>
          </cell>
          <cell r="E1297">
            <v>1.1370337606397239E-4</v>
          </cell>
        </row>
        <row r="1298">
          <cell r="D1298">
            <v>9.613259668508338E-3</v>
          </cell>
          <cell r="E1298">
            <v>-7.3389976385123271E-3</v>
          </cell>
        </row>
        <row r="1299">
          <cell r="D1299">
            <v>-2.7361278318929278E-4</v>
          </cell>
          <cell r="E1299">
            <v>-3.7263476245684834E-3</v>
          </cell>
        </row>
        <row r="1300">
          <cell r="D1300">
            <v>8.7032678307515654E-3</v>
          </cell>
          <cell r="E1300">
            <v>4.2990442206100139E-3</v>
          </cell>
        </row>
        <row r="1301">
          <cell r="D1301">
            <v>3.6357716518340974E-3</v>
          </cell>
          <cell r="E1301">
            <v>3.2270572010581304E-3</v>
          </cell>
        </row>
        <row r="1302">
          <cell r="D1302">
            <v>5.1365233846986597E-3</v>
          </cell>
          <cell r="E1302">
            <v>-1.0606374139242069E-3</v>
          </cell>
        </row>
        <row r="1303">
          <cell r="D1303">
            <v>-1.6783216783216807E-2</v>
          </cell>
          <cell r="E1303">
            <v>4.8361296888926363E-3</v>
          </cell>
        </row>
        <row r="1304">
          <cell r="D1304">
            <v>1.0613852719115864E-2</v>
          </cell>
          <cell r="E1304">
            <v>9.2428314963158929E-3</v>
          </cell>
        </row>
        <row r="1305">
          <cell r="D1305">
            <v>-1.5158077089649261E-3</v>
          </cell>
          <cell r="E1305">
            <v>8.5575772294381614E-3</v>
          </cell>
        </row>
        <row r="1306">
          <cell r="D1306">
            <v>-2.3855996530036745E-3</v>
          </cell>
          <cell r="E1306">
            <v>6.123364417956284E-4</v>
          </cell>
        </row>
        <row r="1307">
          <cell r="D1307">
            <v>2.717391304347826E-3</v>
          </cell>
          <cell r="E1307">
            <v>-8.7204233036228566E-4</v>
          </cell>
        </row>
        <row r="1308">
          <cell r="D1308">
            <v>2.4932249322493654E-3</v>
          </cell>
          <cell r="E1308">
            <v>4.4060305095984425E-3</v>
          </cell>
        </row>
        <row r="1309">
          <cell r="D1309">
            <v>-3.9467993079585753E-3</v>
          </cell>
          <cell r="E1309">
            <v>1.3138262306243681E-3</v>
          </cell>
        </row>
        <row r="1310">
          <cell r="D1310">
            <v>-3.4196384953590377E-3</v>
          </cell>
          <cell r="E1310">
            <v>-1.0294766242488415E-2</v>
          </cell>
        </row>
        <row r="1311">
          <cell r="D1311">
            <v>0</v>
          </cell>
          <cell r="E1311">
            <v>1.888615402805358E-3</v>
          </cell>
        </row>
        <row r="1312">
          <cell r="D1312">
            <v>3.2679738562091196E-3</v>
          </cell>
          <cell r="E1312">
            <v>-6.0318267934371221E-4</v>
          </cell>
        </row>
        <row r="1313">
          <cell r="D1313">
            <v>4.3431053203040791E-3</v>
          </cell>
          <cell r="E1313">
            <v>1.5154464181846999E-2</v>
          </cell>
        </row>
        <row r="1314">
          <cell r="D1314">
            <v>4.1621621621622173E-3</v>
          </cell>
          <cell r="E1314">
            <v>8.4313333360441743E-3</v>
          </cell>
        </row>
        <row r="1315">
          <cell r="D1315">
            <v>-3.0683102761480409E-3</v>
          </cell>
          <cell r="E1315">
            <v>-2.1040725142980464E-2</v>
          </cell>
        </row>
        <row r="1316">
          <cell r="D1316">
            <v>-2.2570194384449131E-2</v>
          </cell>
          <cell r="E1316">
            <v>-1.9704712642831673E-2</v>
          </cell>
        </row>
        <row r="1317">
          <cell r="D1317">
            <v>6.7672080433101314E-2</v>
          </cell>
          <cell r="E1317">
            <v>5.7028854002695237E-3</v>
          </cell>
        </row>
        <row r="1318">
          <cell r="D1318">
            <v>2.8250633828322963E-2</v>
          </cell>
          <cell r="E1318">
            <v>5.1897088498892453E-3</v>
          </cell>
        </row>
        <row r="1319">
          <cell r="D1319">
            <v>-4.3828309767020478E-2</v>
          </cell>
          <cell r="E1319">
            <v>-1.1684067195981222E-2</v>
          </cell>
        </row>
        <row r="1320">
          <cell r="D1320">
            <v>-9.4200610462057705E-3</v>
          </cell>
          <cell r="E1320">
            <v>-5.6049924218800765E-3</v>
          </cell>
        </row>
        <row r="1321">
          <cell r="D1321">
            <v>7.1720767146577213E-3</v>
          </cell>
          <cell r="E1321">
            <v>1.0229847656354762E-2</v>
          </cell>
        </row>
        <row r="1322">
          <cell r="D1322">
            <v>-7.1737525055386303E-3</v>
          </cell>
          <cell r="E1322">
            <v>-2.5236040003177506E-3</v>
          </cell>
        </row>
        <row r="1323">
          <cell r="D1323">
            <v>-2.2314313037934273E-2</v>
          </cell>
          <cell r="E1323">
            <v>-9.4344553860091791E-3</v>
          </cell>
        </row>
        <row r="1324">
          <cell r="D1324">
            <v>-1.0651016193892011E-2</v>
          </cell>
          <cell r="E1324">
            <v>-1.8832413474960011E-3</v>
          </cell>
        </row>
        <row r="1325">
          <cell r="D1325">
            <v>7.3602109194771141E-3</v>
          </cell>
          <cell r="E1325">
            <v>6.2473380926831691E-3</v>
          </cell>
        </row>
        <row r="1326">
          <cell r="D1326">
            <v>2.3991275899672877E-2</v>
          </cell>
          <cell r="E1326">
            <v>-1.4592210925321623E-2</v>
          </cell>
        </row>
        <row r="1327">
          <cell r="D1327">
            <v>-4.5260915867945829E-3</v>
          </cell>
          <cell r="E1327">
            <v>1.3861413625489546E-3</v>
          </cell>
        </row>
        <row r="1328">
          <cell r="D1328">
            <v>-7.7025942765445192E-3</v>
          </cell>
          <cell r="E1328">
            <v>-9.9557800136636145E-4</v>
          </cell>
        </row>
        <row r="1329">
          <cell r="D1329">
            <v>2.1023125437982576E-3</v>
          </cell>
          <cell r="E1329">
            <v>9.8519746418603803E-3</v>
          </cell>
        </row>
        <row r="1330">
          <cell r="D1330">
            <v>5.3792361484666115E-4</v>
          </cell>
          <cell r="E1330">
            <v>8.9293992286535312E-3</v>
          </cell>
        </row>
        <row r="1331">
          <cell r="D1331">
            <v>-4.9462365591397177E-3</v>
          </cell>
          <cell r="E1331">
            <v>-7.5003573265432968E-3</v>
          </cell>
        </row>
        <row r="1332">
          <cell r="D1332">
            <v>-9.2932785822347017E-3</v>
          </cell>
          <cell r="E1332">
            <v>-1.3191795003583001E-3</v>
          </cell>
        </row>
        <row r="1333">
          <cell r="D1333">
            <v>-7.3625654450263011E-3</v>
          </cell>
          <cell r="E1333">
            <v>2.9348686692496706E-3</v>
          </cell>
        </row>
        <row r="1334">
          <cell r="D1334">
            <v>3.9558266029338989E-3</v>
          </cell>
          <cell r="E1334">
            <v>-7.7676510812614162E-4</v>
          </cell>
        </row>
        <row r="1335">
          <cell r="D1335">
            <v>1.094511027198599E-2</v>
          </cell>
          <cell r="E1335">
            <v>-2.7544256022559352E-3</v>
          </cell>
        </row>
        <row r="1336">
          <cell r="D1336">
            <v>1.6239917717750846E-3</v>
          </cell>
          <cell r="E1336">
            <v>-1.0898063660006168E-3</v>
          </cell>
        </row>
        <row r="1337">
          <cell r="D1337">
            <v>-2.2753067070204875E-2</v>
          </cell>
          <cell r="E1337">
            <v>6.6285491434104043E-3</v>
          </cell>
        </row>
        <row r="1338">
          <cell r="D1338">
            <v>1.8858533348080946E-2</v>
          </cell>
          <cell r="E1338">
            <v>6.8048063872541515E-3</v>
          </cell>
        </row>
        <row r="1339">
          <cell r="D1339">
            <v>8.2397003745318387E-2</v>
          </cell>
          <cell r="E1339">
            <v>1.0178516198232216E-4</v>
          </cell>
        </row>
        <row r="1340">
          <cell r="D1340">
            <v>2.5575447570332023E-3</v>
          </cell>
          <cell r="E1340">
            <v>-2.9234241053746786E-3</v>
          </cell>
        </row>
        <row r="1341">
          <cell r="D1341">
            <v>-1.7607042817126762E-2</v>
          </cell>
          <cell r="E1341">
            <v>-6.1959199735881435E-3</v>
          </cell>
        </row>
        <row r="1342">
          <cell r="D1342">
            <v>5.2443991853360549E-3</v>
          </cell>
          <cell r="E1342">
            <v>-1.1711710327207082E-3</v>
          </cell>
        </row>
        <row r="1343">
          <cell r="D1343">
            <v>-6.6352631312363991E-3</v>
          </cell>
          <cell r="E1343">
            <v>4.5756793672852318E-3</v>
          </cell>
        </row>
        <row r="1344">
          <cell r="D1344">
            <v>2.1925351825412925E-2</v>
          </cell>
          <cell r="E1344">
            <v>1.7684824669309052E-3</v>
          </cell>
        </row>
        <row r="1345">
          <cell r="D1345">
            <v>-1.6465422612512927E-3</v>
          </cell>
          <cell r="E1345">
            <v>-2.6108376518157532E-3</v>
          </cell>
        </row>
        <row r="1346">
          <cell r="D1346">
            <v>1.2244489979509164E-2</v>
          </cell>
          <cell r="E1346">
            <v>9.3276599223594391E-4</v>
          </cell>
        </row>
        <row r="1347">
          <cell r="D1347">
            <v>1.7774266811494701E-3</v>
          </cell>
          <cell r="E1347">
            <v>6.2750522229730512E-3</v>
          </cell>
        </row>
        <row r="1348">
          <cell r="D1348">
            <v>-6.9985214391326562E-3</v>
          </cell>
          <cell r="E1348">
            <v>1.9442469125094909E-4</v>
          </cell>
        </row>
        <row r="1349">
          <cell r="D1349">
            <v>7.5441731189200435E-3</v>
          </cell>
          <cell r="E1349">
            <v>4.3607080298652606E-4</v>
          </cell>
        </row>
        <row r="1350">
          <cell r="D1350">
            <v>3.9408866995074452E-3</v>
          </cell>
          <cell r="E1350">
            <v>-3.5834998041134507E-3</v>
          </cell>
        </row>
        <row r="1351">
          <cell r="D1351">
            <v>0</v>
          </cell>
          <cell r="E1351">
            <v>8.5446797684920854E-3</v>
          </cell>
        </row>
        <row r="1352">
          <cell r="D1352">
            <v>-2.5024533856723222E-3</v>
          </cell>
          <cell r="E1352">
            <v>-8.0081486513381966E-3</v>
          </cell>
        </row>
        <row r="1353">
          <cell r="D1353">
            <v>8.8543460081660105E-4</v>
          </cell>
          <cell r="E1353">
            <v>4.6511332226343511E-3</v>
          </cell>
        </row>
        <row r="1354">
          <cell r="D1354">
            <v>1.2385118199243181E-2</v>
          </cell>
          <cell r="E1354">
            <v>3.9920210201218713E-3</v>
          </cell>
        </row>
        <row r="1355">
          <cell r="D1355">
            <v>1.5194912374387083E-2</v>
          </cell>
          <cell r="E1355">
            <v>1.9926119073183581E-3</v>
          </cell>
        </row>
        <row r="1356">
          <cell r="D1356">
            <v>-2.9074215761285445E-2</v>
          </cell>
          <cell r="E1356">
            <v>1.2205133804849158E-2</v>
          </cell>
        </row>
        <row r="1357">
          <cell r="D1357">
            <v>5.9791174152876353E-2</v>
          </cell>
          <cell r="E1357">
            <v>1.2402850859804188E-2</v>
          </cell>
        </row>
        <row r="1358">
          <cell r="D1358">
            <v>-1.9239706292406424E-2</v>
          </cell>
          <cell r="E1358">
            <v>7.5517476275573179E-3</v>
          </cell>
        </row>
        <row r="1359">
          <cell r="D1359">
            <v>-3.530136467020465E-2</v>
          </cell>
          <cell r="E1359">
            <v>-2.7286201735131589E-3</v>
          </cell>
        </row>
        <row r="1360">
          <cell r="D1360">
            <v>-8.890417014588153E-3</v>
          </cell>
          <cell r="E1360">
            <v>-4.4820740252044956E-3</v>
          </cell>
        </row>
        <row r="1361">
          <cell r="D1361">
            <v>1.9030627415997637E-2</v>
          </cell>
          <cell r="E1361">
            <v>9.3795515271531665E-3</v>
          </cell>
        </row>
        <row r="1362">
          <cell r="D1362">
            <v>-1.2450150763544414E-2</v>
          </cell>
          <cell r="E1362">
            <v>-7.1728257687245717E-3</v>
          </cell>
        </row>
        <row r="1363">
          <cell r="D1363">
            <v>4.7769132276174473E-3</v>
          </cell>
          <cell r="E1363">
            <v>-4.4801505597064986E-3</v>
          </cell>
        </row>
        <row r="1364">
          <cell r="D1364">
            <v>3.0289663284811089E-2</v>
          </cell>
          <cell r="E1364">
            <v>-2.1887727631199668E-3</v>
          </cell>
        </row>
        <row r="1365">
          <cell r="D1365">
            <v>-2.8542885685743907E-4</v>
          </cell>
          <cell r="E1365">
            <v>8.5113334040155669E-3</v>
          </cell>
        </row>
        <row r="1366">
          <cell r="D1366">
            <v>-2.7456578634308875E-2</v>
          </cell>
          <cell r="E1366">
            <v>1.9854631628860712E-3</v>
          </cell>
        </row>
        <row r="1367">
          <cell r="D1367">
            <v>-5.7735590566591975E-3</v>
          </cell>
          <cell r="E1367">
            <v>9.2080948176590724E-3</v>
          </cell>
        </row>
        <row r="1368">
          <cell r="D1368">
            <v>2.4163385826771779E-2</v>
          </cell>
          <cell r="E1368">
            <v>9.7941569673860012E-3</v>
          </cell>
        </row>
        <row r="1369">
          <cell r="D1369">
            <v>2.9888039978857327E-2</v>
          </cell>
          <cell r="E1369">
            <v>1.6500750132045224E-2</v>
          </cell>
        </row>
        <row r="1370">
          <cell r="D1370">
            <v>6.6812858675873624E-2</v>
          </cell>
          <cell r="E1370">
            <v>8.8761905210556664E-3</v>
          </cell>
        </row>
        <row r="1371">
          <cell r="D1371">
            <v>9.9978132516947232E-2</v>
          </cell>
          <cell r="E1371">
            <v>6.1869644627799341E-5</v>
          </cell>
        </row>
        <row r="1372">
          <cell r="D1372">
            <v>-5.085284879328851E-2</v>
          </cell>
          <cell r="E1372">
            <v>-2.522024230856121E-3</v>
          </cell>
        </row>
        <row r="1373">
          <cell r="D1373">
            <v>-2.5511058981233257E-2</v>
          </cell>
          <cell r="E1373">
            <v>3.5317569074627046E-4</v>
          </cell>
        </row>
        <row r="1374">
          <cell r="D1374">
            <v>-1.1520440183983179E-2</v>
          </cell>
          <cell r="E1374">
            <v>-2.5971124218268668E-3</v>
          </cell>
        </row>
        <row r="1375">
          <cell r="D1375">
            <v>-2.2222222222222161E-2</v>
          </cell>
          <cell r="E1375">
            <v>6.7902951148227477E-3</v>
          </cell>
        </row>
        <row r="1376">
          <cell r="D1376">
            <v>-8.4504536559330064E-4</v>
          </cell>
          <cell r="E1376">
            <v>4.2558079336592449E-3</v>
          </cell>
        </row>
        <row r="1377">
          <cell r="D1377">
            <v>-2.5372802136656718E-3</v>
          </cell>
          <cell r="E1377">
            <v>-7.1947712017982396E-3</v>
          </cell>
        </row>
        <row r="1378">
          <cell r="D1378">
            <v>2.1911817208139932E-2</v>
          </cell>
          <cell r="E1378">
            <v>-3.9181902807521856E-3</v>
          </cell>
        </row>
        <row r="1379">
          <cell r="D1379">
            <v>3.06126905105026E-2</v>
          </cell>
          <cell r="E1379">
            <v>9.4713096490573519E-3</v>
          </cell>
        </row>
        <row r="1380">
          <cell r="D1380">
            <v>-4.2372881355932203E-3</v>
          </cell>
          <cell r="E1380">
            <v>4.7533324223147221E-3</v>
          </cell>
        </row>
        <row r="1381">
          <cell r="D1381">
            <v>2.9787234042553193E-2</v>
          </cell>
          <cell r="E1381">
            <v>8.4189752850175395E-3</v>
          </cell>
        </row>
        <row r="1382">
          <cell r="D1382">
            <v>2.2272727272727215E-2</v>
          </cell>
          <cell r="E1382">
            <v>2.0086693501680401E-2</v>
          </cell>
        </row>
        <row r="1383">
          <cell r="D1383">
            <v>-6.3866769069080565E-3</v>
          </cell>
          <cell r="E1383">
            <v>1.1782206257977407E-2</v>
          </cell>
        </row>
        <row r="1384">
          <cell r="D1384">
            <v>-2.5344778487449614E-2</v>
          </cell>
          <cell r="E1384">
            <v>2.239594497275794E-3</v>
          </cell>
        </row>
        <row r="1385">
          <cell r="D1385">
            <v>-1.7948075799315752E-3</v>
          </cell>
          <cell r="E1385">
            <v>7.4124524144879083E-3</v>
          </cell>
        </row>
        <row r="1386">
          <cell r="D1386">
            <v>-1.2335354380096244E-2</v>
          </cell>
          <cell r="E1386">
            <v>-6.3558662173361282E-3</v>
          </cell>
        </row>
        <row r="1387">
          <cell r="D1387">
            <v>-6.138865368331874E-3</v>
          </cell>
          <cell r="E1387">
            <v>-1.4617899428453233E-2</v>
          </cell>
        </row>
        <row r="1388">
          <cell r="D1388">
            <v>-3.1948881789137379E-3</v>
          </cell>
          <cell r="E1388">
            <v>2.1278506570486955E-2</v>
          </cell>
        </row>
        <row r="1389">
          <cell r="D1389">
            <v>2.4914529914529967E-2</v>
          </cell>
          <cell r="E1389">
            <v>1.1866187320361951E-2</v>
          </cell>
        </row>
        <row r="1390">
          <cell r="D1390">
            <v>-1.4802151523996211E-2</v>
          </cell>
          <cell r="E1390">
            <v>3.9843150836091868E-3</v>
          </cell>
        </row>
        <row r="1391">
          <cell r="D1391">
            <v>9.8188589808701245E-3</v>
          </cell>
          <cell r="E1391">
            <v>-3.0646452950414955E-3</v>
          </cell>
        </row>
        <row r="1392">
          <cell r="D1392">
            <v>-1.5046102263202027E-2</v>
          </cell>
          <cell r="E1392">
            <v>5.423192682053257E-3</v>
          </cell>
        </row>
        <row r="1393">
          <cell r="D1393">
            <v>-8.5102761584536022E-5</v>
          </cell>
          <cell r="E1393">
            <v>8.3353427981195053E-3</v>
          </cell>
        </row>
        <row r="1394">
          <cell r="D1394">
            <v>1.2809055704498024E-2</v>
          </cell>
          <cell r="E1394">
            <v>3.8229561307075695E-3</v>
          </cell>
        </row>
        <row r="1395">
          <cell r="D1395">
            <v>3.9495798319327639E-3</v>
          </cell>
          <cell r="E1395">
            <v>-4.5251207362694461E-3</v>
          </cell>
        </row>
        <row r="1396">
          <cell r="D1396">
            <v>-2.0674646354733397E-2</v>
          </cell>
          <cell r="E1396">
            <v>1.4038146170922701E-3</v>
          </cell>
        </row>
        <row r="1397">
          <cell r="D1397">
            <v>3.803418803418745E-3</v>
          </cell>
          <cell r="E1397">
            <v>8.9599501603710302E-3</v>
          </cell>
        </row>
        <row r="1398">
          <cell r="D1398">
            <v>-8.5146238664906976E-3</v>
          </cell>
          <cell r="E1398">
            <v>6.0700555005319462E-3</v>
          </cell>
        </row>
        <row r="1399">
          <cell r="D1399">
            <v>5.6249731632959871E-3</v>
          </cell>
          <cell r="E1399">
            <v>2.4485129528582783E-3</v>
          </cell>
        </row>
        <row r="1400">
          <cell r="D1400">
            <v>-1.7079419299742839E-3</v>
          </cell>
          <cell r="E1400">
            <v>9.0635710027625466E-3</v>
          </cell>
        </row>
        <row r="1401">
          <cell r="D1401">
            <v>-2.0530367835757835E-3</v>
          </cell>
          <cell r="E1401">
            <v>-3.2361858595754667E-3</v>
          </cell>
        </row>
        <row r="1402">
          <cell r="D1402">
            <v>2.8715926624379219E-3</v>
          </cell>
          <cell r="E1402">
            <v>1.8649984520619473E-2</v>
          </cell>
        </row>
        <row r="1403">
          <cell r="D1403">
            <v>-9.6157955468182399E-3</v>
          </cell>
          <cell r="E1403">
            <v>4.8272652175521411E-3</v>
          </cell>
        </row>
        <row r="1404">
          <cell r="D1404">
            <v>-3.883662725468344E-4</v>
          </cell>
          <cell r="E1404">
            <v>2.8788864583745833E-3</v>
          </cell>
        </row>
        <row r="1405">
          <cell r="D1405">
            <v>-1.7396935031297221E-2</v>
          </cell>
          <cell r="E1405">
            <v>-3.5742535311559583E-2</v>
          </cell>
        </row>
        <row r="1406">
          <cell r="D1406">
            <v>5.0962129865565267E-3</v>
          </cell>
          <cell r="E1406">
            <v>4.9644532925272572E-2</v>
          </cell>
        </row>
        <row r="1407">
          <cell r="D1407">
            <v>4.3710114520500044E-3</v>
          </cell>
          <cell r="E1407">
            <v>8.1950855879338678E-3</v>
          </cell>
        </row>
        <row r="1408">
          <cell r="D1408">
            <v>-6.5715031769518276E-3</v>
          </cell>
          <cell r="E1408">
            <v>1.2734959274208766E-2</v>
          </cell>
        </row>
        <row r="1409">
          <cell r="D1409">
            <v>1.8662110658430764E-2</v>
          </cell>
          <cell r="E1409">
            <v>1.8919501817924841E-2</v>
          </cell>
        </row>
        <row r="1410">
          <cell r="D1410">
            <v>-5.5906764718528985E-4</v>
          </cell>
          <cell r="E1410">
            <v>1.2433992947951172E-2</v>
          </cell>
        </row>
        <row r="1411">
          <cell r="D1411">
            <v>-4.4750430292598625E-3</v>
          </cell>
          <cell r="E1411">
            <v>5.2149469194780473E-3</v>
          </cell>
        </row>
        <row r="1412">
          <cell r="D1412">
            <v>-3.2417012448132778E-3</v>
          </cell>
          <cell r="E1412">
            <v>2.9823982530122018E-2</v>
          </cell>
        </row>
        <row r="1413">
          <cell r="D1413">
            <v>-8.9761935735658532E-3</v>
          </cell>
          <cell r="E1413">
            <v>7.5294508068581576E-3</v>
          </cell>
        </row>
        <row r="1414">
          <cell r="D1414">
            <v>-4.1830751728362661E-2</v>
          </cell>
          <cell r="E1414">
            <v>8.403547051711582E-3</v>
          </cell>
        </row>
        <row r="1415">
          <cell r="D1415">
            <v>3.3382044022285152E-2</v>
          </cell>
          <cell r="E1415">
            <v>-9.7639009918943209E-3</v>
          </cell>
        </row>
        <row r="1416">
          <cell r="D1416">
            <v>-8.3963056255246691E-4</v>
          </cell>
          <cell r="E1416">
            <v>1.7572349562635831E-2</v>
          </cell>
        </row>
        <row r="1417">
          <cell r="D1417">
            <v>-1.2251216275983998E-2</v>
          </cell>
          <cell r="E1417">
            <v>3.0414974358863232E-2</v>
          </cell>
        </row>
        <row r="1418">
          <cell r="D1418">
            <v>-1.683607218018188E-2</v>
          </cell>
          <cell r="E1418">
            <v>1.0622653550943866E-3</v>
          </cell>
        </row>
        <row r="1419">
          <cell r="D1419">
            <v>3.397549756341945E-2</v>
          </cell>
          <cell r="E1419">
            <v>1.6339287745249859E-2</v>
          </cell>
        </row>
        <row r="1420">
          <cell r="D1420">
            <v>-4.8671981676430477E-2</v>
          </cell>
          <cell r="E1420">
            <v>-1.1265616309835792E-2</v>
          </cell>
        </row>
        <row r="1421">
          <cell r="D1421">
            <v>-2.3011389943513285E-2</v>
          </cell>
          <cell r="E1421">
            <v>-3.2999975883829434E-2</v>
          </cell>
        </row>
        <row r="1422">
          <cell r="D1422">
            <v>-2.8102933510260077E-2</v>
          </cell>
          <cell r="E1422">
            <v>-4.3173651567849497E-2</v>
          </cell>
        </row>
        <row r="1423">
          <cell r="D1423">
            <v>1.3068070996684115E-2</v>
          </cell>
          <cell r="E1423">
            <v>3.0469730504771662E-2</v>
          </cell>
        </row>
        <row r="1424">
          <cell r="D1424">
            <v>1.18405852907201E-2</v>
          </cell>
          <cell r="E1424">
            <v>4.02807334096408E-2</v>
          </cell>
        </row>
        <row r="1425">
          <cell r="D1425">
            <v>2.1739130434782577E-2</v>
          </cell>
          <cell r="E1425">
            <v>-1.3250978148495298E-2</v>
          </cell>
        </row>
        <row r="1426">
          <cell r="D1426">
            <v>-2.2766423017831307E-2</v>
          </cell>
          <cell r="E1426">
            <v>-1.7715548333889376E-2</v>
          </cell>
        </row>
        <row r="1427">
          <cell r="D1427">
            <v>1.0671748451643547E-2</v>
          </cell>
          <cell r="E1427">
            <v>8.4027540559366079E-3</v>
          </cell>
        </row>
        <row r="1428">
          <cell r="D1428">
            <v>2.9697369661545389E-3</v>
          </cell>
          <cell r="E1428">
            <v>3.5094554004726372E-2</v>
          </cell>
        </row>
        <row r="1429">
          <cell r="D1429">
            <v>1.1608779433190764E-2</v>
          </cell>
          <cell r="E1429">
            <v>-1.1461144032136824E-3</v>
          </cell>
        </row>
        <row r="1430">
          <cell r="D1430">
            <v>3.0942204051291566E-2</v>
          </cell>
          <cell r="E1430">
            <v>1.6340056059878341E-2</v>
          </cell>
        </row>
        <row r="1431">
          <cell r="D1431">
            <v>-2.1315908066696792E-2</v>
          </cell>
          <cell r="E1431">
            <v>9.5360935757600452E-4</v>
          </cell>
        </row>
        <row r="1432">
          <cell r="D1432">
            <v>-9.3475157710549393E-3</v>
          </cell>
          <cell r="E1432">
            <v>3.9901072117182754E-3</v>
          </cell>
        </row>
        <row r="1433">
          <cell r="D1433">
            <v>1.9336246165287837E-2</v>
          </cell>
          <cell r="E1433">
            <v>-1.1326509108406315E-2</v>
          </cell>
        </row>
        <row r="1434">
          <cell r="D1434">
            <v>4.7104423164614606E-2</v>
          </cell>
          <cell r="E1434">
            <v>-1.7414285287884641E-3</v>
          </cell>
        </row>
        <row r="1435">
          <cell r="D1435">
            <v>-2.403867090536943E-2</v>
          </cell>
          <cell r="E1435">
            <v>-1.6408238051891493E-2</v>
          </cell>
        </row>
        <row r="1436">
          <cell r="D1436">
            <v>3.1234661550131122E-3</v>
          </cell>
          <cell r="E1436">
            <v>-1.3230139066265209E-2</v>
          </cell>
        </row>
        <row r="1437">
          <cell r="D1437">
            <v>-1.4590098305235537E-2</v>
          </cell>
          <cell r="E1437">
            <v>5.4069549724933509E-3</v>
          </cell>
        </row>
        <row r="1438">
          <cell r="D1438">
            <v>2.3924524895048128E-3</v>
          </cell>
          <cell r="E1438">
            <v>8.6780884558032619E-3</v>
          </cell>
        </row>
        <row r="1439">
          <cell r="D1439">
            <v>2.5668738178870523E-2</v>
          </cell>
          <cell r="E1439">
            <v>5.0259099925186118E-3</v>
          </cell>
        </row>
        <row r="1440">
          <cell r="D1440">
            <v>-3.1173164734807674E-3</v>
          </cell>
          <cell r="E1440">
            <v>-2.6868362011588241E-3</v>
          </cell>
        </row>
        <row r="1441">
          <cell r="D1441">
            <v>-2.2021581149531542E-4</v>
          </cell>
          <cell r="E1441">
            <v>-5.7554121460096728E-3</v>
          </cell>
        </row>
        <row r="1442">
          <cell r="D1442">
            <v>8.4140969162995443E-3</v>
          </cell>
          <cell r="E1442">
            <v>1.2608758824260045E-2</v>
          </cell>
        </row>
        <row r="1443">
          <cell r="D1443">
            <v>2.4026910139356575E-3</v>
          </cell>
          <cell r="E1443">
            <v>4.9685925681223521E-3</v>
          </cell>
        </row>
        <row r="1444">
          <cell r="D1444">
            <v>-7.7137627473198387E-3</v>
          </cell>
          <cell r="E1444">
            <v>-6.9279748546374961E-3</v>
          </cell>
        </row>
        <row r="1445">
          <cell r="D1445">
            <v>-1.168255083666387E-2</v>
          </cell>
          <cell r="E1445">
            <v>-1.3897676723117003E-2</v>
          </cell>
        </row>
        <row r="1446">
          <cell r="D1446">
            <v>-1.2931609118784148E-2</v>
          </cell>
          <cell r="E1446">
            <v>5.2392633050675624E-3</v>
          </cell>
        </row>
        <row r="1447">
          <cell r="D1447">
            <v>1.7918242391500045E-2</v>
          </cell>
          <cell r="E1447">
            <v>7.3896556571292002E-3</v>
          </cell>
        </row>
        <row r="1448">
          <cell r="D1448">
            <v>1.3135780628040685E-2</v>
          </cell>
          <cell r="E1448">
            <v>-1.1839869415598751E-2</v>
          </cell>
        </row>
        <row r="1449">
          <cell r="D1449">
            <v>2.6061902475225909E-2</v>
          </cell>
          <cell r="E1449">
            <v>-1.3125051092174567E-2</v>
          </cell>
        </row>
        <row r="1450">
          <cell r="D1450">
            <v>1.5827093260721577E-2</v>
          </cell>
          <cell r="E1450">
            <v>-4.8469004294907202E-3</v>
          </cell>
        </row>
        <row r="1451">
          <cell r="D1451">
            <v>-1.553861618361526E-2</v>
          </cell>
          <cell r="E1451">
            <v>1.5419147067434313E-2</v>
          </cell>
        </row>
        <row r="1452">
          <cell r="D1452">
            <v>3.9991491172090944E-3</v>
          </cell>
          <cell r="E1452">
            <v>9.2691755943127042E-3</v>
          </cell>
        </row>
        <row r="1453">
          <cell r="D1453">
            <v>-4.7035891351329025E-3</v>
          </cell>
          <cell r="E1453">
            <v>-1.3222269027557753E-2</v>
          </cell>
        </row>
        <row r="1454">
          <cell r="D1454">
            <v>-5.3218664850136245E-3</v>
          </cell>
          <cell r="E1454">
            <v>-7.1810716944367657E-3</v>
          </cell>
        </row>
        <row r="1455">
          <cell r="D1455">
            <v>-4.1647048752300603E-2</v>
          </cell>
          <cell r="E1455">
            <v>-1.4599673490186937E-2</v>
          </cell>
        </row>
        <row r="1456">
          <cell r="D1456">
            <v>4.2876284055382219E-3</v>
          </cell>
          <cell r="E1456">
            <v>1.9745939208616514E-4</v>
          </cell>
        </row>
        <row r="1457">
          <cell r="D1457">
            <v>-1.0139642444187498E-2</v>
          </cell>
          <cell r="E1457">
            <v>9.563106276899427E-3</v>
          </cell>
        </row>
        <row r="1458">
          <cell r="D1458">
            <v>6.6043669691796154E-3</v>
          </cell>
          <cell r="E1458">
            <v>1.4656489070504729E-2</v>
          </cell>
        </row>
        <row r="1459">
          <cell r="D1459">
            <v>-1.3389868332961899E-4</v>
          </cell>
          <cell r="E1459">
            <v>-7.5603674635907185E-4</v>
          </cell>
        </row>
        <row r="1460">
          <cell r="D1460">
            <v>-3.5711097223462699E-3</v>
          </cell>
          <cell r="E1460">
            <v>-3.1955739803802472E-3</v>
          </cell>
        </row>
        <row r="1461">
          <cell r="D1461">
            <v>6.0164859779589672E-2</v>
          </cell>
          <cell r="E1461">
            <v>-4.2533994858750578E-3</v>
          </cell>
        </row>
        <row r="1462">
          <cell r="D1462">
            <v>-2.7297697020917E-2</v>
          </cell>
          <cell r="E1462">
            <v>-3.0491955680183223E-3</v>
          </cell>
        </row>
        <row r="1463">
          <cell r="D1463">
            <v>1.0556496806985564E-2</v>
          </cell>
          <cell r="E1463">
            <v>1.2036043608072854E-2</v>
          </cell>
        </row>
        <row r="1464">
          <cell r="D1464">
            <v>2.2955893732267231E-2</v>
          </cell>
          <cell r="E1464">
            <v>2.2456752447287858E-3</v>
          </cell>
        </row>
        <row r="1465">
          <cell r="D1465">
            <v>4.8957808034963884E-2</v>
          </cell>
          <cell r="E1465">
            <v>3.5001893377273434E-3</v>
          </cell>
        </row>
        <row r="1466">
          <cell r="D1466">
            <v>1.1818436761347657E-2</v>
          </cell>
          <cell r="E1466">
            <v>-8.2489619230528034E-3</v>
          </cell>
        </row>
        <row r="1467">
          <cell r="D1467">
            <v>-1.5243902439024367E-2</v>
          </cell>
          <cell r="E1467">
            <v>1.3556359863345213E-2</v>
          </cell>
        </row>
        <row r="1468">
          <cell r="D1468">
            <v>-1.8535643922640881E-2</v>
          </cell>
          <cell r="E1468">
            <v>1.7317399355024677E-3</v>
          </cell>
        </row>
        <row r="1469">
          <cell r="D1469">
            <v>3.1134780827530495E-3</v>
          </cell>
          <cell r="E1469">
            <v>-5.8130717101804001E-3</v>
          </cell>
        </row>
        <row r="1470">
          <cell r="D1470">
            <v>7.3511394266102424E-4</v>
          </cell>
          <cell r="E1470">
            <v>-6.8521345031323413E-4</v>
          </cell>
        </row>
        <row r="1471">
          <cell r="D1471">
            <v>2.2037218413320299E-2</v>
          </cell>
          <cell r="E1471">
            <v>-4.6811374960220743E-3</v>
          </cell>
        </row>
        <row r="1472">
          <cell r="D1472">
            <v>-3.0745887238460717E-3</v>
          </cell>
          <cell r="E1472">
            <v>-1.1167870637139381E-2</v>
          </cell>
        </row>
        <row r="1473">
          <cell r="D1473">
            <v>-2.0426963591940999E-3</v>
          </cell>
          <cell r="E1473">
            <v>6.7589161552749927E-3</v>
          </cell>
        </row>
        <row r="1474">
          <cell r="D1474">
            <v>1.56927275646171E-2</v>
          </cell>
          <cell r="E1474">
            <v>-4.3464917804793531E-3</v>
          </cell>
        </row>
        <row r="1475">
          <cell r="D1475">
            <v>1.1854427628719327E-2</v>
          </cell>
          <cell r="E1475">
            <v>1.3001078983902173E-2</v>
          </cell>
        </row>
        <row r="1476">
          <cell r="D1476">
            <v>6.2482914827976729E-2</v>
          </cell>
          <cell r="E1476">
            <v>6.0285008298950407E-3</v>
          </cell>
        </row>
        <row r="1477">
          <cell r="D1477">
            <v>-6.2116367111405071E-3</v>
          </cell>
          <cell r="E1477">
            <v>-3.7028392805163506E-4</v>
          </cell>
        </row>
        <row r="1478">
          <cell r="D1478">
            <v>1.0836600340261879E-2</v>
          </cell>
          <cell r="E1478">
            <v>-1.5624844236882102E-3</v>
          </cell>
        </row>
        <row r="1479">
          <cell r="D1479">
            <v>-4.7930920932274792E-3</v>
          </cell>
          <cell r="E1479">
            <v>-8.1557110208783305E-4</v>
          </cell>
        </row>
        <row r="1480">
          <cell r="D1480">
            <v>-1.3970588235293951E-3</v>
          </cell>
          <cell r="E1480">
            <v>8.8504542333256702E-3</v>
          </cell>
        </row>
        <row r="1481">
          <cell r="D1481">
            <v>-7.1791473381930216E-3</v>
          </cell>
          <cell r="E1481">
            <v>3.8397229956945978E-3</v>
          </cell>
        </row>
        <row r="1482">
          <cell r="D1482">
            <v>1.9616568398412738E-2</v>
          </cell>
          <cell r="E1482">
            <v>5.7420979075210668E-3</v>
          </cell>
        </row>
        <row r="1483">
          <cell r="D1483">
            <v>-6.109979633401247E-3</v>
          </cell>
          <cell r="E1483">
            <v>6.8976146989847388E-3</v>
          </cell>
        </row>
        <row r="1484">
          <cell r="D1484">
            <v>1.6320257611241354E-2</v>
          </cell>
          <cell r="E1484">
            <v>8.3156490251501281E-3</v>
          </cell>
        </row>
        <row r="1485">
          <cell r="D1485">
            <v>1.4762007633036946E-3</v>
          </cell>
          <cell r="E1485">
            <v>6.7450438032845474E-3</v>
          </cell>
        </row>
        <row r="1486">
          <cell r="D1486">
            <v>-2.4087722451912965E-3</v>
          </cell>
          <cell r="E1486">
            <v>-2.7581934359223819E-3</v>
          </cell>
        </row>
        <row r="1487">
          <cell r="D1487">
            <v>-1.1099899091826584E-2</v>
          </cell>
          <cell r="E1487">
            <v>-1.6907490220122577E-2</v>
          </cell>
        </row>
        <row r="1488">
          <cell r="D1488">
            <v>-7.8717201166179605E-3</v>
          </cell>
          <cell r="E1488">
            <v>1.6622348990833439E-3</v>
          </cell>
        </row>
        <row r="1489">
          <cell r="D1489">
            <v>6.7220099911841904E-3</v>
          </cell>
          <cell r="E1489">
            <v>9.7668613482768188E-3</v>
          </cell>
        </row>
        <row r="1490">
          <cell r="D1490">
            <v>7.3338928011091728E-3</v>
          </cell>
          <cell r="E1490">
            <v>2.9242867020271853E-4</v>
          </cell>
        </row>
        <row r="1491">
          <cell r="D1491">
            <v>-8.2584758041146511E-3</v>
          </cell>
          <cell r="E1491">
            <v>9.6035244160457747E-3</v>
          </cell>
        </row>
        <row r="1492">
          <cell r="D1492">
            <v>-1.9357195032871787E-3</v>
          </cell>
          <cell r="E1492">
            <v>-1.2313126549597694E-3</v>
          </cell>
        </row>
        <row r="1493">
          <cell r="D1493">
            <v>-4.2009733962747327E-2</v>
          </cell>
          <cell r="E1493">
            <v>-3.2680492889820702E-2</v>
          </cell>
        </row>
        <row r="1494">
          <cell r="D1494">
            <v>1.0504602926009396E-2</v>
          </cell>
          <cell r="E1494">
            <v>5.4211362351359125E-3</v>
          </cell>
        </row>
        <row r="1495">
          <cell r="D1495">
            <v>-9.2235578740455029E-3</v>
          </cell>
          <cell r="E1495">
            <v>-1.1938379552823303E-2</v>
          </cell>
        </row>
        <row r="1496">
          <cell r="D1496">
            <v>3.6436474628004402E-2</v>
          </cell>
          <cell r="E1496">
            <v>1.7836124729267266E-2</v>
          </cell>
        </row>
        <row r="1497">
          <cell r="D1497">
            <v>1.288422602613741E-3</v>
          </cell>
          <cell r="E1497">
            <v>-1.1497453162819547E-2</v>
          </cell>
        </row>
        <row r="1498">
          <cell r="D1498">
            <v>1.6911764705882435E-2</v>
          </cell>
          <cell r="E1498">
            <v>1.3379760081836476E-2</v>
          </cell>
        </row>
        <row r="1499">
          <cell r="D1499">
            <v>9.436008676789431E-3</v>
          </cell>
          <cell r="E1499">
            <v>3.3117954079232761E-3</v>
          </cell>
        </row>
        <row r="1500">
          <cell r="D1500">
            <v>3.201891049747501E-2</v>
          </cell>
          <cell r="E1500">
            <v>-6.4687370210360856E-3</v>
          </cell>
        </row>
        <row r="1501">
          <cell r="D1501">
            <v>2.9047371160853739E-2</v>
          </cell>
          <cell r="E1501">
            <v>7.5936835433098974E-3</v>
          </cell>
        </row>
        <row r="1502">
          <cell r="D1502">
            <v>-8.4648590314312395E-3</v>
          </cell>
          <cell r="E1502">
            <v>3.5453891677522009E-3</v>
          </cell>
        </row>
        <row r="1503">
          <cell r="D1503">
            <v>1.3162817591238409E-2</v>
          </cell>
          <cell r="E1503">
            <v>9.1018593521969941E-3</v>
          </cell>
        </row>
        <row r="1504">
          <cell r="D1504">
            <v>6.7812541963206052E-3</v>
          </cell>
          <cell r="E1504">
            <v>3.9676177517486969E-4</v>
          </cell>
        </row>
        <row r="1505">
          <cell r="D1505">
            <v>-4.2614204734911551E-2</v>
          </cell>
          <cell r="E1505">
            <v>-1.0168001698888939E-2</v>
          </cell>
        </row>
        <row r="1506">
          <cell r="D1506">
            <v>6.7219281136807144E-3</v>
          </cell>
          <cell r="E1506">
            <v>-1.8821141869796009E-2</v>
          </cell>
        </row>
        <row r="1507">
          <cell r="D1507">
            <v>-6.780833765784592E-3</v>
          </cell>
          <cell r="E1507">
            <v>3.9082829376710796E-3</v>
          </cell>
        </row>
        <row r="1508">
          <cell r="D1508">
            <v>-1.3654254763314499E-2</v>
          </cell>
          <cell r="E1508">
            <v>-1.2171628228616612E-2</v>
          </cell>
        </row>
        <row r="1509">
          <cell r="D1509">
            <v>-5.615001589151505E-3</v>
          </cell>
          <cell r="E1509">
            <v>7.0862034350920745E-3</v>
          </cell>
        </row>
        <row r="1510">
          <cell r="D1510">
            <v>-1.3956957170253595E-2</v>
          </cell>
          <cell r="E1510">
            <v>-3.0865610803242276E-2</v>
          </cell>
        </row>
        <row r="1511">
          <cell r="D1511">
            <v>1.4154511075094569E-2</v>
          </cell>
          <cell r="E1511">
            <v>2.5037686417744984E-2</v>
          </cell>
        </row>
        <row r="1512">
          <cell r="D1512">
            <v>-6.3214716954328176E-3</v>
          </cell>
          <cell r="E1512">
            <v>-1.0252910380622287E-4</v>
          </cell>
        </row>
        <row r="1513">
          <cell r="D1513">
            <v>-7.5411007862759595E-3</v>
          </cell>
          <cell r="E1513">
            <v>-4.6776469944850374E-3</v>
          </cell>
        </row>
        <row r="1514">
          <cell r="D1514">
            <v>-2.0850588786056466E-2</v>
          </cell>
          <cell r="E1514">
            <v>-3.1342138767163505E-2</v>
          </cell>
        </row>
        <row r="1515">
          <cell r="D1515">
            <v>-4.62302317028319E-2</v>
          </cell>
          <cell r="E1515">
            <v>-5.8924344665160597E-2</v>
          </cell>
        </row>
        <row r="1516">
          <cell r="D1516">
            <v>2.3676396868854522E-2</v>
          </cell>
          <cell r="E1516">
            <v>3.5235507088887619E-2</v>
          </cell>
        </row>
        <row r="1517">
          <cell r="D1517">
            <v>9.9935962632312386E-2</v>
          </cell>
          <cell r="E1517">
            <v>9.4454154452956379E-2</v>
          </cell>
        </row>
        <row r="1518">
          <cell r="D1518">
            <v>6.667808219178091E-2</v>
          </cell>
          <cell r="E1518">
            <v>1.0896715563037781E-2</v>
          </cell>
        </row>
        <row r="1519">
          <cell r="D1519">
            <v>4.1095450605193838E-3</v>
          </cell>
          <cell r="E1519">
            <v>-3.3193931751219059E-4</v>
          </cell>
        </row>
        <row r="1520">
          <cell r="D1520">
            <v>4.4124700239808008E-3</v>
          </cell>
          <cell r="E1520">
            <v>1.2024816316117948E-2</v>
          </cell>
        </row>
        <row r="1521">
          <cell r="D1521">
            <v>3.5017349504982737E-3</v>
          </cell>
          <cell r="E1521">
            <v>-2.6072442494455453E-3</v>
          </cell>
        </row>
        <row r="1522">
          <cell r="D1522">
            <v>-6.7252482314500662E-3</v>
          </cell>
          <cell r="E1522">
            <v>3.3840610973054412E-4</v>
          </cell>
        </row>
        <row r="1523">
          <cell r="D1523">
            <v>-7.9844144230462131E-3</v>
          </cell>
          <cell r="E1523">
            <v>-6.0030263273434794E-3</v>
          </cell>
        </row>
        <row r="1524">
          <cell r="D1524">
            <v>-2.0282669585653889E-3</v>
          </cell>
          <cell r="E1524">
            <v>8.0719582977820063E-3</v>
          </cell>
        </row>
        <row r="1525">
          <cell r="D1525">
            <v>-6.0649074133814936E-3</v>
          </cell>
          <cell r="E1525">
            <v>-6.4905405137235285E-3</v>
          </cell>
        </row>
        <row r="1526">
          <cell r="D1526">
            <v>-3.2456994482310936E-3</v>
          </cell>
          <cell r="E1526">
            <v>-4.2273365413081652E-4</v>
          </cell>
        </row>
        <row r="1527">
          <cell r="D1527">
            <v>-5.8612829697167416E-3</v>
          </cell>
          <cell r="E1527">
            <v>-7.4015972941664778E-3</v>
          </cell>
        </row>
        <row r="1528">
          <cell r="D1528">
            <v>-3.0789387487716925E-3</v>
          </cell>
          <cell r="E1528">
            <v>9.4560092139211798E-4</v>
          </cell>
        </row>
        <row r="1529">
          <cell r="D1529">
            <v>7.5239847548953988E-3</v>
          </cell>
          <cell r="E1529">
            <v>5.395793951150191E-3</v>
          </cell>
        </row>
        <row r="1530">
          <cell r="D1530">
            <v>1.4348605902494628E-3</v>
          </cell>
          <cell r="E1530">
            <v>6.0491844217026008E-3</v>
          </cell>
        </row>
        <row r="1531">
          <cell r="D1531">
            <v>-2.6050994822363299E-3</v>
          </cell>
          <cell r="E1531">
            <v>-6.7948249113613957E-3</v>
          </cell>
        </row>
        <row r="1532">
          <cell r="D1532">
            <v>2.0274902869829178E-2</v>
          </cell>
          <cell r="E1532">
            <v>1.3232578897609214E-2</v>
          </cell>
        </row>
        <row r="1533">
          <cell r="D1533">
            <v>-2.4639999999999419E-3</v>
          </cell>
          <cell r="E1533">
            <v>1.1191284878224624E-2</v>
          </cell>
        </row>
        <row r="1534">
          <cell r="D1534">
            <v>-3.1758252333750651E-3</v>
          </cell>
          <cell r="E1534">
            <v>-1.2961532401737008E-3</v>
          </cell>
        </row>
        <row r="1535">
          <cell r="D1535">
            <v>-8.6245735985068118E-3</v>
          </cell>
          <cell r="E1535">
            <v>3.152226634111873E-3</v>
          </cell>
        </row>
        <row r="1536">
          <cell r="D1536">
            <v>1.7301824319937622E-2</v>
          </cell>
          <cell r="E1536">
            <v>1.9080112148025352E-2</v>
          </cell>
        </row>
        <row r="1537">
          <cell r="D1537">
            <v>-4.8501866683684286E-3</v>
          </cell>
          <cell r="E1537">
            <v>-2.0872891521115404E-3</v>
          </cell>
        </row>
        <row r="1538">
          <cell r="D1538">
            <v>-1.6577420078879072E-2</v>
          </cell>
          <cell r="E1538">
            <v>-1.5710379431188356E-2</v>
          </cell>
        </row>
        <row r="1539">
          <cell r="D1539">
            <v>6.3580045647211895E-3</v>
          </cell>
          <cell r="E1539">
            <v>6.696218229088407E-4</v>
          </cell>
        </row>
        <row r="1540">
          <cell r="D1540">
            <v>4.8598736432863801E-4</v>
          </cell>
          <cell r="E1540">
            <v>-2.080746581560545E-3</v>
          </cell>
        </row>
        <row r="1541">
          <cell r="D1541">
            <v>-1.5220207253886892E-3</v>
          </cell>
          <cell r="E1541">
            <v>-1.2339896421314441E-2</v>
          </cell>
        </row>
        <row r="1542">
          <cell r="D1542">
            <v>-9.0811792559910719E-4</v>
          </cell>
          <cell r="E1542">
            <v>-3.8462327066249896E-3</v>
          </cell>
        </row>
        <row r="1543">
          <cell r="D1543">
            <v>-1.4900178542444511E-2</v>
          </cell>
          <cell r="E1543">
            <v>1.7207961928162327E-4</v>
          </cell>
        </row>
        <row r="1544">
          <cell r="D1544">
            <v>-3.7566730376325922E-3</v>
          </cell>
          <cell r="E1544">
            <v>-3.2125195087218145E-2</v>
          </cell>
        </row>
        <row r="1545">
          <cell r="D1545">
            <v>2.5800476316485882E-2</v>
          </cell>
          <cell r="E1545">
            <v>5.2331087179569274E-2</v>
          </cell>
        </row>
        <row r="1546">
          <cell r="D1546">
            <v>1.193086547143056E-3</v>
          </cell>
          <cell r="E1546">
            <v>4.2127947238468069E-3</v>
          </cell>
        </row>
        <row r="1547">
          <cell r="D1547">
            <v>6.8279171631936758E-3</v>
          </cell>
          <cell r="E1547">
            <v>-5.825761206839474E-3</v>
          </cell>
        </row>
        <row r="1548">
          <cell r="D1548">
            <v>9.8845206487315658E-3</v>
          </cell>
          <cell r="E1548">
            <v>1.9112475691634156E-2</v>
          </cell>
        </row>
        <row r="1549">
          <cell r="D1549">
            <v>6.8102629078239914E-3</v>
          </cell>
          <cell r="E1549">
            <v>1.0035772095739184E-2</v>
          </cell>
        </row>
        <row r="1550">
          <cell r="D1550">
            <v>7.7080383828849724E-3</v>
          </cell>
          <cell r="E1550">
            <v>2.0474210583670025E-2</v>
          </cell>
        </row>
        <row r="1551">
          <cell r="D1551">
            <v>-1.517327505463632E-2</v>
          </cell>
          <cell r="E1551">
            <v>1.6728623520401033E-2</v>
          </cell>
        </row>
        <row r="1552">
          <cell r="D1552">
            <v>4.1212274917575807E-3</v>
          </cell>
          <cell r="E1552">
            <v>2.6286589420321336E-3</v>
          </cell>
        </row>
        <row r="1553">
          <cell r="D1553">
            <v>-2.0521563427417884E-3</v>
          </cell>
          <cell r="E1553">
            <v>9.6597464500201794E-3</v>
          </cell>
        </row>
        <row r="1554">
          <cell r="D1554">
            <v>0.10000316365592084</v>
          </cell>
          <cell r="E1554">
            <v>1.0770065357040103E-2</v>
          </cell>
        </row>
        <row r="1555">
          <cell r="D1555">
            <v>2.9306873741731371E-2</v>
          </cell>
          <cell r="E1555">
            <v>2.4765659724783139E-4</v>
          </cell>
        </row>
        <row r="1556">
          <cell r="D1556">
            <v>-2.235323702813269E-4</v>
          </cell>
          <cell r="E1556">
            <v>-6.193330159496125E-3</v>
          </cell>
        </row>
        <row r="1557">
          <cell r="D1557">
            <v>-3.2139962549956047E-3</v>
          </cell>
          <cell r="E1557">
            <v>9.0917744543584107E-3</v>
          </cell>
        </row>
        <row r="1558">
          <cell r="D1558">
            <v>-1.0065608702966499E-2</v>
          </cell>
          <cell r="E1558">
            <v>3.8677003257679078E-3</v>
          </cell>
        </row>
        <row r="1559">
          <cell r="D1559">
            <v>6.9391338827994127E-3</v>
          </cell>
          <cell r="E1559">
            <v>1.640196405399651E-2</v>
          </cell>
        </row>
        <row r="1560">
          <cell r="D1560">
            <v>5.6255625562569051E-4</v>
          </cell>
          <cell r="E1560">
            <v>-4.1220475368407682E-3</v>
          </cell>
        </row>
        <row r="1561">
          <cell r="D1561">
            <v>5.9035196221741688E-4</v>
          </cell>
          <cell r="E1561">
            <v>3.23738699784049E-3</v>
          </cell>
        </row>
        <row r="1562">
          <cell r="D1562">
            <v>5.5067007557665255E-3</v>
          </cell>
          <cell r="E1562">
            <v>1.675854599469408E-2</v>
          </cell>
        </row>
        <row r="1563">
          <cell r="D1563">
            <v>5.8118416273157704E-3</v>
          </cell>
          <cell r="E1563">
            <v>-4.9139836513057659E-4</v>
          </cell>
        </row>
        <row r="1564">
          <cell r="D1564">
            <v>2.5029863599744396E-2</v>
          </cell>
          <cell r="E1564">
            <v>-2.7401676337846471E-3</v>
          </cell>
        </row>
        <row r="1565">
          <cell r="D1565">
            <v>-3.0895983522143291E-3</v>
          </cell>
          <cell r="E1565">
            <v>8.6967952991219896E-3</v>
          </cell>
        </row>
        <row r="1566">
          <cell r="D1566">
            <v>-1.5686167899086511E-2</v>
          </cell>
          <cell r="E1566">
            <v>-1.185414134293848E-3</v>
          </cell>
        </row>
        <row r="1567">
          <cell r="D1567">
            <v>-4.5571298367718324E-3</v>
          </cell>
          <cell r="E1567">
            <v>-4.0335541379097452E-3</v>
          </cell>
        </row>
        <row r="1568">
          <cell r="D1568">
            <v>1.2235724987514478E-2</v>
          </cell>
          <cell r="E1568">
            <v>3.7105782158492985E-3</v>
          </cell>
        </row>
        <row r="1569">
          <cell r="D1569">
            <v>2.9465778581805227E-2</v>
          </cell>
          <cell r="E1569">
            <v>1.2410268714356885E-3</v>
          </cell>
        </row>
        <row r="1570">
          <cell r="D1570">
            <v>1.1369082485755468E-2</v>
          </cell>
          <cell r="E1570">
            <v>-1.0153891453339883E-2</v>
          </cell>
        </row>
        <row r="1571">
          <cell r="D1571">
            <v>1.7269974990127689E-2</v>
          </cell>
          <cell r="E1571">
            <v>3.2431458427696334E-3</v>
          </cell>
        </row>
        <row r="1572">
          <cell r="D1572">
            <v>-1.167154059159972E-2</v>
          </cell>
          <cell r="E1572">
            <v>7.0670767941422297E-3</v>
          </cell>
        </row>
        <row r="1573">
          <cell r="D1573">
            <v>-2.668237758575543E-2</v>
          </cell>
          <cell r="E1573">
            <v>1.1798228314399207E-2</v>
          </cell>
        </row>
        <row r="1574">
          <cell r="D1574">
            <v>1.0249926017594368E-2</v>
          </cell>
          <cell r="E1574">
            <v>7.2157985203386635E-3</v>
          </cell>
        </row>
        <row r="1575">
          <cell r="D1575">
            <v>-1.4886024712398742E-2</v>
          </cell>
          <cell r="E1575">
            <v>6.9305988356712879E-3</v>
          </cell>
        </row>
        <row r="1576">
          <cell r="D1576">
            <v>-2.2355580785553972E-2</v>
          </cell>
          <cell r="E1576">
            <v>1.4341237316146475E-2</v>
          </cell>
        </row>
        <row r="1577">
          <cell r="D1577">
            <v>-1.2166122877841003E-3</v>
          </cell>
          <cell r="E1577">
            <v>3.8503396203008093E-3</v>
          </cell>
        </row>
        <row r="1578">
          <cell r="D1578">
            <v>-1.4340291235258309E-2</v>
          </cell>
          <cell r="E1578">
            <v>-1.8149343680900674E-3</v>
          </cell>
        </row>
        <row r="1579">
          <cell r="D1579">
            <v>7.5272441298730669E-3</v>
          </cell>
          <cell r="E1579">
            <v>1.0641148746619327E-2</v>
          </cell>
        </row>
        <row r="1580">
          <cell r="D1580">
            <v>-4.7669491525424738E-3</v>
          </cell>
          <cell r="E1580">
            <v>5.1364651319297128E-4</v>
          </cell>
        </row>
        <row r="1581">
          <cell r="D1581">
            <v>1.0363855354191887E-3</v>
          </cell>
          <cell r="E1581">
            <v>-3.2379782743902244E-3</v>
          </cell>
        </row>
        <row r="1582">
          <cell r="D1582">
            <v>4.7568414572728168E-4</v>
          </cell>
          <cell r="E1582">
            <v>-2.5714991765123996E-4</v>
          </cell>
        </row>
        <row r="1583">
          <cell r="D1583">
            <v>-9.1455740455881375E-3</v>
          </cell>
          <cell r="E1583">
            <v>1.1637456692918279E-2</v>
          </cell>
        </row>
        <row r="1584">
          <cell r="D1584">
            <v>-2.4556847691090317E-3</v>
          </cell>
          <cell r="E1584">
            <v>1.0623266068100613E-2</v>
          </cell>
        </row>
        <row r="1585">
          <cell r="D1585">
            <v>-1.4006394838855848E-2</v>
          </cell>
          <cell r="E1585">
            <v>5.4767035619438372E-3</v>
          </cell>
        </row>
        <row r="1586">
          <cell r="D1586">
            <v>-5.4525627044710364E-3</v>
          </cell>
          <cell r="E1586">
            <v>-9.0027292467678051E-3</v>
          </cell>
        </row>
        <row r="1587">
          <cell r="D1587">
            <v>-1.59568328716529E-2</v>
          </cell>
          <cell r="E1587">
            <v>1.7274066646578129E-3</v>
          </cell>
        </row>
        <row r="1588">
          <cell r="D1588">
            <v>-9.7938597777320925E-3</v>
          </cell>
          <cell r="E1588">
            <v>-4.5336552746997084E-3</v>
          </cell>
        </row>
        <row r="1589">
          <cell r="D1589">
            <v>-3.8496846219906169E-3</v>
          </cell>
          <cell r="E1589">
            <v>-2.55518064639989E-3</v>
          </cell>
        </row>
        <row r="1590">
          <cell r="D1590">
            <v>-2.9400398347156534E-2</v>
          </cell>
          <cell r="E1590">
            <v>-6.3396747372217784E-3</v>
          </cell>
        </row>
        <row r="1591">
          <cell r="D1591">
            <v>-3.3690658499238482E-4</v>
          </cell>
          <cell r="E1591">
            <v>-1.0204480818648003E-3</v>
          </cell>
        </row>
        <row r="1592">
          <cell r="D1592">
            <v>7.4450810380220197E-3</v>
          </cell>
          <cell r="E1592">
            <v>8.6482255887466875E-3</v>
          </cell>
        </row>
        <row r="1593">
          <cell r="D1593">
            <v>-1.7942947509274831E-3</v>
          </cell>
          <cell r="E1593">
            <v>9.1062455649654154E-3</v>
          </cell>
        </row>
        <row r="1594">
          <cell r="D1594">
            <v>-4.7222983883252944E-3</v>
          </cell>
          <cell r="E1594">
            <v>6.6969556073892744E-3</v>
          </cell>
        </row>
        <row r="1595">
          <cell r="D1595">
            <v>-1.203012121954208E-2</v>
          </cell>
          <cell r="E1595">
            <v>8.1231733788824124E-3</v>
          </cell>
        </row>
        <row r="1596">
          <cell r="D1596">
            <v>-1.2052672347017773E-2</v>
          </cell>
          <cell r="E1596">
            <v>3.0475313445536712E-3</v>
          </cell>
        </row>
        <row r="1597">
          <cell r="D1597">
            <v>-6.3664304083297669E-3</v>
          </cell>
          <cell r="E1597">
            <v>1.0555545802947781E-2</v>
          </cell>
        </row>
        <row r="1598">
          <cell r="D1598">
            <v>-1.5528832496922511E-2</v>
          </cell>
          <cell r="E1598">
            <v>1.1732907502398736E-2</v>
          </cell>
        </row>
        <row r="1599">
          <cell r="D1599">
            <v>-2.6738482254496588E-2</v>
          </cell>
          <cell r="E1599">
            <v>3.0509847341209299E-3</v>
          </cell>
        </row>
        <row r="1600">
          <cell r="D1600">
            <v>0.10000988239944664</v>
          </cell>
          <cell r="E1600">
            <v>2.9206674121360801E-3</v>
          </cell>
        </row>
        <row r="1601">
          <cell r="D1601">
            <v>4.8243643877459386E-2</v>
          </cell>
          <cell r="E1601">
            <v>-5.6014871915057649E-3</v>
          </cell>
        </row>
        <row r="1602">
          <cell r="D1602">
            <v>-2.1283281910638913E-2</v>
          </cell>
          <cell r="E1602">
            <v>-1.0897568707820628E-2</v>
          </cell>
        </row>
        <row r="1603">
          <cell r="D1603">
            <v>8.0854665927202751E-3</v>
          </cell>
          <cell r="E1603">
            <v>6.1177926477318572E-3</v>
          </cell>
        </row>
        <row r="1604">
          <cell r="D1604">
            <v>-3.2719481121148814E-3</v>
          </cell>
          <cell r="E1604">
            <v>5.1254783938581069E-3</v>
          </cell>
        </row>
        <row r="1605">
          <cell r="D1605">
            <v>2.0044737530139664E-3</v>
          </cell>
          <cell r="E1605">
            <v>-2.0040857738496492E-5</v>
          </cell>
        </row>
        <row r="1606">
          <cell r="D1606">
            <v>-1.7192392438826413E-2</v>
          </cell>
          <cell r="E1606">
            <v>1.1369476880230319E-2</v>
          </cell>
        </row>
        <row r="1607">
          <cell r="D1607">
            <v>-1.2743738753355535E-2</v>
          </cell>
          <cell r="E1607">
            <v>5.3123239394489718E-4</v>
          </cell>
        </row>
        <row r="1608">
          <cell r="D1608">
            <v>-2.8445931813428266E-2</v>
          </cell>
          <cell r="E1608">
            <v>-3.0544672405984023E-3</v>
          </cell>
        </row>
        <row r="1609">
          <cell r="D1609">
            <v>9.1650007688759607E-3</v>
          </cell>
          <cell r="E1609">
            <v>2.4776798096609477E-3</v>
          </cell>
        </row>
        <row r="1610">
          <cell r="D1610">
            <v>-1.5847377563769902E-3</v>
          </cell>
          <cell r="E1610">
            <v>1.8465918174190318E-3</v>
          </cell>
        </row>
        <row r="1611">
          <cell r="D1611">
            <v>9.9813802997465936E-3</v>
          </cell>
          <cell r="E1611">
            <v>6.5939195265016862E-3</v>
          </cell>
        </row>
        <row r="1612">
          <cell r="D1612">
            <v>-6.6489361702127313E-3</v>
          </cell>
          <cell r="E1612">
            <v>1.8689906566476656E-2</v>
          </cell>
        </row>
        <row r="1613">
          <cell r="D1613">
            <v>3.4988438602895741E-3</v>
          </cell>
          <cell r="E1613">
            <v>9.8033971041746795E-3</v>
          </cell>
        </row>
        <row r="1614">
          <cell r="D1614">
            <v>1.64630264075433E-2</v>
          </cell>
          <cell r="E1614">
            <v>1.0045304880404442E-2</v>
          </cell>
        </row>
        <row r="1615">
          <cell r="D1615">
            <v>-1.8522937421702499E-2</v>
          </cell>
          <cell r="E1615">
            <v>8.8674129312198743E-4</v>
          </cell>
        </row>
        <row r="1616">
          <cell r="D1616">
            <v>1.1457225345692089E-2</v>
          </cell>
          <cell r="E1616">
            <v>1.7201667178418062E-2</v>
          </cell>
        </row>
        <row r="1617">
          <cell r="D1617">
            <v>-4.9275884862688135E-3</v>
          </cell>
          <cell r="E1617">
            <v>2.970093767788516E-3</v>
          </cell>
        </row>
        <row r="1618">
          <cell r="D1618">
            <v>-1.1443927773416331E-2</v>
          </cell>
          <cell r="E1618">
            <v>-7.3238035420544511E-3</v>
          </cell>
        </row>
        <row r="1619">
          <cell r="D1619">
            <v>-3.3904517547879093E-3</v>
          </cell>
          <cell r="E1619">
            <v>-9.4106546666006367E-3</v>
          </cell>
        </row>
        <row r="1620">
          <cell r="D1620">
            <v>-1.1646438641657333E-2</v>
          </cell>
          <cell r="E1620">
            <v>-5.4581424563145504E-3</v>
          </cell>
        </row>
        <row r="1621">
          <cell r="D1621">
            <v>1.8605805011164187E-4</v>
          </cell>
          <cell r="E1621">
            <v>-4.4530433375134584E-3</v>
          </cell>
        </row>
        <row r="1622">
          <cell r="D1622">
            <v>-6.293793017920349E-3</v>
          </cell>
          <cell r="E1622">
            <v>-8.7073053369152893E-3</v>
          </cell>
        </row>
        <row r="1623">
          <cell r="D1623">
            <v>-2.7487441889488637E-2</v>
          </cell>
          <cell r="E1623">
            <v>-2.8539679073078552E-2</v>
          </cell>
        </row>
        <row r="1624">
          <cell r="D1624">
            <v>4.2380494064806019E-2</v>
          </cell>
          <cell r="E1624">
            <v>4.4385560473259013E-2</v>
          </cell>
        </row>
        <row r="1625">
          <cell r="D1625">
            <v>-2.7699978455573361E-3</v>
          </cell>
          <cell r="E1625">
            <v>1.2712415974230897E-3</v>
          </cell>
        </row>
        <row r="1626">
          <cell r="D1626">
            <v>-1.8024135057559874E-2</v>
          </cell>
          <cell r="E1626">
            <v>-7.494037832198419E-3</v>
          </cell>
        </row>
        <row r="1627">
          <cell r="D1627">
            <v>3.3629820536191127E-3</v>
          </cell>
          <cell r="E1627">
            <v>-3.8827637640174765E-3</v>
          </cell>
        </row>
        <row r="1628">
          <cell r="D1628">
            <v>-5.3564716200978461E-3</v>
          </cell>
          <cell r="E1628">
            <v>1.4875442458778441E-2</v>
          </cell>
        </row>
        <row r="1629">
          <cell r="D1629">
            <v>4.1255944320221782E-3</v>
          </cell>
          <cell r="E1629">
            <v>6.6404034914931635E-3</v>
          </cell>
        </row>
        <row r="1630">
          <cell r="D1630">
            <v>2.7286413248024232E-3</v>
          </cell>
          <cell r="E1630">
            <v>-4.7419482042174834E-3</v>
          </cell>
        </row>
        <row r="1631">
          <cell r="D1631">
            <v>-5.3173188201807537E-3</v>
          </cell>
          <cell r="E1631">
            <v>-1.1785237732934443E-2</v>
          </cell>
        </row>
        <row r="1632">
          <cell r="D1632">
            <v>-1.896166787207941E-2</v>
          </cell>
          <cell r="E1632">
            <v>-7.8150361251302473E-3</v>
          </cell>
        </row>
        <row r="1633">
          <cell r="D1633">
            <v>-1.0449387781268001E-2</v>
          </cell>
          <cell r="E1633">
            <v>-6.9827995164605267E-3</v>
          </cell>
        </row>
        <row r="1634">
          <cell r="D1634">
            <v>-1.0203420575278678E-2</v>
          </cell>
          <cell r="E1634">
            <v>-1.2720347406736427E-2</v>
          </cell>
        </row>
        <row r="1635">
          <cell r="D1635">
            <v>-1.2075792780704905E-2</v>
          </cell>
          <cell r="E1635">
            <v>-1.0218360244153339E-2</v>
          </cell>
        </row>
        <row r="1636">
          <cell r="D1636">
            <v>-8.413939313634624E-3</v>
          </cell>
          <cell r="E1636">
            <v>-1.0930990087026081E-2</v>
          </cell>
        </row>
        <row r="1637">
          <cell r="D1637">
            <v>1.2293712834903478E-2</v>
          </cell>
          <cell r="E1637">
            <v>3.1256045317357824E-2</v>
          </cell>
        </row>
        <row r="1638">
          <cell r="D1638">
            <v>1.702857897168512E-2</v>
          </cell>
          <cell r="E1638">
            <v>7.2475249754487747E-3</v>
          </cell>
        </row>
        <row r="1639">
          <cell r="D1639">
            <v>-6.3274709585306914E-3</v>
          </cell>
          <cell r="E1639">
            <v>-9.3449660313719585E-3</v>
          </cell>
        </row>
        <row r="1640">
          <cell r="D1640">
            <v>-5.9432452731606735E-3</v>
          </cell>
          <cell r="E1640">
            <v>-1.0562756100704918E-2</v>
          </cell>
        </row>
        <row r="1641">
          <cell r="D1641">
            <v>-1.1497651194113949E-3</v>
          </cell>
          <cell r="E1641">
            <v>-3.0166403065482444E-3</v>
          </cell>
        </row>
        <row r="1642">
          <cell r="D1642">
            <v>4.0123659803985084E-3</v>
          </cell>
          <cell r="E1642">
            <v>3.1182902484526097E-3</v>
          </cell>
        </row>
        <row r="1643">
          <cell r="D1643">
            <v>6.5513626834381557E-3</v>
          </cell>
          <cell r="E1643">
            <v>1.2190391164620031E-2</v>
          </cell>
        </row>
        <row r="1644">
          <cell r="D1644">
            <v>-5.8578495183529678E-4</v>
          </cell>
          <cell r="E1644">
            <v>-2.2706116768142038E-2</v>
          </cell>
        </row>
        <row r="1645">
          <cell r="D1645">
            <v>-8.7919244545752052E-3</v>
          </cell>
          <cell r="E1645">
            <v>1.985488105757641E-3</v>
          </cell>
        </row>
        <row r="1646">
          <cell r="D1646">
            <v>1.2812089356111802E-3</v>
          </cell>
          <cell r="E1646">
            <v>1.5637174315093209E-2</v>
          </cell>
        </row>
        <row r="1647">
          <cell r="D1647">
            <v>3.3465664884017904E-3</v>
          </cell>
          <cell r="E1647">
            <v>7.952881129110077E-3</v>
          </cell>
        </row>
        <row r="1648">
          <cell r="D1648">
            <v>-1.0137013178117206E-3</v>
          </cell>
          <cell r="E1648">
            <v>-1.5314768828196021E-3</v>
          </cell>
        </row>
        <row r="1649">
          <cell r="D1649">
            <v>-3.0769230769230695E-3</v>
          </cell>
          <cell r="E1649">
            <v>-4.6513270469973386E-3</v>
          </cell>
        </row>
        <row r="1650">
          <cell r="D1650">
            <v>4.5639611242447673E-3</v>
          </cell>
          <cell r="E1650">
            <v>8.0227977570838278E-3</v>
          </cell>
        </row>
        <row r="1651">
          <cell r="D1651">
            <v>1.3074031704533572E-4</v>
          </cell>
          <cell r="E1651">
            <v>4.3806712451275069E-3</v>
          </cell>
        </row>
        <row r="1652">
          <cell r="D1652">
            <v>-2.6144645249839566E-4</v>
          </cell>
          <cell r="E1652">
            <v>-5.118667381380732E-3</v>
          </cell>
        </row>
        <row r="1653">
          <cell r="D1653">
            <v>3.5304501323918276E-3</v>
          </cell>
          <cell r="E1653">
            <v>-7.3305280373738046E-4</v>
          </cell>
        </row>
        <row r="1654">
          <cell r="D1654">
            <v>-1.2182807257565422E-2</v>
          </cell>
          <cell r="E1654">
            <v>-1.8002385295987158E-3</v>
          </cell>
        </row>
        <row r="1655">
          <cell r="D1655">
            <v>-2.9018961253091361E-3</v>
          </cell>
          <cell r="E1655">
            <v>9.2524401876944943E-3</v>
          </cell>
        </row>
        <row r="1656">
          <cell r="D1656">
            <v>2.0173959056785187E-3</v>
          </cell>
          <cell r="E1656">
            <v>1.3388073291670676E-2</v>
          </cell>
        </row>
        <row r="1657">
          <cell r="D1657">
            <v>4.224701300415779E-3</v>
          </cell>
          <cell r="E1657">
            <v>7.8875484804652816E-3</v>
          </cell>
        </row>
        <row r="1658">
          <cell r="D1658">
            <v>-7.2963912443304102E-3</v>
          </cell>
          <cell r="E1658">
            <v>8.3063901169741997E-3</v>
          </cell>
        </row>
        <row r="1659">
          <cell r="D1659">
            <v>3.972983710766936E-4</v>
          </cell>
          <cell r="E1659">
            <v>-2.4985393799759688E-3</v>
          </cell>
        </row>
        <row r="1660">
          <cell r="D1660">
            <v>-1.6415144294413674E-2</v>
          </cell>
          <cell r="E1660">
            <v>-8.9293703235246054E-3</v>
          </cell>
        </row>
        <row r="1661">
          <cell r="D1661">
            <v>5.5181695827724976E-3</v>
          </cell>
          <cell r="E1661">
            <v>8.3186203115893508E-4</v>
          </cell>
        </row>
        <row r="1662">
          <cell r="D1662">
            <v>-8.7672333021012842E-3</v>
          </cell>
          <cell r="E1662">
            <v>4.8232672444147298E-3</v>
          </cell>
        </row>
        <row r="1663">
          <cell r="D1663">
            <v>8.4396732158530813E-4</v>
          </cell>
          <cell r="E1663">
            <v>7.2877025055065369E-3</v>
          </cell>
        </row>
        <row r="1664">
          <cell r="D1664">
            <v>1.4503997031738453E-3</v>
          </cell>
          <cell r="E1664">
            <v>6.8515610958196829E-3</v>
          </cell>
        </row>
        <row r="1665">
          <cell r="D1665">
            <v>-9.6328730212191203E-3</v>
          </cell>
          <cell r="E1665">
            <v>-2.6732541629312057E-5</v>
          </cell>
        </row>
        <row r="1666">
          <cell r="D1666">
            <v>-3.0948170316964529E-3</v>
          </cell>
          <cell r="E1666">
            <v>-5.1765144389679984E-3</v>
          </cell>
        </row>
        <row r="1667">
          <cell r="D1667">
            <v>6.8229113362667973E-4</v>
          </cell>
          <cell r="E1667">
            <v>7.6514451843274723E-3</v>
          </cell>
        </row>
        <row r="1668">
          <cell r="D1668">
            <v>-1.0909214877441557E-3</v>
          </cell>
          <cell r="E1668">
            <v>5.1618192450183552E-3</v>
          </cell>
        </row>
        <row r="1669">
          <cell r="D1669">
            <v>-1.0443329579195257E-2</v>
          </cell>
          <cell r="E1669">
            <v>-1.7221371227378686E-3</v>
          </cell>
        </row>
        <row r="1670">
          <cell r="D1670">
            <v>-3.4488704949129164E-3</v>
          </cell>
          <cell r="E1670">
            <v>-7.8288127767352331E-4</v>
          </cell>
        </row>
        <row r="1671">
          <cell r="D1671">
            <v>2.6994289669494014E-3</v>
          </cell>
          <cell r="E1671">
            <v>9.6692071919456096E-3</v>
          </cell>
        </row>
        <row r="1672">
          <cell r="D1672">
            <v>-2.3815276291719797E-3</v>
          </cell>
          <cell r="E1672">
            <v>-3.2343444134256814E-3</v>
          </cell>
        </row>
        <row r="1673">
          <cell r="D1673">
            <v>-5.1895931358993249E-4</v>
          </cell>
          <cell r="E1673">
            <v>-1.1685225497023656E-3</v>
          </cell>
        </row>
        <row r="1674">
          <cell r="D1674">
            <v>-2.8730658728235111E-3</v>
          </cell>
          <cell r="E1674">
            <v>-7.6201406052031704E-4</v>
          </cell>
        </row>
        <row r="1675">
          <cell r="D1675">
            <v>-6.9429979865301894E-4</v>
          </cell>
          <cell r="E1675">
            <v>-1.4234213517178196E-3</v>
          </cell>
        </row>
        <row r="1676">
          <cell r="D1676">
            <v>-5.2108663933868587E-4</v>
          </cell>
          <cell r="E1676">
            <v>9.1933968123439121E-3</v>
          </cell>
        </row>
        <row r="1677">
          <cell r="D1677">
            <v>1.7378610406315864E-4</v>
          </cell>
          <cell r="E1677">
            <v>8.6751952848458692E-3</v>
          </cell>
        </row>
        <row r="1678">
          <cell r="D1678">
            <v>-3.4751181540160512E-4</v>
          </cell>
          <cell r="E1678">
            <v>3.3149633856583288E-3</v>
          </cell>
        </row>
        <row r="1679">
          <cell r="D1679">
            <v>2.3639018285474167E-3</v>
          </cell>
          <cell r="E1679">
            <v>-2.3985973744904119E-3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C15:G21" totalsRowShown="0" headerRowDxfId="8" headerRowBorderDxfId="7" tableBorderDxfId="6" totalsRowBorderDxfId="5" dataCellStyle="Good">
  <autoFilter ref="C15:G21" xr:uid="{00000000-0009-0000-0100-000001000000}"/>
  <tableColumns count="5">
    <tableColumn id="1" xr3:uid="{00000000-0010-0000-0000-000001000000}" name="Asset" dataDxfId="4" dataCellStyle="Good"/>
    <tableColumn id="2" xr3:uid="{00000000-0010-0000-0000-000002000000}" name="Beta" dataDxfId="3" dataCellStyle="Good"/>
    <tableColumn id="3" xr3:uid="{00000000-0010-0000-0000-000003000000}" name="Required Return" dataDxfId="2" dataCellStyle="Good"/>
    <tableColumn id="4" xr3:uid="{00000000-0010-0000-0000-000004000000}" name="Actual Return" dataDxfId="1" dataCellStyle="Good"/>
    <tableColumn id="5" xr3:uid="{00000000-0010-0000-0000-000005000000}" name="Intrepretation" dataDxfId="0" dataCellStyle="Good"/>
  </tableColumns>
  <tableStyleInfo name="TableStyleDark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3:K18"/>
  <sheetViews>
    <sheetView zoomScale="73" workbookViewId="0">
      <selection activeCell="J5" sqref="J5"/>
    </sheetView>
  </sheetViews>
  <sheetFormatPr defaultRowHeight="14.5" x14ac:dyDescent="0.35"/>
  <cols>
    <col min="8" max="8" width="12.90625" customWidth="1"/>
    <col min="9" max="9" width="5.453125" hidden="1" customWidth="1"/>
    <col min="10" max="10" width="31.7265625" customWidth="1"/>
  </cols>
  <sheetData>
    <row r="3" spans="8:11" ht="31" x14ac:dyDescent="0.7">
      <c r="H3" s="76" t="s">
        <v>1108</v>
      </c>
      <c r="I3" s="76"/>
      <c r="J3" s="76"/>
    </row>
    <row r="4" spans="8:11" ht="31" x14ac:dyDescent="0.7">
      <c r="H4" s="76" t="s">
        <v>1110</v>
      </c>
      <c r="I4" s="76"/>
      <c r="J4" s="76"/>
    </row>
    <row r="5" spans="8:11" ht="18.5" x14ac:dyDescent="0.45">
      <c r="J5" s="45" t="s">
        <v>1112</v>
      </c>
    </row>
    <row r="6" spans="8:11" ht="18.5" x14ac:dyDescent="0.45">
      <c r="J6" s="45" t="s">
        <v>1111</v>
      </c>
    </row>
    <row r="16" spans="8:11" ht="43.5" customHeight="1" x14ac:dyDescent="0.55000000000000004">
      <c r="H16" s="75"/>
      <c r="I16" s="75"/>
      <c r="J16" s="75"/>
      <c r="K16" s="75"/>
    </row>
    <row r="17" ht="34.5" customHeight="1" x14ac:dyDescent="0.35"/>
    <row r="18" ht="15" customHeight="1" x14ac:dyDescent="0.35"/>
  </sheetData>
  <mergeCells count="3">
    <mergeCell ref="H16:K16"/>
    <mergeCell ref="H3:J3"/>
    <mergeCell ref="H4:J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88"/>
  <sheetViews>
    <sheetView topLeftCell="A1198" zoomScale="64" zoomScaleNormal="12" workbookViewId="0">
      <selection activeCell="C1676" sqref="C1676"/>
    </sheetView>
  </sheetViews>
  <sheetFormatPr defaultColWidth="8.6328125" defaultRowHeight="14.5" x14ac:dyDescent="0.35"/>
  <cols>
    <col min="1" max="2" width="23.36328125" customWidth="1"/>
    <col min="3" max="3" width="23.1796875" customWidth="1"/>
    <col min="4" max="4" width="22.08984375" customWidth="1"/>
    <col min="5" max="5" width="22.6328125" customWidth="1"/>
  </cols>
  <sheetData>
    <row r="1" spans="1:8" ht="16.5" x14ac:dyDescent="0.35">
      <c r="A1" s="82" t="s">
        <v>1083</v>
      </c>
      <c r="B1" s="82"/>
      <c r="C1" s="82"/>
      <c r="D1" s="82"/>
      <c r="E1" s="82"/>
      <c r="F1" s="39"/>
      <c r="G1" s="38"/>
      <c r="H1" s="39"/>
    </row>
    <row r="2" spans="1:8" x14ac:dyDescent="0.35">
      <c r="A2" s="32" t="s">
        <v>0</v>
      </c>
      <c r="B2" s="32" t="s">
        <v>3</v>
      </c>
      <c r="C2" s="32" t="s">
        <v>1075</v>
      </c>
      <c r="D2" s="32" t="s">
        <v>5</v>
      </c>
      <c r="E2" s="32" t="s">
        <v>6</v>
      </c>
    </row>
    <row r="3" spans="1:8" x14ac:dyDescent="0.35">
      <c r="A3" s="33">
        <v>43467</v>
      </c>
      <c r="B3" s="34">
        <v>155.22</v>
      </c>
      <c r="C3" s="34">
        <v>37795.25</v>
      </c>
      <c r="D3" s="40">
        <v>0</v>
      </c>
      <c r="E3" s="40">
        <v>0</v>
      </c>
    </row>
    <row r="4" spans="1:8" x14ac:dyDescent="0.35">
      <c r="A4" s="35">
        <v>43468</v>
      </c>
      <c r="B4" s="36">
        <v>155.46</v>
      </c>
      <c r="C4" s="36">
        <v>37542.01</v>
      </c>
      <c r="D4" s="37">
        <f>(B4-B3)/B3</f>
        <v>1.546192500966429E-3</v>
      </c>
      <c r="E4" s="37">
        <f>(C4-C3)/C3</f>
        <v>-6.700312870003452E-3</v>
      </c>
    </row>
    <row r="5" spans="1:8" x14ac:dyDescent="0.35">
      <c r="A5" s="33">
        <v>43469</v>
      </c>
      <c r="B5" s="34">
        <v>158.4</v>
      </c>
      <c r="C5" s="34">
        <v>37547.49</v>
      </c>
      <c r="D5" s="37">
        <f t="shared" ref="D5:D68" si="0">(B5-B4)/B4</f>
        <v>1.8911617136240819E-2</v>
      </c>
      <c r="E5" s="37">
        <f t="shared" ref="E5:E68" si="1">(C5-C4)/C4</f>
        <v>1.4596980822273301E-4</v>
      </c>
    </row>
    <row r="6" spans="1:8" x14ac:dyDescent="0.35">
      <c r="A6" s="35">
        <v>43472</v>
      </c>
      <c r="B6" s="36">
        <v>156.80000000000001</v>
      </c>
      <c r="C6" s="36">
        <v>38562.400000000001</v>
      </c>
      <c r="D6" s="37">
        <f t="shared" si="0"/>
        <v>-1.0101010101010065E-2</v>
      </c>
      <c r="E6" s="37">
        <f t="shared" si="1"/>
        <v>2.7030035829292545E-2</v>
      </c>
    </row>
    <row r="7" spans="1:8" x14ac:dyDescent="0.35">
      <c r="A7" s="33">
        <v>43473</v>
      </c>
      <c r="B7" s="34">
        <v>157.46</v>
      </c>
      <c r="C7" s="34">
        <v>39052.5</v>
      </c>
      <c r="D7" s="37">
        <f t="shared" si="0"/>
        <v>4.2091836734693654E-3</v>
      </c>
      <c r="E7" s="37">
        <f t="shared" si="1"/>
        <v>1.2709271207186236E-2</v>
      </c>
    </row>
    <row r="8" spans="1:8" x14ac:dyDescent="0.35">
      <c r="A8" s="35">
        <v>43474</v>
      </c>
      <c r="B8" s="36">
        <v>157.09</v>
      </c>
      <c r="C8" s="36">
        <v>38921.69</v>
      </c>
      <c r="D8" s="37">
        <f t="shared" si="0"/>
        <v>-2.3498031246031027E-3</v>
      </c>
      <c r="E8" s="37">
        <f t="shared" si="1"/>
        <v>-3.3495934959348996E-3</v>
      </c>
    </row>
    <row r="9" spans="1:8" x14ac:dyDescent="0.35">
      <c r="A9" s="33">
        <v>43475</v>
      </c>
      <c r="B9" s="34">
        <v>157.30000000000001</v>
      </c>
      <c r="C9" s="34">
        <v>39090.28</v>
      </c>
      <c r="D9" s="37">
        <f t="shared" si="0"/>
        <v>1.3368132917436371E-3</v>
      </c>
      <c r="E9" s="37">
        <f t="shared" si="1"/>
        <v>4.3315179787927118E-3</v>
      </c>
    </row>
    <row r="10" spans="1:8" x14ac:dyDescent="0.35">
      <c r="A10" s="35">
        <v>43476</v>
      </c>
      <c r="B10" s="36">
        <v>154.63</v>
      </c>
      <c r="C10" s="36">
        <v>39049.08</v>
      </c>
      <c r="D10" s="37">
        <f t="shared" si="0"/>
        <v>-1.6973935155753437E-2</v>
      </c>
      <c r="E10" s="37">
        <f t="shared" si="1"/>
        <v>-1.0539704499429804E-3</v>
      </c>
    </row>
    <row r="11" spans="1:8" x14ac:dyDescent="0.35">
      <c r="A11" s="33">
        <v>43479</v>
      </c>
      <c r="B11" s="34">
        <v>157</v>
      </c>
      <c r="C11" s="34">
        <v>39412.550000000003</v>
      </c>
      <c r="D11" s="37">
        <f t="shared" si="0"/>
        <v>1.532690939662423E-2</v>
      </c>
      <c r="E11" s="37">
        <f t="shared" si="1"/>
        <v>9.3080297922512167E-3</v>
      </c>
    </row>
    <row r="12" spans="1:8" x14ac:dyDescent="0.35">
      <c r="A12" s="35">
        <v>43480</v>
      </c>
      <c r="B12" s="36">
        <v>154.61000000000001</v>
      </c>
      <c r="C12" s="36">
        <v>39614.17</v>
      </c>
      <c r="D12" s="37">
        <f t="shared" si="0"/>
        <v>-1.5222929936305645E-2</v>
      </c>
      <c r="E12" s="37">
        <f t="shared" si="1"/>
        <v>5.1156294124586037E-3</v>
      </c>
    </row>
    <row r="13" spans="1:8" x14ac:dyDescent="0.35">
      <c r="A13" s="33">
        <v>43481</v>
      </c>
      <c r="B13" s="34">
        <v>153.93</v>
      </c>
      <c r="C13" s="34">
        <v>39271.94</v>
      </c>
      <c r="D13" s="37">
        <f t="shared" si="0"/>
        <v>-4.3981631201087043E-3</v>
      </c>
      <c r="E13" s="37">
        <f t="shared" si="1"/>
        <v>-8.6390804098633381E-3</v>
      </c>
    </row>
    <row r="14" spans="1:8" x14ac:dyDescent="0.35">
      <c r="A14" s="35">
        <v>43482</v>
      </c>
      <c r="B14" s="36">
        <v>153.22999999999999</v>
      </c>
      <c r="C14" s="36">
        <v>39243.89</v>
      </c>
      <c r="D14" s="37">
        <f t="shared" si="0"/>
        <v>-4.5475216007277138E-3</v>
      </c>
      <c r="E14" s="37">
        <f t="shared" si="1"/>
        <v>-7.1425042918691847E-4</v>
      </c>
    </row>
    <row r="15" spans="1:8" x14ac:dyDescent="0.35">
      <c r="A15" s="33">
        <v>43483</v>
      </c>
      <c r="B15" s="34">
        <v>153.09</v>
      </c>
      <c r="C15" s="34">
        <v>39306.5</v>
      </c>
      <c r="D15" s="37">
        <f t="shared" si="0"/>
        <v>-9.1365920511640253E-4</v>
      </c>
      <c r="E15" s="37">
        <f t="shared" si="1"/>
        <v>1.5954075908377224E-3</v>
      </c>
    </row>
    <row r="16" spans="1:8" x14ac:dyDescent="0.35">
      <c r="A16" s="35">
        <v>43486</v>
      </c>
      <c r="B16" s="36">
        <v>152.78</v>
      </c>
      <c r="C16" s="36">
        <v>39543.769999999997</v>
      </c>
      <c r="D16" s="37">
        <f t="shared" si="0"/>
        <v>-2.0249526422366076E-3</v>
      </c>
      <c r="E16" s="37">
        <f t="shared" si="1"/>
        <v>6.0364061923599607E-3</v>
      </c>
    </row>
    <row r="17" spans="1:5" x14ac:dyDescent="0.35">
      <c r="A17" s="33">
        <v>43487</v>
      </c>
      <c r="B17" s="34">
        <v>152.59</v>
      </c>
      <c r="C17" s="34">
        <v>39902.21</v>
      </c>
      <c r="D17" s="37">
        <f t="shared" si="0"/>
        <v>-1.2436182746432629E-3</v>
      </c>
      <c r="E17" s="37">
        <f t="shared" si="1"/>
        <v>9.0643861220111883E-3</v>
      </c>
    </row>
    <row r="18" spans="1:5" x14ac:dyDescent="0.35">
      <c r="A18" s="35">
        <v>43488</v>
      </c>
      <c r="B18" s="36">
        <v>153.31</v>
      </c>
      <c r="C18" s="36">
        <v>40057.85</v>
      </c>
      <c r="D18" s="37">
        <f t="shared" si="0"/>
        <v>4.7185267710859093E-3</v>
      </c>
      <c r="E18" s="37">
        <f t="shared" si="1"/>
        <v>3.9005358349825593E-3</v>
      </c>
    </row>
    <row r="19" spans="1:5" x14ac:dyDescent="0.35">
      <c r="A19" s="33">
        <v>43489</v>
      </c>
      <c r="B19" s="34">
        <v>154.4</v>
      </c>
      <c r="C19" s="34">
        <v>40289.160000000003</v>
      </c>
      <c r="D19" s="37">
        <f t="shared" si="0"/>
        <v>7.1097775748483688E-3</v>
      </c>
      <c r="E19" s="37">
        <f t="shared" si="1"/>
        <v>5.7743987757706656E-3</v>
      </c>
    </row>
    <row r="20" spans="1:5" x14ac:dyDescent="0.35">
      <c r="A20" s="35">
        <v>43490</v>
      </c>
      <c r="B20" s="36">
        <v>154</v>
      </c>
      <c r="C20" s="36">
        <v>40264.78</v>
      </c>
      <c r="D20" s="37">
        <f t="shared" si="0"/>
        <v>-2.5906735751295702E-3</v>
      </c>
      <c r="E20" s="37">
        <f t="shared" si="1"/>
        <v>-6.0512554741783283E-4</v>
      </c>
    </row>
    <row r="21" spans="1:5" x14ac:dyDescent="0.35">
      <c r="A21" s="33">
        <v>43493</v>
      </c>
      <c r="B21" s="34">
        <v>153</v>
      </c>
      <c r="C21" s="34">
        <v>40420.089999999997</v>
      </c>
      <c r="D21" s="37">
        <f t="shared" si="0"/>
        <v>-6.4935064935064939E-3</v>
      </c>
      <c r="E21" s="37">
        <f t="shared" si="1"/>
        <v>3.8572171510684442E-3</v>
      </c>
    </row>
    <row r="22" spans="1:5" x14ac:dyDescent="0.35">
      <c r="A22" s="35">
        <v>43494</v>
      </c>
      <c r="B22" s="36">
        <v>152.46</v>
      </c>
      <c r="C22" s="36">
        <v>40624.39</v>
      </c>
      <c r="D22" s="37">
        <f t="shared" si="0"/>
        <v>-3.5294117647058304E-3</v>
      </c>
      <c r="E22" s="37">
        <f t="shared" si="1"/>
        <v>5.0544172464732987E-3</v>
      </c>
    </row>
    <row r="23" spans="1:5" x14ac:dyDescent="0.35">
      <c r="A23" s="33">
        <v>43495</v>
      </c>
      <c r="B23" s="34">
        <v>152.22</v>
      </c>
      <c r="C23" s="34">
        <v>40607.120000000003</v>
      </c>
      <c r="D23" s="37">
        <f t="shared" si="0"/>
        <v>-1.5741833923652701E-3</v>
      </c>
      <c r="E23" s="37">
        <f t="shared" si="1"/>
        <v>-4.2511407555896342E-4</v>
      </c>
    </row>
    <row r="24" spans="1:5" x14ac:dyDescent="0.35">
      <c r="A24" s="35">
        <v>43496</v>
      </c>
      <c r="B24" s="36">
        <v>150.94</v>
      </c>
      <c r="C24" s="36">
        <v>40799.519999999997</v>
      </c>
      <c r="D24" s="37">
        <f t="shared" si="0"/>
        <v>-8.4088818814873293E-3</v>
      </c>
      <c r="E24" s="37">
        <f t="shared" si="1"/>
        <v>4.7380853406987292E-3</v>
      </c>
    </row>
    <row r="25" spans="1:5" x14ac:dyDescent="0.35">
      <c r="A25" s="33">
        <v>43497</v>
      </c>
      <c r="B25" s="34">
        <v>150.03</v>
      </c>
      <c r="C25" s="34">
        <v>41112.71</v>
      </c>
      <c r="D25" s="37">
        <f t="shared" si="0"/>
        <v>-6.0288856499271012E-3</v>
      </c>
      <c r="E25" s="37">
        <f t="shared" si="1"/>
        <v>7.6763157997937811E-3</v>
      </c>
    </row>
    <row r="26" spans="1:5" x14ac:dyDescent="0.35">
      <c r="A26" s="35">
        <v>43500</v>
      </c>
      <c r="B26" s="36">
        <v>148.01</v>
      </c>
      <c r="C26" s="36">
        <v>41614.39</v>
      </c>
      <c r="D26" s="37">
        <f t="shared" si="0"/>
        <v>-1.3463973871892356E-2</v>
      </c>
      <c r="E26" s="37">
        <f t="shared" si="1"/>
        <v>1.2202552446676474E-2</v>
      </c>
    </row>
    <row r="27" spans="1:5" x14ac:dyDescent="0.35">
      <c r="A27" s="33">
        <v>43502</v>
      </c>
      <c r="B27" s="34">
        <v>147.29</v>
      </c>
      <c r="C27" s="34">
        <v>41505.68</v>
      </c>
      <c r="D27" s="37">
        <f t="shared" si="0"/>
        <v>-4.8645361799878311E-3</v>
      </c>
      <c r="E27" s="37">
        <f t="shared" si="1"/>
        <v>-2.6123175180508265E-3</v>
      </c>
    </row>
    <row r="28" spans="1:5" x14ac:dyDescent="0.35">
      <c r="A28" s="35">
        <v>43503</v>
      </c>
      <c r="B28" s="36">
        <v>146.29</v>
      </c>
      <c r="C28" s="36">
        <v>41332.75</v>
      </c>
      <c r="D28" s="37">
        <f t="shared" si="0"/>
        <v>-6.7893271776766923E-3</v>
      </c>
      <c r="E28" s="37">
        <f t="shared" si="1"/>
        <v>-4.1664177047575244E-3</v>
      </c>
    </row>
    <row r="29" spans="1:5" x14ac:dyDescent="0.35">
      <c r="A29" s="33">
        <v>43504</v>
      </c>
      <c r="B29" s="34">
        <v>146.44</v>
      </c>
      <c r="C29" s="34">
        <v>40887.35</v>
      </c>
      <c r="D29" s="37">
        <f t="shared" si="0"/>
        <v>1.0253605851391462E-3</v>
      </c>
      <c r="E29" s="37">
        <f t="shared" si="1"/>
        <v>-1.0775958531672861E-2</v>
      </c>
    </row>
    <row r="30" spans="1:5" x14ac:dyDescent="0.35">
      <c r="A30" s="35">
        <v>43507</v>
      </c>
      <c r="B30" s="36">
        <v>146.44999999999999</v>
      </c>
      <c r="C30" s="36">
        <v>40326.53</v>
      </c>
      <c r="D30" s="37">
        <f t="shared" si="0"/>
        <v>6.8287353182128554E-5</v>
      </c>
      <c r="E30" s="37">
        <f t="shared" si="1"/>
        <v>-1.3716222743709233E-2</v>
      </c>
    </row>
    <row r="31" spans="1:5" x14ac:dyDescent="0.35">
      <c r="A31" s="33">
        <v>43508</v>
      </c>
      <c r="B31" s="34">
        <v>146.09</v>
      </c>
      <c r="C31" s="34">
        <v>40596.28</v>
      </c>
      <c r="D31" s="37">
        <f t="shared" si="0"/>
        <v>-2.4581768521678747E-3</v>
      </c>
      <c r="E31" s="37">
        <f t="shared" si="1"/>
        <v>6.6891448383979485E-3</v>
      </c>
    </row>
    <row r="32" spans="1:5" x14ac:dyDescent="0.35">
      <c r="A32" s="35">
        <v>43509</v>
      </c>
      <c r="B32" s="36">
        <v>146.79</v>
      </c>
      <c r="C32" s="36">
        <v>40544.11</v>
      </c>
      <c r="D32" s="37">
        <f t="shared" si="0"/>
        <v>4.7915668423573728E-3</v>
      </c>
      <c r="E32" s="37">
        <f t="shared" si="1"/>
        <v>-1.2850931169062351E-3</v>
      </c>
    </row>
    <row r="33" spans="1:5" x14ac:dyDescent="0.35">
      <c r="A33" s="33">
        <v>43510</v>
      </c>
      <c r="B33" s="34">
        <v>145.80000000000001</v>
      </c>
      <c r="C33" s="34">
        <v>40506.980000000003</v>
      </c>
      <c r="D33" s="37">
        <f t="shared" si="0"/>
        <v>-6.7443286327405188E-3</v>
      </c>
      <c r="E33" s="37">
        <f t="shared" si="1"/>
        <v>-9.1579270083860223E-4</v>
      </c>
    </row>
    <row r="34" spans="1:5" x14ac:dyDescent="0.35">
      <c r="A34" s="35">
        <v>43511</v>
      </c>
      <c r="B34" s="36">
        <v>145.77000000000001</v>
      </c>
      <c r="C34" s="36">
        <v>40486.67</v>
      </c>
      <c r="D34" s="37">
        <f t="shared" si="0"/>
        <v>-2.0576131687243576E-4</v>
      </c>
      <c r="E34" s="37">
        <f t="shared" si="1"/>
        <v>-5.0139506820811989E-4</v>
      </c>
    </row>
    <row r="35" spans="1:5" x14ac:dyDescent="0.35">
      <c r="A35" s="33">
        <v>43514</v>
      </c>
      <c r="B35" s="34">
        <v>145.03</v>
      </c>
      <c r="C35" s="34">
        <v>40219.47</v>
      </c>
      <c r="D35" s="37">
        <f t="shared" si="0"/>
        <v>-5.0764903615284976E-3</v>
      </c>
      <c r="E35" s="37">
        <f t="shared" si="1"/>
        <v>-6.5997030627610795E-3</v>
      </c>
    </row>
    <row r="36" spans="1:5" x14ac:dyDescent="0.35">
      <c r="A36" s="35">
        <v>43515</v>
      </c>
      <c r="B36" s="36">
        <v>143.57</v>
      </c>
      <c r="C36" s="36">
        <v>39957.07</v>
      </c>
      <c r="D36" s="37">
        <f t="shared" si="0"/>
        <v>-1.0066882713921312E-2</v>
      </c>
      <c r="E36" s="37">
        <f t="shared" si="1"/>
        <v>-6.5242033273934606E-3</v>
      </c>
    </row>
    <row r="37" spans="1:5" x14ac:dyDescent="0.35">
      <c r="A37" s="33">
        <v>43516</v>
      </c>
      <c r="B37" s="34">
        <v>139.08000000000001</v>
      </c>
      <c r="C37" s="34">
        <v>40279.379999999997</v>
      </c>
      <c r="D37" s="37">
        <f t="shared" si="0"/>
        <v>-3.1273943024308568E-2</v>
      </c>
      <c r="E37" s="37">
        <f t="shared" si="1"/>
        <v>8.0664072716041917E-3</v>
      </c>
    </row>
    <row r="38" spans="1:5" x14ac:dyDescent="0.35">
      <c r="A38" s="35">
        <v>43517</v>
      </c>
      <c r="B38" s="36">
        <v>137.86000000000001</v>
      </c>
      <c r="C38" s="36">
        <v>40070.71</v>
      </c>
      <c r="D38" s="37">
        <f t="shared" si="0"/>
        <v>-8.7719298245613943E-3</v>
      </c>
      <c r="E38" s="37">
        <f t="shared" si="1"/>
        <v>-5.1805663344370806E-3</v>
      </c>
    </row>
    <row r="39" spans="1:5" x14ac:dyDescent="0.35">
      <c r="A39" s="33">
        <v>43518</v>
      </c>
      <c r="B39" s="34">
        <v>139.01</v>
      </c>
      <c r="C39" s="34">
        <v>40016.129999999997</v>
      </c>
      <c r="D39" s="37">
        <f t="shared" si="0"/>
        <v>8.3417960249526843E-3</v>
      </c>
      <c r="E39" s="37">
        <f t="shared" si="1"/>
        <v>-1.3620921615814081E-3</v>
      </c>
    </row>
    <row r="40" spans="1:5" x14ac:dyDescent="0.35">
      <c r="A40" s="35">
        <v>43521</v>
      </c>
      <c r="B40" s="36">
        <v>139</v>
      </c>
      <c r="C40" s="36">
        <v>39606.79</v>
      </c>
      <c r="D40" s="37">
        <f t="shared" si="0"/>
        <v>-7.193727069988422E-5</v>
      </c>
      <c r="E40" s="37">
        <f t="shared" si="1"/>
        <v>-1.0229375004529338E-2</v>
      </c>
    </row>
    <row r="41" spans="1:5" x14ac:dyDescent="0.35">
      <c r="A41" s="33">
        <v>43522</v>
      </c>
      <c r="B41" s="34">
        <v>136.25</v>
      </c>
      <c r="C41" s="34">
        <v>38821.67</v>
      </c>
      <c r="D41" s="37">
        <f t="shared" si="0"/>
        <v>-1.9784172661870502E-2</v>
      </c>
      <c r="E41" s="37">
        <f t="shared" si="1"/>
        <v>-1.9822863705945434E-2</v>
      </c>
    </row>
    <row r="42" spans="1:5" x14ac:dyDescent="0.35">
      <c r="A42" s="35">
        <v>43523</v>
      </c>
      <c r="B42" s="36">
        <v>135.87</v>
      </c>
      <c r="C42" s="36">
        <v>38692.69</v>
      </c>
      <c r="D42" s="37">
        <f t="shared" si="0"/>
        <v>-2.7889908256880399E-3</v>
      </c>
      <c r="E42" s="37">
        <f t="shared" si="1"/>
        <v>-3.3223712426589565E-3</v>
      </c>
    </row>
    <row r="43" spans="1:5" x14ac:dyDescent="0.35">
      <c r="A43" s="33">
        <v>43524</v>
      </c>
      <c r="B43" s="34">
        <v>136.09</v>
      </c>
      <c r="C43" s="34">
        <v>39054.6</v>
      </c>
      <c r="D43" s="37">
        <f t="shared" si="0"/>
        <v>1.6191948185765722E-3</v>
      </c>
      <c r="E43" s="37">
        <f t="shared" si="1"/>
        <v>9.353446348651288E-3</v>
      </c>
    </row>
    <row r="44" spans="1:5" x14ac:dyDescent="0.35">
      <c r="A44" s="35">
        <v>43525</v>
      </c>
      <c r="B44" s="36">
        <v>132.85</v>
      </c>
      <c r="C44" s="36">
        <v>39539.01</v>
      </c>
      <c r="D44" s="37">
        <f t="shared" si="0"/>
        <v>-2.3807774267029239E-2</v>
      </c>
      <c r="E44" s="37">
        <f t="shared" si="1"/>
        <v>1.2403404464518994E-2</v>
      </c>
    </row>
    <row r="45" spans="1:5" x14ac:dyDescent="0.35">
      <c r="A45" s="33">
        <v>43528</v>
      </c>
      <c r="B45" s="34">
        <v>133.66</v>
      </c>
      <c r="C45" s="34">
        <v>39749.74</v>
      </c>
      <c r="D45" s="37">
        <f t="shared" si="0"/>
        <v>6.0971019947309172E-3</v>
      </c>
      <c r="E45" s="37">
        <f t="shared" si="1"/>
        <v>5.3296731506427683E-3</v>
      </c>
    </row>
    <row r="46" spans="1:5" x14ac:dyDescent="0.35">
      <c r="A46" s="35">
        <v>43529</v>
      </c>
      <c r="B46" s="36">
        <v>132.99</v>
      </c>
      <c r="C46" s="36">
        <v>39688.51</v>
      </c>
      <c r="D46" s="37">
        <f t="shared" si="0"/>
        <v>-5.0127188388447369E-3</v>
      </c>
      <c r="E46" s="37">
        <f t="shared" si="1"/>
        <v>-1.5403874339805978E-3</v>
      </c>
    </row>
    <row r="47" spans="1:5" x14ac:dyDescent="0.35">
      <c r="A47" s="33">
        <v>43530</v>
      </c>
      <c r="B47" s="34">
        <v>132.29</v>
      </c>
      <c r="C47" s="34">
        <v>39568.1</v>
      </c>
      <c r="D47" s="37">
        <f t="shared" si="0"/>
        <v>-5.2635536506505523E-3</v>
      </c>
      <c r="E47" s="37">
        <f t="shared" si="1"/>
        <v>-3.0338755473562368E-3</v>
      </c>
    </row>
    <row r="48" spans="1:5" x14ac:dyDescent="0.35">
      <c r="A48" s="35">
        <v>43531</v>
      </c>
      <c r="B48" s="36">
        <v>132.59</v>
      </c>
      <c r="C48" s="36">
        <v>39294.1</v>
      </c>
      <c r="D48" s="37">
        <f t="shared" si="0"/>
        <v>2.2677451054502334E-3</v>
      </c>
      <c r="E48" s="37">
        <f t="shared" si="1"/>
        <v>-6.9247702063025517E-3</v>
      </c>
    </row>
    <row r="49" spans="1:5" x14ac:dyDescent="0.35">
      <c r="A49" s="33">
        <v>43532</v>
      </c>
      <c r="B49" s="34">
        <v>136.62</v>
      </c>
      <c r="C49" s="34">
        <v>38950.230000000003</v>
      </c>
      <c r="D49" s="37">
        <f t="shared" si="0"/>
        <v>3.0394449053473119E-2</v>
      </c>
      <c r="E49" s="37">
        <f t="shared" si="1"/>
        <v>-8.7511865649040274E-3</v>
      </c>
    </row>
    <row r="50" spans="1:5" x14ac:dyDescent="0.35">
      <c r="A50" s="35">
        <v>43535</v>
      </c>
      <c r="B50" s="36">
        <v>135.87</v>
      </c>
      <c r="C50" s="36">
        <v>38924.11</v>
      </c>
      <c r="D50" s="37">
        <f t="shared" si="0"/>
        <v>-5.489679402722881E-3</v>
      </c>
      <c r="E50" s="37">
        <f t="shared" si="1"/>
        <v>-6.7059937771876102E-4</v>
      </c>
    </row>
    <row r="51" spans="1:5" x14ac:dyDescent="0.35">
      <c r="A51" s="33">
        <v>43536</v>
      </c>
      <c r="B51" s="34">
        <v>135.75</v>
      </c>
      <c r="C51" s="34">
        <v>38896.49</v>
      </c>
      <c r="D51" s="37">
        <f t="shared" si="0"/>
        <v>-8.8319717376907742E-4</v>
      </c>
      <c r="E51" s="37">
        <f t="shared" si="1"/>
        <v>-7.095859096072491E-4</v>
      </c>
    </row>
    <row r="52" spans="1:5" x14ac:dyDescent="0.35">
      <c r="A52" s="35">
        <v>43537</v>
      </c>
      <c r="B52" s="36">
        <v>136</v>
      </c>
      <c r="C52" s="36">
        <v>38928.93</v>
      </c>
      <c r="D52" s="37">
        <f t="shared" si="0"/>
        <v>1.841620626151013E-3</v>
      </c>
      <c r="E52" s="37">
        <f t="shared" si="1"/>
        <v>8.3400841566944289E-4</v>
      </c>
    </row>
    <row r="53" spans="1:5" x14ac:dyDescent="0.35">
      <c r="A53" s="33">
        <v>43538</v>
      </c>
      <c r="B53" s="34">
        <v>135.80000000000001</v>
      </c>
      <c r="C53" s="34">
        <v>38808.61</v>
      </c>
      <c r="D53" s="37">
        <f t="shared" si="0"/>
        <v>-1.4705882352940341E-3</v>
      </c>
      <c r="E53" s="37">
        <f t="shared" si="1"/>
        <v>-3.0907605218021585E-3</v>
      </c>
    </row>
    <row r="54" spans="1:5" x14ac:dyDescent="0.35">
      <c r="A54" s="35">
        <v>43539</v>
      </c>
      <c r="B54" s="36">
        <v>134.97</v>
      </c>
      <c r="C54" s="36">
        <v>38306.949999999997</v>
      </c>
      <c r="D54" s="37">
        <f t="shared" si="0"/>
        <v>-6.1119293078056884E-3</v>
      </c>
      <c r="E54" s="37">
        <f t="shared" si="1"/>
        <v>-1.2926512956789833E-2</v>
      </c>
    </row>
    <row r="55" spans="1:5" x14ac:dyDescent="0.35">
      <c r="A55" s="33">
        <v>43543</v>
      </c>
      <c r="B55" s="34">
        <v>134.16999999999999</v>
      </c>
      <c r="C55" s="34">
        <v>38612.370000000003</v>
      </c>
      <c r="D55" s="37">
        <f t="shared" si="0"/>
        <v>-5.9272430910573565E-3</v>
      </c>
      <c r="E55" s="37">
        <f t="shared" si="1"/>
        <v>7.9729657412037653E-3</v>
      </c>
    </row>
    <row r="56" spans="1:5" x14ac:dyDescent="0.35">
      <c r="A56" s="35">
        <v>43544</v>
      </c>
      <c r="B56" s="36">
        <v>132.1</v>
      </c>
      <c r="C56" s="36">
        <v>38547.760000000002</v>
      </c>
      <c r="D56" s="37">
        <f t="shared" si="0"/>
        <v>-1.5428188119549775E-2</v>
      </c>
      <c r="E56" s="37">
        <f t="shared" si="1"/>
        <v>-1.6732979612492209E-3</v>
      </c>
    </row>
    <row r="57" spans="1:5" x14ac:dyDescent="0.35">
      <c r="A57" s="33">
        <v>43545</v>
      </c>
      <c r="B57" s="34">
        <v>131.44999999999999</v>
      </c>
      <c r="C57" s="34">
        <v>38384.71</v>
      </c>
      <c r="D57" s="37">
        <f t="shared" si="0"/>
        <v>-4.9205147615443276E-3</v>
      </c>
      <c r="E57" s="37">
        <f t="shared" si="1"/>
        <v>-4.2298177637300561E-3</v>
      </c>
    </row>
    <row r="58" spans="1:5" x14ac:dyDescent="0.35">
      <c r="A58" s="35">
        <v>43546</v>
      </c>
      <c r="B58" s="36">
        <v>128.94999999999999</v>
      </c>
      <c r="C58" s="36">
        <v>38531.870000000003</v>
      </c>
      <c r="D58" s="37">
        <f t="shared" si="0"/>
        <v>-1.9018638265500192E-2</v>
      </c>
      <c r="E58" s="37">
        <f t="shared" si="1"/>
        <v>3.8338182052177414E-3</v>
      </c>
    </row>
    <row r="59" spans="1:5" x14ac:dyDescent="0.35">
      <c r="A59" s="33">
        <v>43549</v>
      </c>
      <c r="B59" s="34">
        <v>126.2</v>
      </c>
      <c r="C59" s="34">
        <v>38128.660000000003</v>
      </c>
      <c r="D59" s="37">
        <f t="shared" si="0"/>
        <v>-2.1326095385808343E-2</v>
      </c>
      <c r="E59" s="37">
        <f t="shared" si="1"/>
        <v>-1.046432472651857E-2</v>
      </c>
    </row>
    <row r="60" spans="1:5" x14ac:dyDescent="0.35">
      <c r="A60" s="35">
        <v>43550</v>
      </c>
      <c r="B60" s="36">
        <v>127.27</v>
      </c>
      <c r="C60" s="36">
        <v>38329.129999999997</v>
      </c>
      <c r="D60" s="37">
        <f t="shared" si="0"/>
        <v>8.4786053882725289E-3</v>
      </c>
      <c r="E60" s="37">
        <f t="shared" si="1"/>
        <v>5.2577247666189654E-3</v>
      </c>
    </row>
    <row r="61" spans="1:5" x14ac:dyDescent="0.35">
      <c r="A61" s="33">
        <v>43551</v>
      </c>
      <c r="B61" s="34">
        <v>130.29</v>
      </c>
      <c r="C61" s="34">
        <v>38965.01</v>
      </c>
      <c r="D61" s="37">
        <f t="shared" si="0"/>
        <v>2.3729079908855158E-2</v>
      </c>
      <c r="E61" s="37">
        <f t="shared" si="1"/>
        <v>1.658999304184584E-2</v>
      </c>
    </row>
    <row r="62" spans="1:5" x14ac:dyDescent="0.35">
      <c r="A62" s="35">
        <v>43552</v>
      </c>
      <c r="B62" s="36">
        <v>131.43</v>
      </c>
      <c r="C62" s="36">
        <v>38552.949999999997</v>
      </c>
      <c r="D62" s="37">
        <f t="shared" si="0"/>
        <v>8.7497121805204924E-3</v>
      </c>
      <c r="E62" s="37">
        <f t="shared" si="1"/>
        <v>-1.0575128814287611E-2</v>
      </c>
    </row>
    <row r="63" spans="1:5" x14ac:dyDescent="0.35">
      <c r="A63" s="33">
        <v>43553</v>
      </c>
      <c r="B63" s="34">
        <v>132.85</v>
      </c>
      <c r="C63" s="34">
        <v>38649.339999999997</v>
      </c>
      <c r="D63" s="37">
        <f t="shared" si="0"/>
        <v>1.0804230388800027E-2</v>
      </c>
      <c r="E63" s="37">
        <f t="shared" si="1"/>
        <v>2.5001977799364102E-3</v>
      </c>
    </row>
    <row r="64" spans="1:5" x14ac:dyDescent="0.35">
      <c r="A64" s="35">
        <v>43556</v>
      </c>
      <c r="B64" s="36">
        <v>132.03</v>
      </c>
      <c r="C64" s="36">
        <v>38354.85</v>
      </c>
      <c r="D64" s="37">
        <f t="shared" si="0"/>
        <v>-6.172374858863329E-3</v>
      </c>
      <c r="E64" s="37">
        <f t="shared" si="1"/>
        <v>-7.6195350295761325E-3</v>
      </c>
    </row>
    <row r="65" spans="1:5" x14ac:dyDescent="0.35">
      <c r="A65" s="33">
        <v>43557</v>
      </c>
      <c r="B65" s="34">
        <v>129.81</v>
      </c>
      <c r="C65" s="34">
        <v>38036.03</v>
      </c>
      <c r="D65" s="37">
        <f t="shared" si="0"/>
        <v>-1.6814360372642573E-2</v>
      </c>
      <c r="E65" s="37">
        <f t="shared" si="1"/>
        <v>-8.3123777045145449E-3</v>
      </c>
    </row>
    <row r="66" spans="1:5" x14ac:dyDescent="0.35">
      <c r="A66" s="35">
        <v>43558</v>
      </c>
      <c r="B66" s="36">
        <v>129.80000000000001</v>
      </c>
      <c r="C66" s="36">
        <v>38022.800000000003</v>
      </c>
      <c r="D66" s="37">
        <f t="shared" si="0"/>
        <v>-7.7035667513988945E-5</v>
      </c>
      <c r="E66" s="37">
        <f t="shared" si="1"/>
        <v>-3.4782809877886638E-4</v>
      </c>
    </row>
    <row r="67" spans="1:5" x14ac:dyDescent="0.35">
      <c r="A67" s="33">
        <v>43559</v>
      </c>
      <c r="B67" s="34">
        <v>129.63999999999999</v>
      </c>
      <c r="C67" s="34">
        <v>37516.11</v>
      </c>
      <c r="D67" s="37">
        <f t="shared" si="0"/>
        <v>-1.2326656394454931E-3</v>
      </c>
      <c r="E67" s="37">
        <f t="shared" si="1"/>
        <v>-1.3325951797342707E-2</v>
      </c>
    </row>
    <row r="68" spans="1:5" x14ac:dyDescent="0.35">
      <c r="A68" s="35">
        <v>43560</v>
      </c>
      <c r="B68" s="36">
        <v>128.02000000000001</v>
      </c>
      <c r="C68" s="36">
        <v>37521.81</v>
      </c>
      <c r="D68" s="37">
        <f t="shared" si="0"/>
        <v>-1.2496143165689418E-2</v>
      </c>
      <c r="E68" s="37">
        <f t="shared" si="1"/>
        <v>1.5193472884041256E-4</v>
      </c>
    </row>
    <row r="69" spans="1:5" x14ac:dyDescent="0.35">
      <c r="A69" s="33">
        <v>43563</v>
      </c>
      <c r="B69" s="34">
        <v>127.38</v>
      </c>
      <c r="C69" s="34">
        <v>36921.910000000003</v>
      </c>
      <c r="D69" s="37">
        <f t="shared" ref="D69:D132" si="2">(B69-B68)/B68</f>
        <v>-4.9992188720513571E-3</v>
      </c>
      <c r="E69" s="37">
        <f t="shared" ref="E69:E132" si="3">(C69-C68)/C68</f>
        <v>-1.5988034692356105E-2</v>
      </c>
    </row>
    <row r="70" spans="1:5" x14ac:dyDescent="0.35">
      <c r="A70" s="35">
        <v>43564</v>
      </c>
      <c r="B70" s="36">
        <v>126.84</v>
      </c>
      <c r="C70" s="36">
        <v>37129.97</v>
      </c>
      <c r="D70" s="37">
        <f t="shared" si="2"/>
        <v>-4.2392840320300837E-3</v>
      </c>
      <c r="E70" s="37">
        <f t="shared" si="3"/>
        <v>5.6351364271241024E-3</v>
      </c>
    </row>
    <row r="71" spans="1:5" x14ac:dyDescent="0.35">
      <c r="A71" s="33">
        <v>43565</v>
      </c>
      <c r="B71" s="34">
        <v>126.14</v>
      </c>
      <c r="C71" s="34">
        <v>36579.32</v>
      </c>
      <c r="D71" s="37">
        <f t="shared" si="2"/>
        <v>-5.5187637969095144E-3</v>
      </c>
      <c r="E71" s="37">
        <f t="shared" si="3"/>
        <v>-1.483033786453373E-2</v>
      </c>
    </row>
    <row r="72" spans="1:5" x14ac:dyDescent="0.35">
      <c r="A72" s="35">
        <v>43566</v>
      </c>
      <c r="B72" s="36">
        <v>126.78</v>
      </c>
      <c r="C72" s="36">
        <v>36787.64</v>
      </c>
      <c r="D72" s="37">
        <f t="shared" si="2"/>
        <v>5.0737276042492514E-3</v>
      </c>
      <c r="E72" s="37">
        <f t="shared" si="3"/>
        <v>5.6950211212236784E-3</v>
      </c>
    </row>
    <row r="73" spans="1:5" x14ac:dyDescent="0.35">
      <c r="A73" s="33">
        <v>43567</v>
      </c>
      <c r="B73" s="34">
        <v>126.7</v>
      </c>
      <c r="C73" s="34">
        <v>37337.870000000003</v>
      </c>
      <c r="D73" s="37">
        <f t="shared" si="2"/>
        <v>-6.3101435557657594E-4</v>
      </c>
      <c r="E73" s="37">
        <f t="shared" si="3"/>
        <v>1.4956925750061793E-2</v>
      </c>
    </row>
    <row r="74" spans="1:5" x14ac:dyDescent="0.35">
      <c r="A74" s="35">
        <v>43570</v>
      </c>
      <c r="B74" s="36">
        <v>126.31</v>
      </c>
      <c r="C74" s="36">
        <v>37504.080000000002</v>
      </c>
      <c r="D74" s="37">
        <f t="shared" si="2"/>
        <v>-3.078137332280983E-3</v>
      </c>
      <c r="E74" s="37">
        <f t="shared" si="3"/>
        <v>4.4515126331523226E-3</v>
      </c>
    </row>
    <row r="75" spans="1:5" x14ac:dyDescent="0.35">
      <c r="A75" s="33">
        <v>43571</v>
      </c>
      <c r="B75" s="34">
        <v>125.37</v>
      </c>
      <c r="C75" s="34">
        <v>37381.949999999997</v>
      </c>
      <c r="D75" s="37">
        <f t="shared" si="2"/>
        <v>-7.4420077586889221E-3</v>
      </c>
      <c r="E75" s="37">
        <f t="shared" si="3"/>
        <v>-3.2564456987081046E-3</v>
      </c>
    </row>
    <row r="76" spans="1:5" x14ac:dyDescent="0.35">
      <c r="A76" s="35">
        <v>43572</v>
      </c>
      <c r="B76" s="36">
        <v>124.85</v>
      </c>
      <c r="C76" s="36">
        <v>36752.57</v>
      </c>
      <c r="D76" s="37">
        <f t="shared" si="2"/>
        <v>-4.1477227406876462E-3</v>
      </c>
      <c r="E76" s="37">
        <f t="shared" si="3"/>
        <v>-1.6836467867513531E-2</v>
      </c>
    </row>
    <row r="77" spans="1:5" x14ac:dyDescent="0.35">
      <c r="A77" s="33">
        <v>43573</v>
      </c>
      <c r="B77" s="34">
        <v>124.97</v>
      </c>
      <c r="C77" s="34">
        <v>36811.86</v>
      </c>
      <c r="D77" s="37">
        <f t="shared" si="2"/>
        <v>9.6115338406090956E-4</v>
      </c>
      <c r="E77" s="37">
        <f t="shared" si="3"/>
        <v>1.6132205176400147E-3</v>
      </c>
    </row>
    <row r="78" spans="1:5" x14ac:dyDescent="0.35">
      <c r="A78" s="35">
        <v>43574</v>
      </c>
      <c r="B78" s="36">
        <v>125.14</v>
      </c>
      <c r="C78" s="36">
        <v>37292.47</v>
      </c>
      <c r="D78" s="37">
        <f t="shared" si="2"/>
        <v>1.3603264783548189E-3</v>
      </c>
      <c r="E78" s="37">
        <f t="shared" si="3"/>
        <v>1.3055846675500792E-2</v>
      </c>
    </row>
    <row r="79" spans="1:5" x14ac:dyDescent="0.35">
      <c r="A79" s="33">
        <v>43577</v>
      </c>
      <c r="B79" s="34">
        <v>126.41</v>
      </c>
      <c r="C79" s="34">
        <v>36901.69</v>
      </c>
      <c r="D79" s="37">
        <f t="shared" si="2"/>
        <v>1.0148633530445868E-2</v>
      </c>
      <c r="E79" s="37">
        <f t="shared" si="3"/>
        <v>-1.0478791026713941E-2</v>
      </c>
    </row>
    <row r="80" spans="1:5" x14ac:dyDescent="0.35">
      <c r="A80" s="35">
        <v>43578</v>
      </c>
      <c r="B80" s="36">
        <v>124.61</v>
      </c>
      <c r="C80" s="36">
        <v>36404.03</v>
      </c>
      <c r="D80" s="37">
        <f t="shared" si="2"/>
        <v>-1.42393797959022E-2</v>
      </c>
      <c r="E80" s="37">
        <f t="shared" si="3"/>
        <v>-1.3486103210991243E-2</v>
      </c>
    </row>
    <row r="81" spans="1:5" x14ac:dyDescent="0.35">
      <c r="A81" s="33">
        <v>43579</v>
      </c>
      <c r="B81" s="34">
        <v>124.7</v>
      </c>
      <c r="C81" s="34">
        <v>36504.25</v>
      </c>
      <c r="D81" s="37">
        <f t="shared" si="2"/>
        <v>7.2225343070382326E-4</v>
      </c>
      <c r="E81" s="37">
        <f t="shared" si="3"/>
        <v>2.7529919077640902E-3</v>
      </c>
    </row>
    <row r="82" spans="1:5" x14ac:dyDescent="0.35">
      <c r="A82" s="35">
        <v>43580</v>
      </c>
      <c r="B82" s="36">
        <v>124.33</v>
      </c>
      <c r="C82" s="36">
        <v>36796.03</v>
      </c>
      <c r="D82" s="37">
        <f t="shared" si="2"/>
        <v>-2.9671210906175183E-3</v>
      </c>
      <c r="E82" s="37">
        <f t="shared" si="3"/>
        <v>7.9930419060793966E-3</v>
      </c>
    </row>
    <row r="83" spans="1:5" x14ac:dyDescent="0.35">
      <c r="A83" s="33">
        <v>43581</v>
      </c>
      <c r="B83" s="34">
        <v>124.49</v>
      </c>
      <c r="C83" s="34">
        <v>37130.629999999997</v>
      </c>
      <c r="D83" s="37">
        <f t="shared" si="2"/>
        <v>1.2868977720582046E-3</v>
      </c>
      <c r="E83" s="37">
        <f t="shared" si="3"/>
        <v>9.0933723013052921E-3</v>
      </c>
    </row>
    <row r="84" spans="1:5" x14ac:dyDescent="0.35">
      <c r="A84" s="35">
        <v>43584</v>
      </c>
      <c r="B84" s="36">
        <v>126.02</v>
      </c>
      <c r="C84" s="36">
        <v>37026.269999999997</v>
      </c>
      <c r="D84" s="37">
        <f t="shared" si="2"/>
        <v>1.2290143786649541E-2</v>
      </c>
      <c r="E84" s="37">
        <f t="shared" si="3"/>
        <v>-2.8106175413668065E-3</v>
      </c>
    </row>
    <row r="85" spans="1:5" x14ac:dyDescent="0.35">
      <c r="A85" s="33">
        <v>43585</v>
      </c>
      <c r="B85" s="34">
        <v>131.15</v>
      </c>
      <c r="C85" s="34">
        <v>36784.44</v>
      </c>
      <c r="D85" s="37">
        <f t="shared" si="2"/>
        <v>4.0707824154896127E-2</v>
      </c>
      <c r="E85" s="37">
        <f t="shared" si="3"/>
        <v>-6.5313087167568999E-3</v>
      </c>
    </row>
    <row r="86" spans="1:5" x14ac:dyDescent="0.35">
      <c r="A86" s="35">
        <v>43587</v>
      </c>
      <c r="B86" s="36">
        <v>128.86000000000001</v>
      </c>
      <c r="C86" s="36">
        <v>36547.629999999997</v>
      </c>
      <c r="D86" s="37">
        <f t="shared" si="2"/>
        <v>-1.7460922607701043E-2</v>
      </c>
      <c r="E86" s="37">
        <f t="shared" si="3"/>
        <v>-6.437776407633362E-3</v>
      </c>
    </row>
    <row r="87" spans="1:5" x14ac:dyDescent="0.35">
      <c r="A87" s="33">
        <v>43588</v>
      </c>
      <c r="B87" s="34">
        <v>127.85</v>
      </c>
      <c r="C87" s="34">
        <v>36122.949999999997</v>
      </c>
      <c r="D87" s="37">
        <f t="shared" si="2"/>
        <v>-7.8379636815149711E-3</v>
      </c>
      <c r="E87" s="37">
        <f t="shared" si="3"/>
        <v>-1.1619905312601674E-2</v>
      </c>
    </row>
    <row r="88" spans="1:5" x14ac:dyDescent="0.35">
      <c r="A88" s="35">
        <v>43591</v>
      </c>
      <c r="B88" s="36">
        <v>127.89</v>
      </c>
      <c r="C88" s="36">
        <v>35605.42</v>
      </c>
      <c r="D88" s="37">
        <f t="shared" si="2"/>
        <v>3.1286664059449555E-4</v>
      </c>
      <c r="E88" s="37">
        <f t="shared" si="3"/>
        <v>-1.4326902979961462E-2</v>
      </c>
    </row>
    <row r="89" spans="1:5" x14ac:dyDescent="0.35">
      <c r="A89" s="33">
        <v>43592</v>
      </c>
      <c r="B89" s="34">
        <v>124.57</v>
      </c>
      <c r="C89" s="34">
        <v>35631.06</v>
      </c>
      <c r="D89" s="37">
        <f t="shared" si="2"/>
        <v>-2.5959809211040796E-2</v>
      </c>
      <c r="E89" s="37">
        <f t="shared" si="3"/>
        <v>7.2011508360242404E-4</v>
      </c>
    </row>
    <row r="90" spans="1:5" x14ac:dyDescent="0.35">
      <c r="A90" s="35">
        <v>43593</v>
      </c>
      <c r="B90" s="36">
        <v>124.67</v>
      </c>
      <c r="C90" s="36">
        <v>35035.03</v>
      </c>
      <c r="D90" s="37">
        <f t="shared" si="2"/>
        <v>8.0276149955854962E-4</v>
      </c>
      <c r="E90" s="37">
        <f t="shared" si="3"/>
        <v>-1.6727821176243392E-2</v>
      </c>
    </row>
    <row r="91" spans="1:5" x14ac:dyDescent="0.35">
      <c r="A91" s="33">
        <v>43594</v>
      </c>
      <c r="B91" s="34">
        <v>121.65</v>
      </c>
      <c r="C91" s="34">
        <v>34887.64</v>
      </c>
      <c r="D91" s="37">
        <f t="shared" si="2"/>
        <v>-2.4223951231250471E-2</v>
      </c>
      <c r="E91" s="37">
        <f t="shared" si="3"/>
        <v>-4.2069323188819712E-3</v>
      </c>
    </row>
    <row r="92" spans="1:5" x14ac:dyDescent="0.35">
      <c r="A92" s="35">
        <v>43595</v>
      </c>
      <c r="B92" s="36">
        <v>121.23</v>
      </c>
      <c r="C92" s="36">
        <v>34716.53</v>
      </c>
      <c r="D92" s="37">
        <f t="shared" si="2"/>
        <v>-3.4525277435265241E-3</v>
      </c>
      <c r="E92" s="37">
        <f t="shared" si="3"/>
        <v>-4.9046023176116411E-3</v>
      </c>
    </row>
    <row r="93" spans="1:5" x14ac:dyDescent="0.35">
      <c r="A93" s="33">
        <v>43598</v>
      </c>
      <c r="B93" s="34">
        <v>118.95</v>
      </c>
      <c r="C93" s="34">
        <v>33900.379999999997</v>
      </c>
      <c r="D93" s="37">
        <f t="shared" si="2"/>
        <v>-1.8807225934174717E-2</v>
      </c>
      <c r="E93" s="37">
        <f t="shared" si="3"/>
        <v>-2.3508973967156323E-2</v>
      </c>
    </row>
    <row r="94" spans="1:5" x14ac:dyDescent="0.35">
      <c r="A94" s="35">
        <v>43599</v>
      </c>
      <c r="B94" s="36">
        <v>122.63</v>
      </c>
      <c r="C94" s="36">
        <v>33885.089999999997</v>
      </c>
      <c r="D94" s="37">
        <f t="shared" si="2"/>
        <v>3.0937368642286613E-2</v>
      </c>
      <c r="E94" s="37">
        <f t="shared" si="3"/>
        <v>-4.5102739261332391E-4</v>
      </c>
    </row>
    <row r="95" spans="1:5" x14ac:dyDescent="0.35">
      <c r="A95" s="33">
        <v>43601</v>
      </c>
      <c r="B95" s="34">
        <v>116.56</v>
      </c>
      <c r="C95" s="34">
        <v>33971.120000000003</v>
      </c>
      <c r="D95" s="37">
        <f t="shared" si="2"/>
        <v>-4.9498491396884885E-2</v>
      </c>
      <c r="E95" s="37">
        <f t="shared" si="3"/>
        <v>2.538874767633969E-3</v>
      </c>
    </row>
    <row r="96" spans="1:5" x14ac:dyDescent="0.35">
      <c r="A96" s="35">
        <v>43602</v>
      </c>
      <c r="B96" s="36">
        <v>115.54</v>
      </c>
      <c r="C96" s="36">
        <v>33166.620000000003</v>
      </c>
      <c r="D96" s="37">
        <f t="shared" si="2"/>
        <v>-8.7508579272477342E-3</v>
      </c>
      <c r="E96" s="37">
        <f t="shared" si="3"/>
        <v>-2.3681880373682115E-2</v>
      </c>
    </row>
    <row r="97" spans="1:5" x14ac:dyDescent="0.35">
      <c r="A97" s="33">
        <v>43605</v>
      </c>
      <c r="B97" s="34">
        <v>113.77</v>
      </c>
      <c r="C97" s="34">
        <v>33250.54</v>
      </c>
      <c r="D97" s="37">
        <f t="shared" si="2"/>
        <v>-1.5319369915180977E-2</v>
      </c>
      <c r="E97" s="37">
        <f t="shared" si="3"/>
        <v>2.5302548164388848E-3</v>
      </c>
    </row>
    <row r="98" spans="1:5" x14ac:dyDescent="0.35">
      <c r="A98" s="35">
        <v>43606</v>
      </c>
      <c r="B98" s="36">
        <v>109.01</v>
      </c>
      <c r="C98" s="36">
        <v>33442.1</v>
      </c>
      <c r="D98" s="37">
        <f t="shared" si="2"/>
        <v>-4.1838797574052837E-2</v>
      </c>
      <c r="E98" s="37">
        <f t="shared" si="3"/>
        <v>5.7611094436360328E-3</v>
      </c>
    </row>
    <row r="99" spans="1:5" x14ac:dyDescent="0.35">
      <c r="A99" s="33">
        <v>43607</v>
      </c>
      <c r="B99" s="34">
        <v>107.74</v>
      </c>
      <c r="C99" s="34">
        <v>34637.14</v>
      </c>
      <c r="D99" s="37">
        <f t="shared" si="2"/>
        <v>-1.1650307311255942E-2</v>
      </c>
      <c r="E99" s="37">
        <f t="shared" si="3"/>
        <v>3.573459800670415E-2</v>
      </c>
    </row>
    <row r="100" spans="1:5" x14ac:dyDescent="0.35">
      <c r="A100" s="35">
        <v>43608</v>
      </c>
      <c r="B100" s="36">
        <v>107.28</v>
      </c>
      <c r="C100" s="36">
        <v>35581.339999999997</v>
      </c>
      <c r="D100" s="37">
        <f t="shared" si="2"/>
        <v>-4.2695377761276573E-3</v>
      </c>
      <c r="E100" s="37">
        <f t="shared" si="3"/>
        <v>2.7259756434855682E-2</v>
      </c>
    </row>
    <row r="101" spans="1:5" x14ac:dyDescent="0.35">
      <c r="A101" s="33">
        <v>43609</v>
      </c>
      <c r="B101" s="34">
        <v>106.21</v>
      </c>
      <c r="C101" s="34">
        <v>35703.81</v>
      </c>
      <c r="D101" s="37">
        <f t="shared" si="2"/>
        <v>-9.973900074571284E-3</v>
      </c>
      <c r="E101" s="37">
        <f t="shared" si="3"/>
        <v>3.4419726744411867E-3</v>
      </c>
    </row>
    <row r="102" spans="1:5" x14ac:dyDescent="0.35">
      <c r="A102" s="35">
        <v>43612</v>
      </c>
      <c r="B102" s="36">
        <v>105.59</v>
      </c>
      <c r="C102" s="36">
        <v>35697.370000000003</v>
      </c>
      <c r="D102" s="37">
        <f t="shared" si="2"/>
        <v>-5.8374917616042781E-3</v>
      </c>
      <c r="E102" s="37">
        <f t="shared" si="3"/>
        <v>-1.8037290698093712E-4</v>
      </c>
    </row>
    <row r="103" spans="1:5" x14ac:dyDescent="0.35">
      <c r="A103" s="33">
        <v>43613</v>
      </c>
      <c r="B103" s="34">
        <v>106.61</v>
      </c>
      <c r="C103" s="34">
        <v>34949.279999999999</v>
      </c>
      <c r="D103" s="37">
        <f t="shared" si="2"/>
        <v>9.6600056823562454E-3</v>
      </c>
      <c r="E103" s="37">
        <f t="shared" si="3"/>
        <v>-2.0956445810994023E-2</v>
      </c>
    </row>
    <row r="104" spans="1:5" x14ac:dyDescent="0.35">
      <c r="A104" s="35">
        <v>43614</v>
      </c>
      <c r="B104" s="36">
        <v>109.31</v>
      </c>
      <c r="C104" s="36">
        <v>35959.43</v>
      </c>
      <c r="D104" s="37">
        <f t="shared" si="2"/>
        <v>2.5325954413282083E-2</v>
      </c>
      <c r="E104" s="37">
        <f t="shared" si="3"/>
        <v>2.8903313601882544E-2</v>
      </c>
    </row>
    <row r="105" spans="1:5" x14ac:dyDescent="0.35">
      <c r="A105" s="33">
        <v>43615</v>
      </c>
      <c r="B105" s="34">
        <v>107.86</v>
      </c>
      <c r="C105" s="34">
        <v>35974.79</v>
      </c>
      <c r="D105" s="37">
        <f t="shared" si="2"/>
        <v>-1.3265026072637479E-2</v>
      </c>
      <c r="E105" s="37">
        <f t="shared" si="3"/>
        <v>4.271480387759367E-4</v>
      </c>
    </row>
    <row r="106" spans="1:5" x14ac:dyDescent="0.35">
      <c r="A106" s="35">
        <v>43619</v>
      </c>
      <c r="B106" s="36">
        <v>106.38</v>
      </c>
      <c r="C106" s="36">
        <v>35505.29</v>
      </c>
      <c r="D106" s="37">
        <f t="shared" si="2"/>
        <v>-1.372149082143523E-2</v>
      </c>
      <c r="E106" s="37">
        <f t="shared" si="3"/>
        <v>-1.3050805855989708E-2</v>
      </c>
    </row>
    <row r="107" spans="1:5" x14ac:dyDescent="0.35">
      <c r="A107" s="33">
        <v>43626</v>
      </c>
      <c r="B107" s="34">
        <v>105.35</v>
      </c>
      <c r="C107" s="34">
        <v>34567.550000000003</v>
      </c>
      <c r="D107" s="37">
        <f t="shared" si="2"/>
        <v>-9.6822711035909111E-3</v>
      </c>
      <c r="E107" s="37">
        <f t="shared" si="3"/>
        <v>-2.6411275615549061E-2</v>
      </c>
    </row>
    <row r="108" spans="1:5" x14ac:dyDescent="0.35">
      <c r="A108" s="35">
        <v>43627</v>
      </c>
      <c r="B108" s="36">
        <v>104.56</v>
      </c>
      <c r="C108" s="36">
        <v>34659.85</v>
      </c>
      <c r="D108" s="37">
        <f t="shared" si="2"/>
        <v>-7.498813478879849E-3</v>
      </c>
      <c r="E108" s="37">
        <f t="shared" si="3"/>
        <v>2.6701342733284721E-3</v>
      </c>
    </row>
    <row r="109" spans="1:5" x14ac:dyDescent="0.35">
      <c r="A109" s="33">
        <v>43628</v>
      </c>
      <c r="B109" s="34">
        <v>103.98</v>
      </c>
      <c r="C109" s="34">
        <v>34937.93</v>
      </c>
      <c r="D109" s="37">
        <f t="shared" si="2"/>
        <v>-5.5470543228768009E-3</v>
      </c>
      <c r="E109" s="37">
        <f t="shared" si="3"/>
        <v>8.0231160838838533E-3</v>
      </c>
    </row>
    <row r="110" spans="1:5" x14ac:dyDescent="0.35">
      <c r="A110" s="35">
        <v>43629</v>
      </c>
      <c r="B110" s="36">
        <v>105.13</v>
      </c>
      <c r="C110" s="36">
        <v>35403.07</v>
      </c>
      <c r="D110" s="37">
        <f t="shared" si="2"/>
        <v>1.1059819195999148E-2</v>
      </c>
      <c r="E110" s="37">
        <f t="shared" si="3"/>
        <v>1.3313324515791274E-2</v>
      </c>
    </row>
    <row r="111" spans="1:5" x14ac:dyDescent="0.35">
      <c r="A111" s="33">
        <v>43630</v>
      </c>
      <c r="B111" s="34">
        <v>105.39</v>
      </c>
      <c r="C111" s="34">
        <v>35572.949999999997</v>
      </c>
      <c r="D111" s="37">
        <f t="shared" si="2"/>
        <v>2.473128507562115E-3</v>
      </c>
      <c r="E111" s="37">
        <f t="shared" si="3"/>
        <v>4.798453919391662E-3</v>
      </c>
    </row>
    <row r="112" spans="1:5" x14ac:dyDescent="0.35">
      <c r="A112" s="35">
        <v>43633</v>
      </c>
      <c r="B112" s="36">
        <v>104.79</v>
      </c>
      <c r="C112" s="36">
        <v>35168.82</v>
      </c>
      <c r="D112" s="37">
        <f t="shared" si="2"/>
        <v>-5.6931397665812159E-3</v>
      </c>
      <c r="E112" s="37">
        <f t="shared" si="3"/>
        <v>-1.1360598432235657E-2</v>
      </c>
    </row>
    <row r="113" spans="1:5" x14ac:dyDescent="0.35">
      <c r="A113" s="33">
        <v>43634</v>
      </c>
      <c r="B113" s="34">
        <v>103.9</v>
      </c>
      <c r="C113" s="34">
        <v>34681.72</v>
      </c>
      <c r="D113" s="37">
        <f t="shared" si="2"/>
        <v>-8.4931768298501815E-3</v>
      </c>
      <c r="E113" s="37">
        <f t="shared" si="3"/>
        <v>-1.3850336747152692E-2</v>
      </c>
    </row>
    <row r="114" spans="1:5" x14ac:dyDescent="0.35">
      <c r="A114" s="35">
        <v>43635</v>
      </c>
      <c r="B114" s="36">
        <v>103.59</v>
      </c>
      <c r="C114" s="36">
        <v>34656.120000000003</v>
      </c>
      <c r="D114" s="37">
        <f t="shared" si="2"/>
        <v>-2.9836381135707629E-3</v>
      </c>
      <c r="E114" s="37">
        <f t="shared" si="3"/>
        <v>-7.381410149207866E-4</v>
      </c>
    </row>
    <row r="115" spans="1:5" x14ac:dyDescent="0.35">
      <c r="A115" s="33">
        <v>43636</v>
      </c>
      <c r="B115" s="34">
        <v>104.91</v>
      </c>
      <c r="C115" s="34">
        <v>34995.910000000003</v>
      </c>
      <c r="D115" s="37">
        <f t="shared" si="2"/>
        <v>1.2742542716478358E-2</v>
      </c>
      <c r="E115" s="37">
        <f t="shared" si="3"/>
        <v>9.8046174817031113E-3</v>
      </c>
    </row>
    <row r="116" spans="1:5" x14ac:dyDescent="0.35">
      <c r="A116" s="35">
        <v>43637</v>
      </c>
      <c r="B116" s="36">
        <v>105.63</v>
      </c>
      <c r="C116" s="36">
        <v>35125.25</v>
      </c>
      <c r="D116" s="37">
        <f t="shared" si="2"/>
        <v>6.8630254503860349E-3</v>
      </c>
      <c r="E116" s="37">
        <f t="shared" si="3"/>
        <v>3.6958604591221232E-3</v>
      </c>
    </row>
    <row r="117" spans="1:5" x14ac:dyDescent="0.35">
      <c r="A117" s="33">
        <v>43640</v>
      </c>
      <c r="B117" s="34">
        <v>104.44</v>
      </c>
      <c r="C117" s="34">
        <v>34471.949999999997</v>
      </c>
      <c r="D117" s="37">
        <f t="shared" si="2"/>
        <v>-1.126573889993371E-2</v>
      </c>
      <c r="E117" s="37">
        <f t="shared" si="3"/>
        <v>-1.8599155877894191E-2</v>
      </c>
    </row>
    <row r="118" spans="1:5" x14ac:dyDescent="0.35">
      <c r="A118" s="35">
        <v>43641</v>
      </c>
      <c r="B118" s="36">
        <v>105.75</v>
      </c>
      <c r="C118" s="36">
        <v>34190.620000000003</v>
      </c>
      <c r="D118" s="37">
        <f t="shared" si="2"/>
        <v>1.2543086939869804E-2</v>
      </c>
      <c r="E118" s="37">
        <f t="shared" si="3"/>
        <v>-8.1611281056045426E-3</v>
      </c>
    </row>
    <row r="119" spans="1:5" x14ac:dyDescent="0.35">
      <c r="A119" s="33">
        <v>43642</v>
      </c>
      <c r="B119" s="34">
        <v>104.35</v>
      </c>
      <c r="C119" s="34">
        <v>34088.559999999998</v>
      </c>
      <c r="D119" s="37">
        <f t="shared" si="2"/>
        <v>-1.323877068557925E-2</v>
      </c>
      <c r="E119" s="37">
        <f t="shared" si="3"/>
        <v>-2.9850292273145367E-3</v>
      </c>
    </row>
    <row r="120" spans="1:5" x14ac:dyDescent="0.35">
      <c r="A120" s="35">
        <v>43643</v>
      </c>
      <c r="B120" s="36">
        <v>103.36</v>
      </c>
      <c r="C120" s="36">
        <v>33774.42</v>
      </c>
      <c r="D120" s="37">
        <f t="shared" si="2"/>
        <v>-9.4873023478677047E-3</v>
      </c>
      <c r="E120" s="37">
        <f t="shared" si="3"/>
        <v>-9.2154083364037499E-3</v>
      </c>
    </row>
    <row r="121" spans="1:5" x14ac:dyDescent="0.35">
      <c r="A121" s="33">
        <v>43644</v>
      </c>
      <c r="B121" s="34">
        <v>106.49</v>
      </c>
      <c r="C121" s="34">
        <v>33901.58</v>
      </c>
      <c r="D121" s="37">
        <f t="shared" si="2"/>
        <v>3.0282507739938038E-2</v>
      </c>
      <c r="E121" s="37">
        <f t="shared" si="3"/>
        <v>3.7649795318469865E-3</v>
      </c>
    </row>
    <row r="122" spans="1:5" x14ac:dyDescent="0.35">
      <c r="A122" s="35">
        <v>43647</v>
      </c>
      <c r="B122" s="36">
        <v>105.98</v>
      </c>
      <c r="C122" s="36">
        <v>33996.33</v>
      </c>
      <c r="D122" s="37">
        <f t="shared" si="2"/>
        <v>-4.789182082824593E-3</v>
      </c>
      <c r="E122" s="37">
        <f t="shared" si="3"/>
        <v>2.7948549890595069E-3</v>
      </c>
    </row>
    <row r="123" spans="1:5" x14ac:dyDescent="0.35">
      <c r="A123" s="33">
        <v>43648</v>
      </c>
      <c r="B123" s="34">
        <v>105.5</v>
      </c>
      <c r="C123" s="34">
        <v>34307.11</v>
      </c>
      <c r="D123" s="37">
        <f t="shared" si="2"/>
        <v>-4.5291564446122284E-3</v>
      </c>
      <c r="E123" s="37">
        <f t="shared" si="3"/>
        <v>9.141574987653044E-3</v>
      </c>
    </row>
    <row r="124" spans="1:5" x14ac:dyDescent="0.35">
      <c r="A124" s="35">
        <v>43649</v>
      </c>
      <c r="B124" s="36">
        <v>103.6</v>
      </c>
      <c r="C124" s="36">
        <v>34896.550000000003</v>
      </c>
      <c r="D124" s="37">
        <f t="shared" si="2"/>
        <v>-1.8009478672985836E-2</v>
      </c>
      <c r="E124" s="37">
        <f t="shared" si="3"/>
        <v>1.7181278166537559E-2</v>
      </c>
    </row>
    <row r="125" spans="1:5" x14ac:dyDescent="0.35">
      <c r="A125" s="33">
        <v>43650</v>
      </c>
      <c r="B125" s="34">
        <v>104.23</v>
      </c>
      <c r="C125" s="34">
        <v>34570.620000000003</v>
      </c>
      <c r="D125" s="37">
        <f t="shared" si="2"/>
        <v>6.0810810810811751E-3</v>
      </c>
      <c r="E125" s="37">
        <f t="shared" si="3"/>
        <v>-9.3398917658049363E-3</v>
      </c>
    </row>
    <row r="126" spans="1:5" x14ac:dyDescent="0.35">
      <c r="A126" s="35">
        <v>43651</v>
      </c>
      <c r="B126" s="36">
        <v>103.9</v>
      </c>
      <c r="C126" s="36">
        <v>34190.019999999997</v>
      </c>
      <c r="D126" s="37">
        <f t="shared" si="2"/>
        <v>-3.1660750263839419E-3</v>
      </c>
      <c r="E126" s="37">
        <f t="shared" si="3"/>
        <v>-1.1009348400462757E-2</v>
      </c>
    </row>
    <row r="127" spans="1:5" x14ac:dyDescent="0.35">
      <c r="A127" s="33">
        <v>43654</v>
      </c>
      <c r="B127" s="34">
        <v>103.08</v>
      </c>
      <c r="C127" s="34">
        <v>33742.68</v>
      </c>
      <c r="D127" s="37">
        <f t="shared" si="2"/>
        <v>-7.8922040423484822E-3</v>
      </c>
      <c r="E127" s="37">
        <f t="shared" si="3"/>
        <v>-1.3083935019634283E-2</v>
      </c>
    </row>
    <row r="128" spans="1:5" x14ac:dyDescent="0.35">
      <c r="A128" s="35">
        <v>43655</v>
      </c>
      <c r="B128" s="36">
        <v>102.99</v>
      </c>
      <c r="C128" s="36">
        <v>33855.58</v>
      </c>
      <c r="D128" s="37">
        <f t="shared" si="2"/>
        <v>-8.7310826542494574E-4</v>
      </c>
      <c r="E128" s="37">
        <f t="shared" si="3"/>
        <v>3.345910876077462E-3</v>
      </c>
    </row>
    <row r="129" spans="1:5" x14ac:dyDescent="0.35">
      <c r="A129" s="33">
        <v>43656</v>
      </c>
      <c r="B129" s="34">
        <v>103</v>
      </c>
      <c r="C129" s="34">
        <v>33840.050000000003</v>
      </c>
      <c r="D129" s="37">
        <f t="shared" si="2"/>
        <v>9.7096805515148229E-5</v>
      </c>
      <c r="E129" s="37">
        <f t="shared" si="3"/>
        <v>-4.5871315747651747E-4</v>
      </c>
    </row>
    <row r="130" spans="1:5" x14ac:dyDescent="0.35">
      <c r="A130" s="35">
        <v>43657</v>
      </c>
      <c r="B130" s="36">
        <v>103</v>
      </c>
      <c r="C130" s="36">
        <v>33875.4</v>
      </c>
      <c r="D130" s="37">
        <f t="shared" si="2"/>
        <v>0</v>
      </c>
      <c r="E130" s="37">
        <f t="shared" si="3"/>
        <v>1.0446202059393689E-3</v>
      </c>
    </row>
    <row r="131" spans="1:5" x14ac:dyDescent="0.35">
      <c r="A131" s="33">
        <v>43658</v>
      </c>
      <c r="B131" s="34">
        <v>103</v>
      </c>
      <c r="C131" s="34">
        <v>33672.49</v>
      </c>
      <c r="D131" s="37">
        <f t="shared" si="2"/>
        <v>0</v>
      </c>
      <c r="E131" s="37">
        <f t="shared" si="3"/>
        <v>-5.9898923702746973E-3</v>
      </c>
    </row>
    <row r="132" spans="1:5" x14ac:dyDescent="0.35">
      <c r="A132" s="35">
        <v>43661</v>
      </c>
      <c r="B132" s="36">
        <v>102.99</v>
      </c>
      <c r="C132" s="36">
        <v>32958.35</v>
      </c>
      <c r="D132" s="37">
        <f t="shared" si="2"/>
        <v>-9.7087378640826362E-5</v>
      </c>
      <c r="E132" s="37">
        <f t="shared" si="3"/>
        <v>-2.1208410782808145E-2</v>
      </c>
    </row>
    <row r="133" spans="1:5" x14ac:dyDescent="0.35">
      <c r="A133" s="33">
        <v>43663</v>
      </c>
      <c r="B133" s="34">
        <v>103</v>
      </c>
      <c r="C133" s="34">
        <v>32981.99</v>
      </c>
      <c r="D133" s="37">
        <f t="shared" ref="D133:D196" si="4">(B133-B132)/B132</f>
        <v>9.7096805515148229E-5</v>
      </c>
      <c r="E133" s="37">
        <f t="shared" ref="E133:E196" si="5">(C133-C132)/C132</f>
        <v>7.1726891667815349E-4</v>
      </c>
    </row>
    <row r="134" spans="1:5" x14ac:dyDescent="0.35">
      <c r="A134" s="35">
        <v>43664</v>
      </c>
      <c r="B134" s="36">
        <v>103</v>
      </c>
      <c r="C134" s="36">
        <v>32309.54</v>
      </c>
      <c r="D134" s="37">
        <f t="shared" si="4"/>
        <v>0</v>
      </c>
      <c r="E134" s="37">
        <f t="shared" si="5"/>
        <v>-2.0388399850948872E-2</v>
      </c>
    </row>
    <row r="135" spans="1:5" x14ac:dyDescent="0.35">
      <c r="A135" s="33">
        <v>43665</v>
      </c>
      <c r="B135" s="34">
        <v>102.17</v>
      </c>
      <c r="C135" s="34">
        <v>32458.77</v>
      </c>
      <c r="D135" s="37">
        <f t="shared" si="4"/>
        <v>-8.0582524271844494E-3</v>
      </c>
      <c r="E135" s="37">
        <f t="shared" si="5"/>
        <v>4.6187596604594051E-3</v>
      </c>
    </row>
    <row r="136" spans="1:5" x14ac:dyDescent="0.35">
      <c r="A136" s="35">
        <v>43668</v>
      </c>
      <c r="B136" s="36">
        <v>102.17</v>
      </c>
      <c r="C136" s="36">
        <v>32584.55</v>
      </c>
      <c r="D136" s="37">
        <f t="shared" si="4"/>
        <v>0</v>
      </c>
      <c r="E136" s="37">
        <f t="shared" si="5"/>
        <v>3.8750698193430878E-3</v>
      </c>
    </row>
    <row r="137" spans="1:5" x14ac:dyDescent="0.35">
      <c r="A137" s="33">
        <v>43669</v>
      </c>
      <c r="B137" s="34">
        <v>102</v>
      </c>
      <c r="C137" s="34">
        <v>32715.88</v>
      </c>
      <c r="D137" s="37">
        <f t="shared" si="4"/>
        <v>-1.6638935108153246E-3</v>
      </c>
      <c r="E137" s="37">
        <f t="shared" si="5"/>
        <v>4.0304377381305484E-3</v>
      </c>
    </row>
    <row r="138" spans="1:5" x14ac:dyDescent="0.35">
      <c r="A138" s="35">
        <v>43670</v>
      </c>
      <c r="B138" s="36">
        <v>102</v>
      </c>
      <c r="C138" s="36">
        <v>32401.4</v>
      </c>
      <c r="D138" s="37">
        <f t="shared" si="4"/>
        <v>0</v>
      </c>
      <c r="E138" s="37">
        <f t="shared" si="5"/>
        <v>-9.6124573143072899E-3</v>
      </c>
    </row>
    <row r="139" spans="1:5" x14ac:dyDescent="0.35">
      <c r="A139" s="33">
        <v>43671</v>
      </c>
      <c r="B139" s="34">
        <v>102</v>
      </c>
      <c r="C139" s="34">
        <v>32446.400000000001</v>
      </c>
      <c r="D139" s="37">
        <f t="shared" si="4"/>
        <v>0</v>
      </c>
      <c r="E139" s="37">
        <f t="shared" si="5"/>
        <v>1.3888288777645409E-3</v>
      </c>
    </row>
    <row r="140" spans="1:5" x14ac:dyDescent="0.35">
      <c r="A140" s="35">
        <v>43672</v>
      </c>
      <c r="B140" s="36">
        <v>101.99</v>
      </c>
      <c r="C140" s="36">
        <v>32103.27</v>
      </c>
      <c r="D140" s="37">
        <f t="shared" si="4"/>
        <v>-9.8039215686324664E-5</v>
      </c>
      <c r="E140" s="37">
        <f t="shared" si="5"/>
        <v>-1.0575287242960729E-2</v>
      </c>
    </row>
    <row r="141" spans="1:5" x14ac:dyDescent="0.35">
      <c r="A141" s="33">
        <v>43675</v>
      </c>
      <c r="B141" s="34">
        <v>101.32</v>
      </c>
      <c r="C141" s="34">
        <v>31734.23</v>
      </c>
      <c r="D141" s="37">
        <f t="shared" si="4"/>
        <v>-6.5692714972056254E-3</v>
      </c>
      <c r="E141" s="37">
        <f t="shared" si="5"/>
        <v>-1.1495402181771541E-2</v>
      </c>
    </row>
    <row r="142" spans="1:5" x14ac:dyDescent="0.35">
      <c r="A142" s="35">
        <v>43676</v>
      </c>
      <c r="B142" s="36">
        <v>100.81</v>
      </c>
      <c r="C142" s="36">
        <v>31658.12</v>
      </c>
      <c r="D142" s="37">
        <f t="shared" si="4"/>
        <v>-5.0335570469797761E-3</v>
      </c>
      <c r="E142" s="37">
        <f t="shared" si="5"/>
        <v>-2.3983566010582448E-3</v>
      </c>
    </row>
    <row r="143" spans="1:5" x14ac:dyDescent="0.35">
      <c r="A143" s="33">
        <v>43677</v>
      </c>
      <c r="B143" s="34">
        <v>100.7</v>
      </c>
      <c r="C143" s="34">
        <v>31938.48</v>
      </c>
      <c r="D143" s="37">
        <f t="shared" si="4"/>
        <v>-1.0911615911119873E-3</v>
      </c>
      <c r="E143" s="37">
        <f t="shared" si="5"/>
        <v>8.8558638352498695E-3</v>
      </c>
    </row>
    <row r="144" spans="1:5" x14ac:dyDescent="0.35">
      <c r="A144" s="35">
        <v>43678</v>
      </c>
      <c r="B144" s="36">
        <v>99.97</v>
      </c>
      <c r="C144" s="36">
        <v>31839.11</v>
      </c>
      <c r="D144" s="37">
        <f t="shared" si="4"/>
        <v>-7.2492552135055011E-3</v>
      </c>
      <c r="E144" s="37">
        <f t="shared" si="5"/>
        <v>-3.1112939626431499E-3</v>
      </c>
    </row>
    <row r="145" spans="1:5" x14ac:dyDescent="0.35">
      <c r="A145" s="33">
        <v>43682</v>
      </c>
      <c r="B145" s="34">
        <v>99.6</v>
      </c>
      <c r="C145" s="34">
        <v>31180.799999999999</v>
      </c>
      <c r="D145" s="37">
        <f t="shared" si="4"/>
        <v>-3.7011103330999756E-3</v>
      </c>
      <c r="E145" s="37">
        <f t="shared" si="5"/>
        <v>-2.0676143271592746E-2</v>
      </c>
    </row>
    <row r="146" spans="1:5" x14ac:dyDescent="0.35">
      <c r="A146" s="35">
        <v>43683</v>
      </c>
      <c r="B146" s="36">
        <v>99</v>
      </c>
      <c r="C146" s="36">
        <v>31000.67</v>
      </c>
      <c r="D146" s="37">
        <f t="shared" si="4"/>
        <v>-6.0240963855421117E-3</v>
      </c>
      <c r="E146" s="37">
        <f t="shared" si="5"/>
        <v>-5.7769524835796712E-3</v>
      </c>
    </row>
    <row r="147" spans="1:5" x14ac:dyDescent="0.35">
      <c r="A147" s="33">
        <v>43684</v>
      </c>
      <c r="B147" s="34">
        <v>97.85</v>
      </c>
      <c r="C147" s="34">
        <v>30277.45</v>
      </c>
      <c r="D147" s="37">
        <f t="shared" si="4"/>
        <v>-1.1616161616161674E-2</v>
      </c>
      <c r="E147" s="37">
        <f t="shared" si="5"/>
        <v>-2.3329173208191875E-2</v>
      </c>
    </row>
    <row r="148" spans="1:5" x14ac:dyDescent="0.35">
      <c r="A148" s="35">
        <v>43685</v>
      </c>
      <c r="B148" s="36">
        <v>94.55</v>
      </c>
      <c r="C148" s="36">
        <v>29737.98</v>
      </c>
      <c r="D148" s="37">
        <f t="shared" si="4"/>
        <v>-3.3725089422585564E-2</v>
      </c>
      <c r="E148" s="37">
        <f t="shared" si="5"/>
        <v>-1.7817550685411129E-2</v>
      </c>
    </row>
    <row r="149" spans="1:5" x14ac:dyDescent="0.35">
      <c r="A149" s="33">
        <v>43686</v>
      </c>
      <c r="B149" s="34">
        <v>93.86</v>
      </c>
      <c r="C149" s="34">
        <v>29429.07</v>
      </c>
      <c r="D149" s="37">
        <f t="shared" si="4"/>
        <v>-7.2977260708619544E-3</v>
      </c>
      <c r="E149" s="37">
        <f t="shared" si="5"/>
        <v>-1.0387726402398545E-2</v>
      </c>
    </row>
    <row r="150" spans="1:5" x14ac:dyDescent="0.35">
      <c r="A150" s="35">
        <v>43693</v>
      </c>
      <c r="B150" s="36">
        <v>93</v>
      </c>
      <c r="C150" s="36">
        <v>28764.63</v>
      </c>
      <c r="D150" s="37">
        <f t="shared" si="4"/>
        <v>-9.1625825697847791E-3</v>
      </c>
      <c r="E150" s="37">
        <f t="shared" si="5"/>
        <v>-2.2577675747143852E-2</v>
      </c>
    </row>
    <row r="151" spans="1:5" x14ac:dyDescent="0.35">
      <c r="A151" s="33">
        <v>43696</v>
      </c>
      <c r="B151" s="34">
        <v>93.48</v>
      </c>
      <c r="C151" s="34">
        <v>29562.42</v>
      </c>
      <c r="D151" s="37">
        <f t="shared" si="4"/>
        <v>5.1612903225806877E-3</v>
      </c>
      <c r="E151" s="37">
        <f t="shared" si="5"/>
        <v>2.7735103841071387E-2</v>
      </c>
    </row>
    <row r="152" spans="1:5" x14ac:dyDescent="0.35">
      <c r="A152" s="35">
        <v>43697</v>
      </c>
      <c r="B152" s="36">
        <v>95.02</v>
      </c>
      <c r="C152" s="36">
        <v>30419.22</v>
      </c>
      <c r="D152" s="37">
        <f t="shared" si="4"/>
        <v>1.6474112109542062E-2</v>
      </c>
      <c r="E152" s="37">
        <f t="shared" si="5"/>
        <v>2.8982742278879842E-2</v>
      </c>
    </row>
    <row r="153" spans="1:5" x14ac:dyDescent="0.35">
      <c r="A153" s="33">
        <v>43698</v>
      </c>
      <c r="B153" s="34">
        <v>94.23</v>
      </c>
      <c r="C153" s="34">
        <v>30972.75</v>
      </c>
      <c r="D153" s="37">
        <f t="shared" si="4"/>
        <v>-8.3140391496526207E-3</v>
      </c>
      <c r="E153" s="37">
        <f t="shared" si="5"/>
        <v>1.8196719048022888E-2</v>
      </c>
    </row>
    <row r="154" spans="1:5" x14ac:dyDescent="0.35">
      <c r="A154" s="35">
        <v>43699</v>
      </c>
      <c r="B154" s="36">
        <v>93.77</v>
      </c>
      <c r="C154" s="36">
        <v>31884.45</v>
      </c>
      <c r="D154" s="37">
        <f t="shared" si="4"/>
        <v>-4.8816725034490924E-3</v>
      </c>
      <c r="E154" s="37">
        <f t="shared" si="5"/>
        <v>2.9435552219289559E-2</v>
      </c>
    </row>
    <row r="155" spans="1:5" x14ac:dyDescent="0.35">
      <c r="A155" s="33">
        <v>43700</v>
      </c>
      <c r="B155" s="34">
        <v>92.88</v>
      </c>
      <c r="C155" s="34">
        <v>31350.01</v>
      </c>
      <c r="D155" s="37">
        <f t="shared" si="4"/>
        <v>-9.4913085208488922E-3</v>
      </c>
      <c r="E155" s="37">
        <f t="shared" si="5"/>
        <v>-1.6761775724530369E-2</v>
      </c>
    </row>
    <row r="156" spans="1:5" x14ac:dyDescent="0.35">
      <c r="A156" s="35">
        <v>43703</v>
      </c>
      <c r="B156" s="36">
        <v>92.02</v>
      </c>
      <c r="C156" s="36">
        <v>30520.6</v>
      </c>
      <c r="D156" s="37">
        <f t="shared" si="4"/>
        <v>-9.2592592592592535E-3</v>
      </c>
      <c r="E156" s="37">
        <f t="shared" si="5"/>
        <v>-2.6456450891084241E-2</v>
      </c>
    </row>
    <row r="157" spans="1:5" x14ac:dyDescent="0.35">
      <c r="A157" s="33">
        <v>43704</v>
      </c>
      <c r="B157" s="34">
        <v>90.9</v>
      </c>
      <c r="C157" s="34">
        <v>30584.85</v>
      </c>
      <c r="D157" s="37">
        <f t="shared" si="4"/>
        <v>-1.2171267115844276E-2</v>
      </c>
      <c r="E157" s="37">
        <f t="shared" si="5"/>
        <v>2.1051355477939493E-3</v>
      </c>
    </row>
    <row r="158" spans="1:5" x14ac:dyDescent="0.35">
      <c r="A158" s="35">
        <v>43705</v>
      </c>
      <c r="B158" s="36">
        <v>92.07</v>
      </c>
      <c r="C158" s="36">
        <v>30637.71</v>
      </c>
      <c r="D158" s="37">
        <f t="shared" si="4"/>
        <v>1.2871287128712734E-2</v>
      </c>
      <c r="E158" s="37">
        <f t="shared" si="5"/>
        <v>1.7283066616315132E-3</v>
      </c>
    </row>
    <row r="159" spans="1:5" x14ac:dyDescent="0.35">
      <c r="A159" s="33">
        <v>43706</v>
      </c>
      <c r="B159" s="34">
        <v>91.4</v>
      </c>
      <c r="C159" s="34">
        <v>30158.959999999999</v>
      </c>
      <c r="D159" s="37">
        <f t="shared" si="4"/>
        <v>-7.2770717932006904E-3</v>
      </c>
      <c r="E159" s="37">
        <f t="shared" si="5"/>
        <v>-1.5626167882651806E-2</v>
      </c>
    </row>
    <row r="160" spans="1:5" x14ac:dyDescent="0.35">
      <c r="A160" s="35">
        <v>43707</v>
      </c>
      <c r="B160" s="36">
        <v>91.8</v>
      </c>
      <c r="C160" s="36">
        <v>29672.12</v>
      </c>
      <c r="D160" s="37">
        <f t="shared" si="4"/>
        <v>4.3763676148795561E-3</v>
      </c>
      <c r="E160" s="37">
        <f t="shared" si="5"/>
        <v>-1.6142466451097789E-2</v>
      </c>
    </row>
    <row r="161" spans="1:5" x14ac:dyDescent="0.35">
      <c r="A161" s="33">
        <v>43710</v>
      </c>
      <c r="B161" s="34">
        <v>90.8</v>
      </c>
      <c r="C161" s="34">
        <v>30057.29</v>
      </c>
      <c r="D161" s="37">
        <f t="shared" si="4"/>
        <v>-1.0893246187363835E-2</v>
      </c>
      <c r="E161" s="37">
        <f t="shared" si="5"/>
        <v>1.2980872280106777E-2</v>
      </c>
    </row>
    <row r="162" spans="1:5" x14ac:dyDescent="0.35">
      <c r="A162" s="35">
        <v>43711</v>
      </c>
      <c r="B162" s="36">
        <v>90</v>
      </c>
      <c r="C162" s="36">
        <v>29809.68</v>
      </c>
      <c r="D162" s="37">
        <f t="shared" si="4"/>
        <v>-8.8105726872246392E-3</v>
      </c>
      <c r="E162" s="37">
        <f t="shared" si="5"/>
        <v>-8.2379349568773696E-3</v>
      </c>
    </row>
    <row r="163" spans="1:5" x14ac:dyDescent="0.35">
      <c r="A163" s="33">
        <v>43712</v>
      </c>
      <c r="B163" s="34">
        <v>88.73</v>
      </c>
      <c r="C163" s="34">
        <v>30244.73</v>
      </c>
      <c r="D163" s="37">
        <f t="shared" si="4"/>
        <v>-1.4111111111111067E-2</v>
      </c>
      <c r="E163" s="37">
        <f t="shared" si="5"/>
        <v>1.4594252605193992E-2</v>
      </c>
    </row>
    <row r="164" spans="1:5" x14ac:dyDescent="0.35">
      <c r="A164" s="35">
        <v>43713</v>
      </c>
      <c r="B164" s="36">
        <v>88.73</v>
      </c>
      <c r="C164" s="36">
        <v>30214.77</v>
      </c>
      <c r="D164" s="37">
        <f t="shared" si="4"/>
        <v>0</v>
      </c>
      <c r="E164" s="37">
        <f t="shared" si="5"/>
        <v>-9.9058579792245228E-4</v>
      </c>
    </row>
    <row r="165" spans="1:5" x14ac:dyDescent="0.35">
      <c r="A165" s="33">
        <v>43714</v>
      </c>
      <c r="B165" s="34">
        <v>89.39</v>
      </c>
      <c r="C165" s="34">
        <v>30467.200000000001</v>
      </c>
      <c r="D165" s="37">
        <f t="shared" si="4"/>
        <v>7.4382959540177677E-3</v>
      </c>
      <c r="E165" s="37">
        <f t="shared" si="5"/>
        <v>8.354523301021332E-3</v>
      </c>
    </row>
    <row r="166" spans="1:5" x14ac:dyDescent="0.35">
      <c r="A166" s="35">
        <v>43719</v>
      </c>
      <c r="B166" s="36">
        <v>87.53</v>
      </c>
      <c r="C166" s="36">
        <v>30954.83</v>
      </c>
      <c r="D166" s="37">
        <f t="shared" si="4"/>
        <v>-2.0807696610359094E-2</v>
      </c>
      <c r="E166" s="37">
        <f t="shared" si="5"/>
        <v>1.6005080873857821E-2</v>
      </c>
    </row>
    <row r="167" spans="1:5" x14ac:dyDescent="0.35">
      <c r="A167" s="33">
        <v>43720</v>
      </c>
      <c r="B167" s="34">
        <v>87.5</v>
      </c>
      <c r="C167" s="34">
        <v>31546.61</v>
      </c>
      <c r="D167" s="37">
        <f t="shared" si="4"/>
        <v>-3.4273963212614114E-4</v>
      </c>
      <c r="E167" s="37">
        <f t="shared" si="5"/>
        <v>1.9117533515771168E-2</v>
      </c>
    </row>
    <row r="168" spans="1:5" x14ac:dyDescent="0.35">
      <c r="A168" s="35">
        <v>43721</v>
      </c>
      <c r="B168" s="36">
        <v>87.6</v>
      </c>
      <c r="C168" s="36">
        <v>31481.31</v>
      </c>
      <c r="D168" s="37">
        <f t="shared" si="4"/>
        <v>1.1428571428570779E-3</v>
      </c>
      <c r="E168" s="37">
        <f t="shared" si="5"/>
        <v>-2.0699529997042243E-3</v>
      </c>
    </row>
    <row r="169" spans="1:5" x14ac:dyDescent="0.35">
      <c r="A169" s="33">
        <v>43724</v>
      </c>
      <c r="B169" s="34">
        <v>87.4</v>
      </c>
      <c r="C169" s="34">
        <v>31928.55</v>
      </c>
      <c r="D169" s="37">
        <f t="shared" si="4"/>
        <v>-2.2831050228309204E-3</v>
      </c>
      <c r="E169" s="37">
        <f t="shared" si="5"/>
        <v>1.4206524442597781E-2</v>
      </c>
    </row>
    <row r="170" spans="1:5" x14ac:dyDescent="0.35">
      <c r="A170" s="35">
        <v>43725</v>
      </c>
      <c r="B170" s="36">
        <v>87.4</v>
      </c>
      <c r="C170" s="36">
        <v>31908.92</v>
      </c>
      <c r="D170" s="37">
        <f t="shared" si="4"/>
        <v>0</v>
      </c>
      <c r="E170" s="37">
        <f t="shared" si="5"/>
        <v>-6.1481025602481228E-4</v>
      </c>
    </row>
    <row r="171" spans="1:5" x14ac:dyDescent="0.35">
      <c r="A171" s="33">
        <v>43726</v>
      </c>
      <c r="B171" s="34">
        <v>88.4</v>
      </c>
      <c r="C171" s="34">
        <v>31555.47</v>
      </c>
      <c r="D171" s="37">
        <f t="shared" si="4"/>
        <v>1.1441647597254004E-2</v>
      </c>
      <c r="E171" s="37">
        <f t="shared" si="5"/>
        <v>-1.1076839955723889E-2</v>
      </c>
    </row>
    <row r="172" spans="1:5" x14ac:dyDescent="0.35">
      <c r="A172" s="35">
        <v>43727</v>
      </c>
      <c r="B172" s="36">
        <v>87.77</v>
      </c>
      <c r="C172" s="36">
        <v>32184.03</v>
      </c>
      <c r="D172" s="37">
        <f t="shared" si="4"/>
        <v>-7.1266968325792946E-3</v>
      </c>
      <c r="E172" s="37">
        <f t="shared" si="5"/>
        <v>1.9919208935883309E-2</v>
      </c>
    </row>
    <row r="173" spans="1:5" x14ac:dyDescent="0.35">
      <c r="A173" s="33">
        <v>43728</v>
      </c>
      <c r="B173" s="34">
        <v>87.31</v>
      </c>
      <c r="C173" s="34">
        <v>32111.1</v>
      </c>
      <c r="D173" s="37">
        <f t="shared" si="4"/>
        <v>-5.2409707189243907E-3</v>
      </c>
      <c r="E173" s="37">
        <f t="shared" si="5"/>
        <v>-2.2660306990765389E-3</v>
      </c>
    </row>
    <row r="174" spans="1:5" x14ac:dyDescent="0.35">
      <c r="A174" s="35">
        <v>43731</v>
      </c>
      <c r="B174" s="36">
        <v>88.74</v>
      </c>
      <c r="C174" s="36">
        <v>31751.21</v>
      </c>
      <c r="D174" s="37">
        <f t="shared" si="4"/>
        <v>1.637842171572549E-2</v>
      </c>
      <c r="E174" s="37">
        <f t="shared" si="5"/>
        <v>-1.1207650936903421E-2</v>
      </c>
    </row>
    <row r="175" spans="1:5" x14ac:dyDescent="0.35">
      <c r="A175" s="33">
        <v>43732</v>
      </c>
      <c r="B175" s="34">
        <v>89.16</v>
      </c>
      <c r="C175" s="34">
        <v>31829.24</v>
      </c>
      <c r="D175" s="37">
        <f t="shared" si="4"/>
        <v>4.7329276538201686E-3</v>
      </c>
      <c r="E175" s="37">
        <f t="shared" si="5"/>
        <v>2.4575441376880592E-3</v>
      </c>
    </row>
    <row r="176" spans="1:5" x14ac:dyDescent="0.35">
      <c r="A176" s="35">
        <v>43733</v>
      </c>
      <c r="B176" s="36">
        <v>93.18</v>
      </c>
      <c r="C176" s="36">
        <v>31565.21</v>
      </c>
      <c r="D176" s="37">
        <f t="shared" si="4"/>
        <v>4.5087483176312365E-2</v>
      </c>
      <c r="E176" s="37">
        <f t="shared" si="5"/>
        <v>-8.295202775812506E-3</v>
      </c>
    </row>
    <row r="177" spans="1:5" x14ac:dyDescent="0.35">
      <c r="A177" s="33">
        <v>43734</v>
      </c>
      <c r="B177" s="34">
        <v>96.44</v>
      </c>
      <c r="C177" s="34">
        <v>31433.89</v>
      </c>
      <c r="D177" s="37">
        <f t="shared" si="4"/>
        <v>3.4986048508263479E-2</v>
      </c>
      <c r="E177" s="37">
        <f t="shared" si="5"/>
        <v>-4.1602764562630725E-3</v>
      </c>
    </row>
    <row r="178" spans="1:5" x14ac:dyDescent="0.35">
      <c r="A178" s="35">
        <v>43735</v>
      </c>
      <c r="B178" s="36">
        <v>97.53</v>
      </c>
      <c r="C178" s="36">
        <v>32070.81</v>
      </c>
      <c r="D178" s="37">
        <f t="shared" si="4"/>
        <v>1.1302364164247236E-2</v>
      </c>
      <c r="E178" s="37">
        <f t="shared" si="5"/>
        <v>2.0262207445530984E-2</v>
      </c>
    </row>
    <row r="179" spans="1:5" x14ac:dyDescent="0.35">
      <c r="A179" s="33">
        <v>43738</v>
      </c>
      <c r="B179" s="34">
        <v>98</v>
      </c>
      <c r="C179" s="34">
        <v>32078.85</v>
      </c>
      <c r="D179" s="37">
        <f t="shared" si="4"/>
        <v>4.8190300420383357E-3</v>
      </c>
      <c r="E179" s="37">
        <f t="shared" si="5"/>
        <v>2.5069525839843877E-4</v>
      </c>
    </row>
    <row r="180" spans="1:5" x14ac:dyDescent="0.35">
      <c r="A180" s="35">
        <v>43739</v>
      </c>
      <c r="B180" s="36">
        <v>99</v>
      </c>
      <c r="C180" s="36">
        <v>32254.32</v>
      </c>
      <c r="D180" s="37">
        <f t="shared" si="4"/>
        <v>1.020408163265306E-2</v>
      </c>
      <c r="E180" s="37">
        <f t="shared" si="5"/>
        <v>5.4699591787112437E-3</v>
      </c>
    </row>
    <row r="181" spans="1:5" x14ac:dyDescent="0.35">
      <c r="A181" s="33">
        <v>43740</v>
      </c>
      <c r="B181" s="34">
        <v>99.2</v>
      </c>
      <c r="C181" s="34">
        <v>32363.35</v>
      </c>
      <c r="D181" s="37">
        <f t="shared" si="4"/>
        <v>2.0202020202020488E-3</v>
      </c>
      <c r="E181" s="37">
        <f t="shared" si="5"/>
        <v>3.3803223878227425E-3</v>
      </c>
    </row>
    <row r="182" spans="1:5" x14ac:dyDescent="0.35">
      <c r="A182" s="35">
        <v>43741</v>
      </c>
      <c r="B182" s="36">
        <v>98.33</v>
      </c>
      <c r="C182" s="36">
        <v>32752.25</v>
      </c>
      <c r="D182" s="37">
        <f t="shared" si="4"/>
        <v>-8.7701612903226256E-3</v>
      </c>
      <c r="E182" s="37">
        <f t="shared" si="5"/>
        <v>1.2016679361067427E-2</v>
      </c>
    </row>
    <row r="183" spans="1:5" x14ac:dyDescent="0.35">
      <c r="A183" s="33">
        <v>43742</v>
      </c>
      <c r="B183" s="34">
        <v>98.05</v>
      </c>
      <c r="C183" s="34">
        <v>33033.32</v>
      </c>
      <c r="D183" s="37">
        <f t="shared" si="4"/>
        <v>-2.8475541543781261E-3</v>
      </c>
      <c r="E183" s="37">
        <f t="shared" si="5"/>
        <v>8.5817004938591908E-3</v>
      </c>
    </row>
    <row r="184" spans="1:5" x14ac:dyDescent="0.35">
      <c r="A184" s="35">
        <v>43745</v>
      </c>
      <c r="B184" s="36">
        <v>100</v>
      </c>
      <c r="C184" s="36">
        <v>33636.82</v>
      </c>
      <c r="D184" s="37">
        <f t="shared" si="4"/>
        <v>1.9887812340642561E-2</v>
      </c>
      <c r="E184" s="37">
        <f t="shared" si="5"/>
        <v>1.8269432197550835E-2</v>
      </c>
    </row>
    <row r="185" spans="1:5" x14ac:dyDescent="0.35">
      <c r="A185" s="33">
        <v>43746</v>
      </c>
      <c r="B185" s="34">
        <v>99.7</v>
      </c>
      <c r="C185" s="34">
        <v>33476.620000000003</v>
      </c>
      <c r="D185" s="37">
        <f t="shared" si="4"/>
        <v>-2.9999999999999714E-3</v>
      </c>
      <c r="E185" s="37">
        <f t="shared" si="5"/>
        <v>-4.7626380852885944E-3</v>
      </c>
    </row>
    <row r="186" spans="1:5" x14ac:dyDescent="0.35">
      <c r="A186" s="35">
        <v>43747</v>
      </c>
      <c r="B186" s="36">
        <v>98.4</v>
      </c>
      <c r="C186" s="36">
        <v>33523.74</v>
      </c>
      <c r="D186" s="37">
        <f t="shared" si="4"/>
        <v>-1.3039117352056139E-2</v>
      </c>
      <c r="E186" s="37">
        <f t="shared" si="5"/>
        <v>1.4075495076861207E-3</v>
      </c>
    </row>
    <row r="187" spans="1:5" x14ac:dyDescent="0.35">
      <c r="A187" s="33">
        <v>43748</v>
      </c>
      <c r="B187" s="34">
        <v>98.4</v>
      </c>
      <c r="C187" s="34">
        <v>34027.699999999997</v>
      </c>
      <c r="D187" s="37">
        <f t="shared" si="4"/>
        <v>0</v>
      </c>
      <c r="E187" s="37">
        <f t="shared" si="5"/>
        <v>1.5032928903517304E-2</v>
      </c>
    </row>
    <row r="188" spans="1:5" x14ac:dyDescent="0.35">
      <c r="A188" s="35">
        <v>43749</v>
      </c>
      <c r="B188" s="36">
        <v>99.73</v>
      </c>
      <c r="C188" s="36">
        <v>34475.69</v>
      </c>
      <c r="D188" s="37">
        <f t="shared" si="4"/>
        <v>1.3516260162601608E-2</v>
      </c>
      <c r="E188" s="37">
        <f t="shared" si="5"/>
        <v>1.3165450500621708E-2</v>
      </c>
    </row>
    <row r="189" spans="1:5" x14ac:dyDescent="0.35">
      <c r="A189" s="33">
        <v>43752</v>
      </c>
      <c r="B189" s="34">
        <v>98.2</v>
      </c>
      <c r="C189" s="34">
        <v>34186.26</v>
      </c>
      <c r="D189" s="37">
        <f t="shared" si="4"/>
        <v>-1.5341421838965218E-2</v>
      </c>
      <c r="E189" s="37">
        <f t="shared" si="5"/>
        <v>-8.3951909301887874E-3</v>
      </c>
    </row>
    <row r="190" spans="1:5" x14ac:dyDescent="0.35">
      <c r="A190" s="35">
        <v>43753</v>
      </c>
      <c r="B190" s="36">
        <v>98.27</v>
      </c>
      <c r="C190" s="36">
        <v>34083.53</v>
      </c>
      <c r="D190" s="37">
        <f t="shared" si="4"/>
        <v>7.1283095723007311E-4</v>
      </c>
      <c r="E190" s="37">
        <f t="shared" si="5"/>
        <v>-3.0050084449133423E-3</v>
      </c>
    </row>
    <row r="191" spans="1:5" x14ac:dyDescent="0.35">
      <c r="A191" s="33">
        <v>43754</v>
      </c>
      <c r="B191" s="34">
        <v>98.27</v>
      </c>
      <c r="C191" s="34">
        <v>34281.089999999997</v>
      </c>
      <c r="D191" s="37">
        <f t="shared" si="4"/>
        <v>0</v>
      </c>
      <c r="E191" s="37">
        <f t="shared" si="5"/>
        <v>5.7963479721730021E-3</v>
      </c>
    </row>
    <row r="192" spans="1:5" x14ac:dyDescent="0.35">
      <c r="A192" s="35">
        <v>43755</v>
      </c>
      <c r="B192" s="36">
        <v>100.85</v>
      </c>
      <c r="C192" s="36">
        <v>33898.559999999998</v>
      </c>
      <c r="D192" s="37">
        <f t="shared" si="4"/>
        <v>2.6254197618805316E-2</v>
      </c>
      <c r="E192" s="37">
        <f t="shared" si="5"/>
        <v>-1.1158630020223945E-2</v>
      </c>
    </row>
    <row r="193" spans="1:5" x14ac:dyDescent="0.35">
      <c r="A193" s="33">
        <v>43756</v>
      </c>
      <c r="B193" s="34">
        <v>98.45</v>
      </c>
      <c r="C193" s="34">
        <v>33870.15</v>
      </c>
      <c r="D193" s="37">
        <f t="shared" si="4"/>
        <v>-2.3797719385225499E-2</v>
      </c>
      <c r="E193" s="37">
        <f t="shared" si="5"/>
        <v>-8.3808869757288267E-4</v>
      </c>
    </row>
    <row r="194" spans="1:5" x14ac:dyDescent="0.35">
      <c r="A194" s="35">
        <v>43759</v>
      </c>
      <c r="B194" s="36">
        <v>98.45</v>
      </c>
      <c r="C194" s="36">
        <v>33084.730000000003</v>
      </c>
      <c r="D194" s="37">
        <f t="shared" si="4"/>
        <v>0</v>
      </c>
      <c r="E194" s="37">
        <f t="shared" si="5"/>
        <v>-2.318915032853407E-2</v>
      </c>
    </row>
    <row r="195" spans="1:5" x14ac:dyDescent="0.35">
      <c r="A195" s="33">
        <v>43760</v>
      </c>
      <c r="B195" s="34">
        <v>98.04</v>
      </c>
      <c r="C195" s="34">
        <v>33198.959999999999</v>
      </c>
      <c r="D195" s="37">
        <f t="shared" si="4"/>
        <v>-4.1645505332655822E-3</v>
      </c>
      <c r="E195" s="37">
        <f t="shared" si="5"/>
        <v>3.4526502105350692E-3</v>
      </c>
    </row>
    <row r="196" spans="1:5" x14ac:dyDescent="0.35">
      <c r="A196" s="35">
        <v>43761</v>
      </c>
      <c r="B196" s="36">
        <v>101.14</v>
      </c>
      <c r="C196" s="36">
        <v>33439.69</v>
      </c>
      <c r="D196" s="37">
        <f t="shared" si="4"/>
        <v>3.1619747042023603E-2</v>
      </c>
      <c r="E196" s="37">
        <f t="shared" si="5"/>
        <v>7.2511307583130076E-3</v>
      </c>
    </row>
    <row r="197" spans="1:5" x14ac:dyDescent="0.35">
      <c r="A197" s="33">
        <v>43762</v>
      </c>
      <c r="B197" s="34">
        <v>100</v>
      </c>
      <c r="C197" s="34">
        <v>33762.480000000003</v>
      </c>
      <c r="D197" s="37">
        <f t="shared" ref="D197:D260" si="6">(B197-B196)/B196</f>
        <v>-1.1271504844769633E-2</v>
      </c>
      <c r="E197" s="37">
        <f t="shared" ref="E197:E260" si="7">(C197-C196)/C196</f>
        <v>9.65290049040529E-3</v>
      </c>
    </row>
    <row r="198" spans="1:5" x14ac:dyDescent="0.35">
      <c r="A198" s="35">
        <v>43763</v>
      </c>
      <c r="B198" s="36">
        <v>101.3</v>
      </c>
      <c r="C198" s="36">
        <v>33657.46</v>
      </c>
      <c r="D198" s="37">
        <f t="shared" si="6"/>
        <v>1.2999999999999972E-2</v>
      </c>
      <c r="E198" s="37">
        <f t="shared" si="7"/>
        <v>-3.110553490146579E-3</v>
      </c>
    </row>
    <row r="199" spans="1:5" x14ac:dyDescent="0.35">
      <c r="A199" s="33">
        <v>43766</v>
      </c>
      <c r="B199" s="34">
        <v>101</v>
      </c>
      <c r="C199" s="34">
        <v>33861.589999999997</v>
      </c>
      <c r="D199" s="37">
        <f t="shared" si="6"/>
        <v>-2.9615004935833874E-3</v>
      </c>
      <c r="E199" s="37">
        <f t="shared" si="7"/>
        <v>6.0649258737883781E-3</v>
      </c>
    </row>
    <row r="200" spans="1:5" x14ac:dyDescent="0.35">
      <c r="A200" s="35">
        <v>43767</v>
      </c>
      <c r="B200" s="36">
        <v>102.97</v>
      </c>
      <c r="C200" s="36">
        <v>33797.51</v>
      </c>
      <c r="D200" s="37">
        <f t="shared" si="6"/>
        <v>1.9504950495049495E-2</v>
      </c>
      <c r="E200" s="37">
        <f t="shared" si="7"/>
        <v>-1.8924096594399281E-3</v>
      </c>
    </row>
    <row r="201" spans="1:5" x14ac:dyDescent="0.35">
      <c r="A201" s="33">
        <v>43768</v>
      </c>
      <c r="B201" s="34">
        <v>101.06</v>
      </c>
      <c r="C201" s="34">
        <v>33761.410000000003</v>
      </c>
      <c r="D201" s="37">
        <f t="shared" si="6"/>
        <v>-1.8549091968534492E-2</v>
      </c>
      <c r="E201" s="37">
        <f t="shared" si="7"/>
        <v>-1.0681260246686382E-3</v>
      </c>
    </row>
    <row r="202" spans="1:5" x14ac:dyDescent="0.35">
      <c r="A202" s="35">
        <v>43769</v>
      </c>
      <c r="B202" s="36">
        <v>104</v>
      </c>
      <c r="C202" s="36">
        <v>34203.68</v>
      </c>
      <c r="D202" s="37">
        <f t="shared" si="6"/>
        <v>2.9091628735404686E-2</v>
      </c>
      <c r="E202" s="37">
        <f t="shared" si="7"/>
        <v>1.3099867570696744E-2</v>
      </c>
    </row>
    <row r="203" spans="1:5" x14ac:dyDescent="0.35">
      <c r="A203" s="33">
        <v>43770</v>
      </c>
      <c r="B203" s="34">
        <v>104</v>
      </c>
      <c r="C203" s="34">
        <v>34377.61</v>
      </c>
      <c r="D203" s="37">
        <f t="shared" si="6"/>
        <v>0</v>
      </c>
      <c r="E203" s="37">
        <f t="shared" si="7"/>
        <v>5.0851253432379288E-3</v>
      </c>
    </row>
    <row r="204" spans="1:5" x14ac:dyDescent="0.35">
      <c r="A204" s="35">
        <v>43773</v>
      </c>
      <c r="B204" s="36">
        <v>107.96</v>
      </c>
      <c r="C204" s="36">
        <v>35277.46</v>
      </c>
      <c r="D204" s="37">
        <f t="shared" si="6"/>
        <v>3.8076923076923015E-2</v>
      </c>
      <c r="E204" s="37">
        <f t="shared" si="7"/>
        <v>2.6175467113624201E-2</v>
      </c>
    </row>
    <row r="205" spans="1:5" x14ac:dyDescent="0.35">
      <c r="A205" s="33">
        <v>43774</v>
      </c>
      <c r="B205" s="34">
        <v>107.93</v>
      </c>
      <c r="C205" s="34">
        <v>35358.31</v>
      </c>
      <c r="D205" s="37">
        <f t="shared" si="6"/>
        <v>-2.7788069655415825E-4</v>
      </c>
      <c r="E205" s="37">
        <f t="shared" si="7"/>
        <v>2.2918316681529382E-3</v>
      </c>
    </row>
    <row r="206" spans="1:5" x14ac:dyDescent="0.35">
      <c r="A206" s="35">
        <v>43775</v>
      </c>
      <c r="B206" s="36">
        <v>107</v>
      </c>
      <c r="C206" s="36">
        <v>35653.33</v>
      </c>
      <c r="D206" s="37">
        <f t="shared" si="6"/>
        <v>-8.6166960066710527E-3</v>
      </c>
      <c r="E206" s="37">
        <f t="shared" si="7"/>
        <v>8.3437245728091667E-3</v>
      </c>
    </row>
    <row r="207" spans="1:5" x14ac:dyDescent="0.35">
      <c r="A207" s="33">
        <v>43776</v>
      </c>
      <c r="B207" s="34">
        <v>107</v>
      </c>
      <c r="C207" s="34">
        <v>35758.519999999997</v>
      </c>
      <c r="D207" s="37">
        <f t="shared" si="6"/>
        <v>0</v>
      </c>
      <c r="E207" s="37">
        <f t="shared" si="7"/>
        <v>2.9503555488363934E-3</v>
      </c>
    </row>
    <row r="208" spans="1:5" x14ac:dyDescent="0.35">
      <c r="A208" s="35">
        <v>43777</v>
      </c>
      <c r="B208" s="36">
        <v>107.8</v>
      </c>
      <c r="C208" s="36">
        <v>35978.160000000003</v>
      </c>
      <c r="D208" s="37">
        <f t="shared" si="6"/>
        <v>7.476635514018665E-3</v>
      </c>
      <c r="E208" s="37">
        <f t="shared" si="7"/>
        <v>6.14231237758181E-3</v>
      </c>
    </row>
    <row r="209" spans="1:5" x14ac:dyDescent="0.35">
      <c r="A209" s="33">
        <v>43780</v>
      </c>
      <c r="B209" s="34">
        <v>111.55</v>
      </c>
      <c r="C209" s="34">
        <v>36803.1</v>
      </c>
      <c r="D209" s="37">
        <f t="shared" si="6"/>
        <v>3.4786641929499075E-2</v>
      </c>
      <c r="E209" s="37">
        <f t="shared" si="7"/>
        <v>2.2928910205524546E-2</v>
      </c>
    </row>
    <row r="210" spans="1:5" x14ac:dyDescent="0.35">
      <c r="A210" s="35">
        <v>43781</v>
      </c>
      <c r="B210" s="36">
        <v>111.6</v>
      </c>
      <c r="C210" s="36">
        <v>36765.56</v>
      </c>
      <c r="D210" s="37">
        <f t="shared" si="6"/>
        <v>4.4822949350064689E-4</v>
      </c>
      <c r="E210" s="37">
        <f t="shared" si="7"/>
        <v>-1.0200227698210444E-3</v>
      </c>
    </row>
    <row r="211" spans="1:5" x14ac:dyDescent="0.35">
      <c r="A211" s="33">
        <v>43782</v>
      </c>
      <c r="B211" s="34">
        <v>117.04</v>
      </c>
      <c r="C211" s="34">
        <v>37166.959999999999</v>
      </c>
      <c r="D211" s="37">
        <f t="shared" si="6"/>
        <v>4.8745519713261756E-2</v>
      </c>
      <c r="E211" s="37">
        <f t="shared" si="7"/>
        <v>1.0917826357058113E-2</v>
      </c>
    </row>
    <row r="212" spans="1:5" x14ac:dyDescent="0.35">
      <c r="A212" s="35">
        <v>43783</v>
      </c>
      <c r="B212" s="36">
        <v>114.69</v>
      </c>
      <c r="C212" s="36">
        <v>37243.199999999997</v>
      </c>
      <c r="D212" s="37">
        <f t="shared" si="6"/>
        <v>-2.0078605604921466E-2</v>
      </c>
      <c r="E212" s="37">
        <f t="shared" si="7"/>
        <v>2.0512842589223861E-3</v>
      </c>
    </row>
    <row r="213" spans="1:5" x14ac:dyDescent="0.35">
      <c r="A213" s="33">
        <v>43784</v>
      </c>
      <c r="B213" s="34">
        <v>115.9</v>
      </c>
      <c r="C213" s="34">
        <v>37583.89</v>
      </c>
      <c r="D213" s="37">
        <f t="shared" si="6"/>
        <v>1.0550178742697777E-2</v>
      </c>
      <c r="E213" s="37">
        <f t="shared" si="7"/>
        <v>9.1477101860205981E-3</v>
      </c>
    </row>
    <row r="214" spans="1:5" x14ac:dyDescent="0.35">
      <c r="A214" s="35">
        <v>43787</v>
      </c>
      <c r="B214" s="36">
        <v>115.28</v>
      </c>
      <c r="C214" s="36">
        <v>38411.56</v>
      </c>
      <c r="D214" s="37">
        <f t="shared" si="6"/>
        <v>-5.3494391716997804E-3</v>
      </c>
      <c r="E214" s="37">
        <f t="shared" si="7"/>
        <v>2.2021935462241887E-2</v>
      </c>
    </row>
    <row r="215" spans="1:5" x14ac:dyDescent="0.35">
      <c r="A215" s="33">
        <v>43788</v>
      </c>
      <c r="B215" s="34">
        <v>113.24</v>
      </c>
      <c r="C215" s="34">
        <v>38564.370000000003</v>
      </c>
      <c r="D215" s="37">
        <f t="shared" si="6"/>
        <v>-1.769604441360172E-2</v>
      </c>
      <c r="E215" s="37">
        <f t="shared" si="7"/>
        <v>3.9782294705032794E-3</v>
      </c>
    </row>
    <row r="216" spans="1:5" x14ac:dyDescent="0.35">
      <c r="A216" s="35">
        <v>43789</v>
      </c>
      <c r="B216" s="36">
        <v>111.44</v>
      </c>
      <c r="C216" s="36">
        <v>38037.68</v>
      </c>
      <c r="D216" s="37">
        <f t="shared" si="6"/>
        <v>-1.5895443306252182E-2</v>
      </c>
      <c r="E216" s="37">
        <f t="shared" si="7"/>
        <v>-1.3657425234743944E-2</v>
      </c>
    </row>
    <row r="217" spans="1:5" x14ac:dyDescent="0.35">
      <c r="A217" s="33">
        <v>43790</v>
      </c>
      <c r="B217" s="34">
        <v>105.87</v>
      </c>
      <c r="C217" s="34">
        <v>37101.31</v>
      </c>
      <c r="D217" s="37">
        <f t="shared" si="6"/>
        <v>-4.9982053122756581E-2</v>
      </c>
      <c r="E217" s="37">
        <f t="shared" si="7"/>
        <v>-2.4616906183552799E-2</v>
      </c>
    </row>
    <row r="218" spans="1:5" x14ac:dyDescent="0.35">
      <c r="A218" s="35">
        <v>43791</v>
      </c>
      <c r="B218" s="36">
        <v>107.33</v>
      </c>
      <c r="C218" s="36">
        <v>37925.79</v>
      </c>
      <c r="D218" s="37">
        <f t="shared" si="6"/>
        <v>1.3790497780296531E-2</v>
      </c>
      <c r="E218" s="37">
        <f t="shared" si="7"/>
        <v>2.2222395920791026E-2</v>
      </c>
    </row>
    <row r="219" spans="1:5" x14ac:dyDescent="0.35">
      <c r="A219" s="33">
        <v>43794</v>
      </c>
      <c r="B219" s="34">
        <v>108.87</v>
      </c>
      <c r="C219" s="34">
        <v>38212.28</v>
      </c>
      <c r="D219" s="37">
        <f t="shared" si="6"/>
        <v>1.4348271685456129E-2</v>
      </c>
      <c r="E219" s="37">
        <f t="shared" si="7"/>
        <v>7.5539626201589459E-3</v>
      </c>
    </row>
    <row r="220" spans="1:5" x14ac:dyDescent="0.35">
      <c r="A220" s="35">
        <v>43795</v>
      </c>
      <c r="B220" s="36">
        <v>109.76</v>
      </c>
      <c r="C220" s="36">
        <v>37795.050000000003</v>
      </c>
      <c r="D220" s="37">
        <f t="shared" si="6"/>
        <v>8.1748874804813132E-3</v>
      </c>
      <c r="E220" s="37">
        <f t="shared" si="7"/>
        <v>-1.0918741305151013E-2</v>
      </c>
    </row>
    <row r="221" spans="1:5" x14ac:dyDescent="0.35">
      <c r="A221" s="33">
        <v>43796</v>
      </c>
      <c r="B221" s="34">
        <v>114.51</v>
      </c>
      <c r="C221" s="34">
        <v>38122.720000000001</v>
      </c>
      <c r="D221" s="37">
        <f t="shared" si="6"/>
        <v>4.327623906705539E-2</v>
      </c>
      <c r="E221" s="37">
        <f t="shared" si="7"/>
        <v>8.6696538303295857E-3</v>
      </c>
    </row>
    <row r="222" spans="1:5" x14ac:dyDescent="0.35">
      <c r="A222" s="35">
        <v>43797</v>
      </c>
      <c r="B222" s="36">
        <v>120.23</v>
      </c>
      <c r="C222" s="36">
        <v>38706.269999999997</v>
      </c>
      <c r="D222" s="37">
        <f t="shared" si="6"/>
        <v>4.9951969260326599E-2</v>
      </c>
      <c r="E222" s="37">
        <f t="shared" si="7"/>
        <v>1.5307144925650521E-2</v>
      </c>
    </row>
    <row r="223" spans="1:5" x14ac:dyDescent="0.35">
      <c r="A223" s="33">
        <v>43798</v>
      </c>
      <c r="B223" s="34">
        <v>126.24</v>
      </c>
      <c r="C223" s="34">
        <v>39287.65</v>
      </c>
      <c r="D223" s="37">
        <f t="shared" si="6"/>
        <v>4.9987523912500963E-2</v>
      </c>
      <c r="E223" s="37">
        <f t="shared" si="7"/>
        <v>1.5020305495724716E-2</v>
      </c>
    </row>
    <row r="224" spans="1:5" x14ac:dyDescent="0.35">
      <c r="A224" s="35">
        <v>43801</v>
      </c>
      <c r="B224" s="36">
        <v>125.71</v>
      </c>
      <c r="C224" s="36">
        <v>40124.22</v>
      </c>
      <c r="D224" s="37">
        <f t="shared" si="6"/>
        <v>-4.1983523447401867E-3</v>
      </c>
      <c r="E224" s="37">
        <f t="shared" si="7"/>
        <v>2.1293459904066538E-2</v>
      </c>
    </row>
    <row r="225" spans="1:5" x14ac:dyDescent="0.35">
      <c r="A225" s="33">
        <v>43802</v>
      </c>
      <c r="B225" s="34">
        <v>121.38</v>
      </c>
      <c r="C225" s="34">
        <v>39788.730000000003</v>
      </c>
      <c r="D225" s="37">
        <f t="shared" si="6"/>
        <v>-3.4444356057592863E-2</v>
      </c>
      <c r="E225" s="37">
        <f t="shared" si="7"/>
        <v>-8.3612840324372145E-3</v>
      </c>
    </row>
    <row r="226" spans="1:5" x14ac:dyDescent="0.35">
      <c r="A226" s="35">
        <v>43803</v>
      </c>
      <c r="B226" s="36">
        <v>122.93</v>
      </c>
      <c r="C226" s="36">
        <v>40270.519999999997</v>
      </c>
      <c r="D226" s="37">
        <f t="shared" si="6"/>
        <v>1.2769813807876186E-2</v>
      </c>
      <c r="E226" s="37">
        <f t="shared" si="7"/>
        <v>1.2108705153444041E-2</v>
      </c>
    </row>
    <row r="227" spans="1:5" x14ac:dyDescent="0.35">
      <c r="A227" s="33">
        <v>43804</v>
      </c>
      <c r="B227" s="34">
        <v>123.39</v>
      </c>
      <c r="C227" s="34">
        <v>40641.1</v>
      </c>
      <c r="D227" s="37">
        <f t="shared" si="6"/>
        <v>3.741966973074056E-3</v>
      </c>
      <c r="E227" s="37">
        <f t="shared" si="7"/>
        <v>9.2022650812555139E-3</v>
      </c>
    </row>
    <row r="228" spans="1:5" x14ac:dyDescent="0.35">
      <c r="A228" s="35">
        <v>43805</v>
      </c>
      <c r="B228" s="36">
        <v>124.71</v>
      </c>
      <c r="C228" s="36">
        <v>40732.25</v>
      </c>
      <c r="D228" s="37">
        <f t="shared" si="6"/>
        <v>1.0697787503039088E-2</v>
      </c>
      <c r="E228" s="37">
        <f t="shared" si="7"/>
        <v>2.2428034674258682E-3</v>
      </c>
    </row>
    <row r="229" spans="1:5" x14ac:dyDescent="0.35">
      <c r="A229" s="33">
        <v>43808</v>
      </c>
      <c r="B229" s="34">
        <v>122.51</v>
      </c>
      <c r="C229" s="34">
        <v>40442.800000000003</v>
      </c>
      <c r="D229" s="37">
        <f t="shared" si="6"/>
        <v>-1.7640926950525129E-2</v>
      </c>
      <c r="E229" s="37">
        <f t="shared" si="7"/>
        <v>-7.1061628071122287E-3</v>
      </c>
    </row>
    <row r="230" spans="1:5" x14ac:dyDescent="0.35">
      <c r="A230" s="35">
        <v>43809</v>
      </c>
      <c r="B230" s="36">
        <v>122.33</v>
      </c>
      <c r="C230" s="36">
        <v>40664.6</v>
      </c>
      <c r="D230" s="37">
        <f t="shared" si="6"/>
        <v>-1.4692678148723109E-3</v>
      </c>
      <c r="E230" s="37">
        <f t="shared" si="7"/>
        <v>5.4842889216373649E-3</v>
      </c>
    </row>
    <row r="231" spans="1:5" x14ac:dyDescent="0.35">
      <c r="A231" s="33">
        <v>43810</v>
      </c>
      <c r="B231" s="34">
        <v>123.63</v>
      </c>
      <c r="C231" s="34">
        <v>40531.42</v>
      </c>
      <c r="D231" s="37">
        <f t="shared" si="6"/>
        <v>1.0626992561105185E-2</v>
      </c>
      <c r="E231" s="37">
        <f t="shared" si="7"/>
        <v>-3.2750844715059364E-3</v>
      </c>
    </row>
    <row r="232" spans="1:5" x14ac:dyDescent="0.35">
      <c r="A232" s="35">
        <v>43811</v>
      </c>
      <c r="B232" s="36">
        <v>124.91</v>
      </c>
      <c r="C232" s="36">
        <v>40514.17</v>
      </c>
      <c r="D232" s="37">
        <f t="shared" si="6"/>
        <v>1.0353474075871562E-2</v>
      </c>
      <c r="E232" s="37">
        <f t="shared" si="7"/>
        <v>-4.2559574769401122E-4</v>
      </c>
    </row>
    <row r="233" spans="1:5" x14ac:dyDescent="0.35">
      <c r="A233" s="33">
        <v>43812</v>
      </c>
      <c r="B233" s="34">
        <v>131.15</v>
      </c>
      <c r="C233" s="34">
        <v>40916.589999999997</v>
      </c>
      <c r="D233" s="37">
        <f t="shared" si="6"/>
        <v>4.9955968297174039E-2</v>
      </c>
      <c r="E233" s="37">
        <f t="shared" si="7"/>
        <v>9.9328210352081329E-3</v>
      </c>
    </row>
    <row r="234" spans="1:5" x14ac:dyDescent="0.35">
      <c r="A234" s="35">
        <v>43815</v>
      </c>
      <c r="B234" s="36">
        <v>131.77000000000001</v>
      </c>
      <c r="C234" s="36">
        <v>41644.879999999997</v>
      </c>
      <c r="D234" s="37">
        <f t="shared" si="6"/>
        <v>4.7274113610370153E-3</v>
      </c>
      <c r="E234" s="37">
        <f t="shared" si="7"/>
        <v>1.7799381620022609E-2</v>
      </c>
    </row>
    <row r="235" spans="1:5" x14ac:dyDescent="0.35">
      <c r="A235" s="33">
        <v>43816</v>
      </c>
      <c r="B235" s="34">
        <v>130.96</v>
      </c>
      <c r="C235" s="34">
        <v>41768.660000000003</v>
      </c>
      <c r="D235" s="37">
        <f t="shared" si="6"/>
        <v>-6.1470744479016634E-3</v>
      </c>
      <c r="E235" s="37">
        <f t="shared" si="7"/>
        <v>2.9722741427038839E-3</v>
      </c>
    </row>
    <row r="236" spans="1:5" x14ac:dyDescent="0.35">
      <c r="A236" s="35">
        <v>43817</v>
      </c>
      <c r="B236" s="36">
        <v>132.01</v>
      </c>
      <c r="C236" s="36">
        <v>41603.71</v>
      </c>
      <c r="D236" s="37">
        <f t="shared" si="6"/>
        <v>8.0177153329259541E-3</v>
      </c>
      <c r="E236" s="37">
        <f t="shared" si="7"/>
        <v>-3.9491331539006601E-3</v>
      </c>
    </row>
    <row r="237" spans="1:5" x14ac:dyDescent="0.35">
      <c r="A237" s="33">
        <v>43818</v>
      </c>
      <c r="B237" s="34">
        <v>128.02000000000001</v>
      </c>
      <c r="C237" s="34">
        <v>40655.370000000003</v>
      </c>
      <c r="D237" s="37">
        <f t="shared" si="6"/>
        <v>-3.0224982955836536E-2</v>
      </c>
      <c r="E237" s="37">
        <f t="shared" si="7"/>
        <v>-2.2794601731432041E-2</v>
      </c>
    </row>
    <row r="238" spans="1:5" x14ac:dyDescent="0.35">
      <c r="A238" s="35">
        <v>43819</v>
      </c>
      <c r="B238" s="36">
        <v>129.61000000000001</v>
      </c>
      <c r="C238" s="36">
        <v>40832.99</v>
      </c>
      <c r="D238" s="37">
        <f t="shared" si="6"/>
        <v>1.2419934385252331E-2</v>
      </c>
      <c r="E238" s="37">
        <f t="shared" si="7"/>
        <v>4.3689185463075438E-3</v>
      </c>
    </row>
    <row r="239" spans="1:5" x14ac:dyDescent="0.35">
      <c r="A239" s="33">
        <v>43822</v>
      </c>
      <c r="B239" s="34">
        <v>125.34</v>
      </c>
      <c r="C239" s="34">
        <v>40008.29</v>
      </c>
      <c r="D239" s="37">
        <f t="shared" si="6"/>
        <v>-3.2944988812591697E-2</v>
      </c>
      <c r="E239" s="37">
        <f t="shared" si="7"/>
        <v>-2.0196904512748078E-2</v>
      </c>
    </row>
    <row r="240" spans="1:5" x14ac:dyDescent="0.35">
      <c r="A240" s="35">
        <v>43823</v>
      </c>
      <c r="B240" s="36">
        <v>127.26</v>
      </c>
      <c r="C240" s="36">
        <v>40328.32</v>
      </c>
      <c r="D240" s="37">
        <f t="shared" si="6"/>
        <v>1.531833413116325E-2</v>
      </c>
      <c r="E240" s="37">
        <f t="shared" si="7"/>
        <v>7.9990921881439771E-3</v>
      </c>
    </row>
    <row r="241" spans="1:5" x14ac:dyDescent="0.35">
      <c r="A241" s="33">
        <v>43825</v>
      </c>
      <c r="B241" s="34">
        <v>132.91</v>
      </c>
      <c r="C241" s="34">
        <v>41127.79</v>
      </c>
      <c r="D241" s="37">
        <f t="shared" si="6"/>
        <v>4.4397296872544331E-2</v>
      </c>
      <c r="E241" s="37">
        <f t="shared" si="7"/>
        <v>1.9824034326250167E-2</v>
      </c>
    </row>
    <row r="242" spans="1:5" x14ac:dyDescent="0.35">
      <c r="A242" s="35">
        <v>43826</v>
      </c>
      <c r="B242" s="36">
        <v>135.62</v>
      </c>
      <c r="C242" s="36">
        <v>40848.53</v>
      </c>
      <c r="D242" s="37">
        <f t="shared" si="6"/>
        <v>2.0389737416296804E-2</v>
      </c>
      <c r="E242" s="37">
        <f t="shared" si="7"/>
        <v>-6.7900560667130917E-3</v>
      </c>
    </row>
    <row r="243" spans="1:5" x14ac:dyDescent="0.35">
      <c r="A243" s="33">
        <v>43829</v>
      </c>
      <c r="B243" s="34">
        <v>134.82</v>
      </c>
      <c r="C243" s="34">
        <v>40887.620000000003</v>
      </c>
      <c r="D243" s="37">
        <f t="shared" si="6"/>
        <v>-5.8988349800915153E-3</v>
      </c>
      <c r="E243" s="37">
        <f t="shared" si="7"/>
        <v>9.5694998081947589E-4</v>
      </c>
    </row>
    <row r="244" spans="1:5" x14ac:dyDescent="0.35">
      <c r="A244" s="35">
        <v>43830</v>
      </c>
      <c r="B244" s="36">
        <v>134.97</v>
      </c>
      <c r="C244" s="36">
        <v>40735.08</v>
      </c>
      <c r="D244" s="37">
        <f t="shared" si="6"/>
        <v>1.112594570538538E-3</v>
      </c>
      <c r="E244" s="37">
        <f t="shared" si="7"/>
        <v>-3.7307135998622776E-3</v>
      </c>
    </row>
    <row r="245" spans="1:5" x14ac:dyDescent="0.35">
      <c r="A245" s="33">
        <v>43831</v>
      </c>
      <c r="B245" s="34">
        <v>135.88999999999999</v>
      </c>
      <c r="C245" s="34">
        <v>41400</v>
      </c>
      <c r="D245" s="37">
        <f t="shared" si="6"/>
        <v>6.8163295547157702E-3</v>
      </c>
      <c r="E245" s="37">
        <f t="shared" si="7"/>
        <v>1.6323031647415404E-2</v>
      </c>
    </row>
    <row r="246" spans="1:5" x14ac:dyDescent="0.35">
      <c r="A246" s="35">
        <v>43832</v>
      </c>
      <c r="B246" s="36">
        <v>136.22999999999999</v>
      </c>
      <c r="C246" s="36">
        <v>42480.76</v>
      </c>
      <c r="D246" s="37">
        <f t="shared" si="6"/>
        <v>2.5020236956362018E-3</v>
      </c>
      <c r="E246" s="37">
        <f t="shared" si="7"/>
        <v>2.6105314009661883E-2</v>
      </c>
    </row>
    <row r="247" spans="1:5" x14ac:dyDescent="0.35">
      <c r="A247" s="33">
        <v>43833</v>
      </c>
      <c r="B247" s="34">
        <v>138.02000000000001</v>
      </c>
      <c r="C247" s="34">
        <v>42323.3</v>
      </c>
      <c r="D247" s="37">
        <f t="shared" si="6"/>
        <v>1.313954341921765E-2</v>
      </c>
      <c r="E247" s="37">
        <f t="shared" si="7"/>
        <v>-3.7066191847791594E-3</v>
      </c>
    </row>
    <row r="248" spans="1:5" x14ac:dyDescent="0.35">
      <c r="A248" s="35">
        <v>43836</v>
      </c>
      <c r="B248" s="36">
        <v>131.66</v>
      </c>
      <c r="C248" s="36">
        <v>41296.239999999998</v>
      </c>
      <c r="D248" s="37">
        <f t="shared" si="6"/>
        <v>-4.6080278220547839E-2</v>
      </c>
      <c r="E248" s="37">
        <f t="shared" si="7"/>
        <v>-2.4267011315280352E-2</v>
      </c>
    </row>
    <row r="249" spans="1:5" x14ac:dyDescent="0.35">
      <c r="A249" s="33">
        <v>43837</v>
      </c>
      <c r="B249" s="34">
        <v>132.30000000000001</v>
      </c>
      <c r="C249" s="34">
        <v>41904.47</v>
      </c>
      <c r="D249" s="37">
        <f t="shared" si="6"/>
        <v>4.8610056205378614E-3</v>
      </c>
      <c r="E249" s="37">
        <f t="shared" si="7"/>
        <v>1.4728459540142232E-2</v>
      </c>
    </row>
    <row r="250" spans="1:5" x14ac:dyDescent="0.35">
      <c r="A250" s="35">
        <v>43838</v>
      </c>
      <c r="B250" s="36">
        <v>129.99</v>
      </c>
      <c r="C250" s="36">
        <v>41357.56</v>
      </c>
      <c r="D250" s="37">
        <f t="shared" si="6"/>
        <v>-1.7460317460317475E-2</v>
      </c>
      <c r="E250" s="37">
        <f t="shared" si="7"/>
        <v>-1.305135227816993E-2</v>
      </c>
    </row>
    <row r="251" spans="1:5" x14ac:dyDescent="0.35">
      <c r="A251" s="33">
        <v>43839</v>
      </c>
      <c r="B251" s="34">
        <v>134.36000000000001</v>
      </c>
      <c r="C251" s="34">
        <v>42523.07</v>
      </c>
      <c r="D251" s="37">
        <f t="shared" si="6"/>
        <v>3.3617970613124118E-2</v>
      </c>
      <c r="E251" s="37">
        <f t="shared" si="7"/>
        <v>2.8181304699793751E-2</v>
      </c>
    </row>
    <row r="252" spans="1:5" x14ac:dyDescent="0.35">
      <c r="A252" s="35">
        <v>43840</v>
      </c>
      <c r="B252" s="36">
        <v>140.44999999999999</v>
      </c>
      <c r="C252" s="36">
        <v>43207.05</v>
      </c>
      <c r="D252" s="37">
        <f t="shared" si="6"/>
        <v>4.5325989877939669E-2</v>
      </c>
      <c r="E252" s="37">
        <f t="shared" si="7"/>
        <v>1.6084915788065236E-2</v>
      </c>
    </row>
    <row r="253" spans="1:5" x14ac:dyDescent="0.35">
      <c r="A253" s="33">
        <v>43843</v>
      </c>
      <c r="B253" s="34">
        <v>144.09</v>
      </c>
      <c r="C253" s="34">
        <v>43218.67</v>
      </c>
      <c r="D253" s="37">
        <f t="shared" si="6"/>
        <v>2.5916696333214775E-2</v>
      </c>
      <c r="E253" s="37">
        <f t="shared" si="7"/>
        <v>2.6893759236039816E-4</v>
      </c>
    </row>
    <row r="254" spans="1:5" x14ac:dyDescent="0.35">
      <c r="A254" s="35">
        <v>43844</v>
      </c>
      <c r="B254" s="36">
        <v>145.63</v>
      </c>
      <c r="C254" s="36">
        <v>43207.040000000001</v>
      </c>
      <c r="D254" s="37">
        <f t="shared" si="6"/>
        <v>1.0687764591574654E-2</v>
      </c>
      <c r="E254" s="37">
        <f t="shared" si="7"/>
        <v>-2.6909666586216979E-4</v>
      </c>
    </row>
    <row r="255" spans="1:5" x14ac:dyDescent="0.35">
      <c r="A255" s="33">
        <v>43845</v>
      </c>
      <c r="B255" s="34">
        <v>143.26</v>
      </c>
      <c r="C255" s="34">
        <v>42993.03</v>
      </c>
      <c r="D255" s="37">
        <f t="shared" si="6"/>
        <v>-1.6274119343541886E-2</v>
      </c>
      <c r="E255" s="37">
        <f t="shared" si="7"/>
        <v>-4.9531280087689884E-3</v>
      </c>
    </row>
    <row r="256" spans="1:5" x14ac:dyDescent="0.35">
      <c r="A256" s="35">
        <v>43846</v>
      </c>
      <c r="B256" s="36">
        <v>142.16999999999999</v>
      </c>
      <c r="C256" s="36">
        <v>43065.1</v>
      </c>
      <c r="D256" s="37">
        <f t="shared" si="6"/>
        <v>-7.6085439061845837E-3</v>
      </c>
      <c r="E256" s="37">
        <f t="shared" si="7"/>
        <v>1.676318231117921E-3</v>
      </c>
    </row>
    <row r="257" spans="1:5" x14ac:dyDescent="0.35">
      <c r="A257" s="33">
        <v>43847</v>
      </c>
      <c r="B257" s="34">
        <v>143.16</v>
      </c>
      <c r="C257" s="34">
        <v>43167.77</v>
      </c>
      <c r="D257" s="37">
        <f t="shared" si="6"/>
        <v>6.9634944081030398E-3</v>
      </c>
      <c r="E257" s="37">
        <f t="shared" si="7"/>
        <v>2.3840650549980902E-3</v>
      </c>
    </row>
    <row r="258" spans="1:5" x14ac:dyDescent="0.35">
      <c r="A258" s="35">
        <v>43850</v>
      </c>
      <c r="B258" s="36">
        <v>142.55000000000001</v>
      </c>
      <c r="C258" s="36">
        <v>42747.63</v>
      </c>
      <c r="D258" s="37">
        <f t="shared" si="6"/>
        <v>-4.26096675048886E-3</v>
      </c>
      <c r="E258" s="37">
        <f t="shared" si="7"/>
        <v>-9.7327242060453768E-3</v>
      </c>
    </row>
    <row r="259" spans="1:5" x14ac:dyDescent="0.35">
      <c r="A259" s="33">
        <v>43851</v>
      </c>
      <c r="B259" s="34">
        <v>139.36000000000001</v>
      </c>
      <c r="C259" s="34">
        <v>42626.48</v>
      </c>
      <c r="D259" s="37">
        <f t="shared" si="6"/>
        <v>-2.2378112942827062E-2</v>
      </c>
      <c r="E259" s="37">
        <f t="shared" si="7"/>
        <v>-2.8340752458088131E-3</v>
      </c>
    </row>
    <row r="260" spans="1:5" x14ac:dyDescent="0.35">
      <c r="A260" s="35">
        <v>43852</v>
      </c>
      <c r="B260" s="36">
        <v>135.72</v>
      </c>
      <c r="C260" s="36">
        <v>42561.27</v>
      </c>
      <c r="D260" s="37">
        <f t="shared" si="6"/>
        <v>-2.611940298507473E-2</v>
      </c>
      <c r="E260" s="37">
        <f t="shared" si="7"/>
        <v>-1.5298002556159082E-3</v>
      </c>
    </row>
    <row r="261" spans="1:5" x14ac:dyDescent="0.35">
      <c r="A261" s="33">
        <v>43853</v>
      </c>
      <c r="B261" s="34">
        <v>135.81</v>
      </c>
      <c r="C261" s="34">
        <v>42506.95</v>
      </c>
      <c r="D261" s="37">
        <f t="shared" ref="D261:D324" si="8">(B261-B260)/B260</f>
        <v>6.6312997347482618E-4</v>
      </c>
      <c r="E261" s="37">
        <f t="shared" ref="E261:E324" si="9">(C261-C260)/C260</f>
        <v>-1.2762777050590764E-3</v>
      </c>
    </row>
    <row r="262" spans="1:5" x14ac:dyDescent="0.35">
      <c r="A262" s="35">
        <v>43854</v>
      </c>
      <c r="B262" s="36">
        <v>136.77000000000001</v>
      </c>
      <c r="C262" s="36">
        <v>42633.03</v>
      </c>
      <c r="D262" s="37">
        <f t="shared" si="8"/>
        <v>7.0686989176055367E-3</v>
      </c>
      <c r="E262" s="37">
        <f t="shared" si="9"/>
        <v>2.9661031901842346E-3</v>
      </c>
    </row>
    <row r="263" spans="1:5" x14ac:dyDescent="0.35">
      <c r="A263" s="33">
        <v>43857</v>
      </c>
      <c r="B263" s="34">
        <v>136.96</v>
      </c>
      <c r="C263" s="34">
        <v>42539.23</v>
      </c>
      <c r="D263" s="37">
        <f t="shared" si="8"/>
        <v>1.3891935365942657E-3</v>
      </c>
      <c r="E263" s="37">
        <f t="shared" si="9"/>
        <v>-2.2001720262433996E-3</v>
      </c>
    </row>
    <row r="264" spans="1:5" x14ac:dyDescent="0.35">
      <c r="A264" s="35">
        <v>43858</v>
      </c>
      <c r="B264" s="36">
        <v>144.5</v>
      </c>
      <c r="C264" s="36">
        <v>42299.19</v>
      </c>
      <c r="D264" s="37">
        <f t="shared" si="8"/>
        <v>5.5052570093457882E-2</v>
      </c>
      <c r="E264" s="37">
        <f t="shared" si="9"/>
        <v>-5.6427913716350971E-3</v>
      </c>
    </row>
    <row r="265" spans="1:5" x14ac:dyDescent="0.35">
      <c r="A265" s="33">
        <v>43859</v>
      </c>
      <c r="B265" s="34">
        <v>143.22</v>
      </c>
      <c r="C265" s="34">
        <v>41898.699999999997</v>
      </c>
      <c r="D265" s="37">
        <f t="shared" si="8"/>
        <v>-8.858131487889281E-3</v>
      </c>
      <c r="E265" s="37">
        <f t="shared" si="9"/>
        <v>-9.4680300024658909E-3</v>
      </c>
    </row>
    <row r="266" spans="1:5" x14ac:dyDescent="0.35">
      <c r="A266" s="35">
        <v>43860</v>
      </c>
      <c r="B266" s="36">
        <v>142.06</v>
      </c>
      <c r="C266" s="36">
        <v>41903.51</v>
      </c>
      <c r="D266" s="37">
        <f t="shared" si="8"/>
        <v>-8.0994274542661397E-3</v>
      </c>
      <c r="E266" s="37">
        <f t="shared" si="9"/>
        <v>1.1480069787379914E-4</v>
      </c>
    </row>
    <row r="267" spans="1:5" x14ac:dyDescent="0.35">
      <c r="A267" s="33">
        <v>43861</v>
      </c>
      <c r="B267" s="34">
        <v>140.21</v>
      </c>
      <c r="C267" s="34">
        <v>41630.94</v>
      </c>
      <c r="D267" s="37">
        <f t="shared" si="8"/>
        <v>-1.3022666478952515E-2</v>
      </c>
      <c r="E267" s="37">
        <f t="shared" si="9"/>
        <v>-6.5047056917188961E-3</v>
      </c>
    </row>
    <row r="268" spans="1:5" x14ac:dyDescent="0.35">
      <c r="A268" s="35">
        <v>43864</v>
      </c>
      <c r="B268" s="36">
        <v>135.34</v>
      </c>
      <c r="C268" s="36">
        <v>40409.379999999997</v>
      </c>
      <c r="D268" s="37">
        <f t="shared" si="8"/>
        <v>-3.473361386491694E-2</v>
      </c>
      <c r="E268" s="37">
        <f t="shared" si="9"/>
        <v>-2.9342599518531288E-2</v>
      </c>
    </row>
    <row r="269" spans="1:5" x14ac:dyDescent="0.35">
      <c r="A269" s="33">
        <v>43865</v>
      </c>
      <c r="B269" s="34">
        <v>139.12</v>
      </c>
      <c r="C269" s="34">
        <v>40884.25</v>
      </c>
      <c r="D269" s="37">
        <f t="shared" si="8"/>
        <v>2.7929658637505548E-2</v>
      </c>
      <c r="E269" s="37">
        <f t="shared" si="9"/>
        <v>1.1751479483228959E-2</v>
      </c>
    </row>
    <row r="270" spans="1:5" x14ac:dyDescent="0.35">
      <c r="A270" s="35">
        <v>43867</v>
      </c>
      <c r="B270" s="36">
        <v>138.93</v>
      </c>
      <c r="C270" s="36">
        <v>40724.410000000003</v>
      </c>
      <c r="D270" s="37">
        <f t="shared" si="8"/>
        <v>-1.3657274295572003E-3</v>
      </c>
      <c r="E270" s="37">
        <f t="shared" si="9"/>
        <v>-3.9095739802001142E-3</v>
      </c>
    </row>
    <row r="271" spans="1:5" x14ac:dyDescent="0.35">
      <c r="A271" s="33">
        <v>43868</v>
      </c>
      <c r="B271" s="34">
        <v>136.47999999999999</v>
      </c>
      <c r="C271" s="34">
        <v>40143.629999999997</v>
      </c>
      <c r="D271" s="37">
        <f t="shared" si="8"/>
        <v>-1.7634780105089017E-2</v>
      </c>
      <c r="E271" s="37">
        <f t="shared" si="9"/>
        <v>-1.4261225638382632E-2</v>
      </c>
    </row>
    <row r="272" spans="1:5" x14ac:dyDescent="0.35">
      <c r="A272" s="35">
        <v>43871</v>
      </c>
      <c r="B272" s="36">
        <v>135.30000000000001</v>
      </c>
      <c r="C272" s="36">
        <v>39296.699999999997</v>
      </c>
      <c r="D272" s="37">
        <f t="shared" si="8"/>
        <v>-8.6459554513480252E-3</v>
      </c>
      <c r="E272" s="37">
        <f t="shared" si="9"/>
        <v>-2.109749417279903E-2</v>
      </c>
    </row>
    <row r="273" spans="1:5" x14ac:dyDescent="0.35">
      <c r="A273" s="33">
        <v>43872</v>
      </c>
      <c r="B273" s="34">
        <v>137.05000000000001</v>
      </c>
      <c r="C273" s="34">
        <v>39714.46</v>
      </c>
      <c r="D273" s="37">
        <f t="shared" si="8"/>
        <v>1.2934220251293422E-2</v>
      </c>
      <c r="E273" s="37">
        <f t="shared" si="9"/>
        <v>1.0630918117806382E-2</v>
      </c>
    </row>
    <row r="274" spans="1:5" x14ac:dyDescent="0.35">
      <c r="A274" s="35">
        <v>43873</v>
      </c>
      <c r="B274" s="36">
        <v>142.75</v>
      </c>
      <c r="C274" s="36">
        <v>40531.129999999997</v>
      </c>
      <c r="D274" s="37">
        <f t="shared" si="8"/>
        <v>4.1590660342940448E-2</v>
      </c>
      <c r="E274" s="37">
        <f t="shared" si="9"/>
        <v>2.0563542850639244E-2</v>
      </c>
    </row>
    <row r="275" spans="1:5" x14ac:dyDescent="0.35">
      <c r="A275" s="33">
        <v>43874</v>
      </c>
      <c r="B275" s="34">
        <v>141.26</v>
      </c>
      <c r="C275" s="34">
        <v>40455.440000000002</v>
      </c>
      <c r="D275" s="37">
        <f t="shared" si="8"/>
        <v>-1.0437828371278523E-2</v>
      </c>
      <c r="E275" s="37">
        <f t="shared" si="9"/>
        <v>-1.867453485752681E-3</v>
      </c>
    </row>
    <row r="276" spans="1:5" x14ac:dyDescent="0.35">
      <c r="A276" s="35">
        <v>43875</v>
      </c>
      <c r="B276" s="36">
        <v>141.88</v>
      </c>
      <c r="C276" s="36">
        <v>40243.26</v>
      </c>
      <c r="D276" s="37">
        <f t="shared" si="8"/>
        <v>4.3890698003681483E-3</v>
      </c>
      <c r="E276" s="37">
        <f t="shared" si="9"/>
        <v>-5.2447829018792101E-3</v>
      </c>
    </row>
    <row r="277" spans="1:5" x14ac:dyDescent="0.35">
      <c r="A277" s="33">
        <v>43879</v>
      </c>
      <c r="B277" s="34">
        <v>143.19999999999999</v>
      </c>
      <c r="C277" s="34">
        <v>40175.35</v>
      </c>
      <c r="D277" s="37">
        <f t="shared" si="8"/>
        <v>9.3036368762333885E-3</v>
      </c>
      <c r="E277" s="37">
        <f t="shared" si="9"/>
        <v>-1.6874875444982214E-3</v>
      </c>
    </row>
    <row r="278" spans="1:5" x14ac:dyDescent="0.35">
      <c r="A278" s="35">
        <v>43880</v>
      </c>
      <c r="B278" s="36">
        <v>142.63999999999999</v>
      </c>
      <c r="C278" s="36">
        <v>40574.519999999997</v>
      </c>
      <c r="D278" s="37">
        <f t="shared" si="8"/>
        <v>-3.9106145251396806E-3</v>
      </c>
      <c r="E278" s="37">
        <f t="shared" si="9"/>
        <v>9.9356943996753797E-3</v>
      </c>
    </row>
    <row r="279" spans="1:5" x14ac:dyDescent="0.35">
      <c r="A279" s="33">
        <v>43881</v>
      </c>
      <c r="B279" s="34">
        <v>141.72999999999999</v>
      </c>
      <c r="C279" s="34">
        <v>40481.65</v>
      </c>
      <c r="D279" s="37">
        <f t="shared" si="8"/>
        <v>-6.3796971396522482E-3</v>
      </c>
      <c r="E279" s="37">
        <f t="shared" si="9"/>
        <v>-2.2888748899554537E-3</v>
      </c>
    </row>
    <row r="280" spans="1:5" x14ac:dyDescent="0.35">
      <c r="A280" s="35">
        <v>43882</v>
      </c>
      <c r="B280" s="36">
        <v>140.87</v>
      </c>
      <c r="C280" s="36">
        <v>40249.22</v>
      </c>
      <c r="D280" s="37">
        <f t="shared" si="8"/>
        <v>-6.0678755379946752E-3</v>
      </c>
      <c r="E280" s="37">
        <f t="shared" si="9"/>
        <v>-5.7416137929160562E-3</v>
      </c>
    </row>
    <row r="281" spans="1:5" x14ac:dyDescent="0.35">
      <c r="A281" s="33">
        <v>43885</v>
      </c>
      <c r="B281" s="34">
        <v>138.55000000000001</v>
      </c>
      <c r="C281" s="34">
        <v>39143.730000000003</v>
      </c>
      <c r="D281" s="37">
        <f t="shared" si="8"/>
        <v>-1.6469084971959914E-2</v>
      </c>
      <c r="E281" s="37">
        <f t="shared" si="9"/>
        <v>-2.7466122324854941E-2</v>
      </c>
    </row>
    <row r="282" spans="1:5" x14ac:dyDescent="0.35">
      <c r="A282" s="35">
        <v>43886</v>
      </c>
      <c r="B282" s="36">
        <v>136.63999999999999</v>
      </c>
      <c r="C282" s="36">
        <v>38858.449999999997</v>
      </c>
      <c r="D282" s="37">
        <f t="shared" si="8"/>
        <v>-1.3785636954168349E-2</v>
      </c>
      <c r="E282" s="37">
        <f t="shared" si="9"/>
        <v>-7.2880126651191923E-3</v>
      </c>
    </row>
    <row r="283" spans="1:5" x14ac:dyDescent="0.35">
      <c r="A283" s="33">
        <v>43887</v>
      </c>
      <c r="B283" s="34">
        <v>136.16999999999999</v>
      </c>
      <c r="C283" s="34">
        <v>38338.33</v>
      </c>
      <c r="D283" s="37">
        <f t="shared" si="8"/>
        <v>-3.4396955503512802E-3</v>
      </c>
      <c r="E283" s="37">
        <f t="shared" si="9"/>
        <v>-1.3384990909313043E-2</v>
      </c>
    </row>
    <row r="284" spans="1:5" x14ac:dyDescent="0.35">
      <c r="A284" s="35">
        <v>43888</v>
      </c>
      <c r="B284" s="36">
        <v>142.5</v>
      </c>
      <c r="C284" s="36">
        <v>38087.32</v>
      </c>
      <c r="D284" s="37">
        <f t="shared" si="8"/>
        <v>4.648601013439093E-2</v>
      </c>
      <c r="E284" s="37">
        <f t="shared" si="9"/>
        <v>-6.5472335388631177E-3</v>
      </c>
    </row>
    <row r="285" spans="1:5" x14ac:dyDescent="0.35">
      <c r="A285" s="33">
        <v>43889</v>
      </c>
      <c r="B285" s="34">
        <v>138.41</v>
      </c>
      <c r="C285" s="34">
        <v>37983.620000000003</v>
      </c>
      <c r="D285" s="37">
        <f t="shared" si="8"/>
        <v>-2.8701754385964937E-2</v>
      </c>
      <c r="E285" s="37">
        <f t="shared" si="9"/>
        <v>-2.7226909113058383E-3</v>
      </c>
    </row>
    <row r="286" spans="1:5" x14ac:dyDescent="0.35">
      <c r="A286" s="35">
        <v>43892</v>
      </c>
      <c r="B286" s="36">
        <v>142.74</v>
      </c>
      <c r="C286" s="36">
        <v>39296.300000000003</v>
      </c>
      <c r="D286" s="37">
        <f t="shared" si="8"/>
        <v>3.1283866772632125E-2</v>
      </c>
      <c r="E286" s="37">
        <f t="shared" si="9"/>
        <v>3.4559107320471301E-2</v>
      </c>
    </row>
    <row r="287" spans="1:5" x14ac:dyDescent="0.35">
      <c r="A287" s="33">
        <v>43893</v>
      </c>
      <c r="B287" s="34">
        <v>140.53</v>
      </c>
      <c r="C287" s="34">
        <v>39199.68</v>
      </c>
      <c r="D287" s="37">
        <f t="shared" si="8"/>
        <v>-1.5482695810564717E-2</v>
      </c>
      <c r="E287" s="37">
        <f t="shared" si="9"/>
        <v>-2.4587556589297874E-3</v>
      </c>
    </row>
    <row r="288" spans="1:5" x14ac:dyDescent="0.35">
      <c r="A288" s="35">
        <v>43894</v>
      </c>
      <c r="B288" s="36">
        <v>138.16</v>
      </c>
      <c r="C288" s="36">
        <v>38906.400000000001</v>
      </c>
      <c r="D288" s="37">
        <f t="shared" si="8"/>
        <v>-1.6864726392941041E-2</v>
      </c>
      <c r="E288" s="37">
        <f t="shared" si="9"/>
        <v>-7.4816937281120361E-3</v>
      </c>
    </row>
    <row r="289" spans="1:5" x14ac:dyDescent="0.35">
      <c r="A289" s="33">
        <v>43895</v>
      </c>
      <c r="B289" s="34">
        <v>142</v>
      </c>
      <c r="C289" s="34">
        <v>39382.11</v>
      </c>
      <c r="D289" s="37">
        <f t="shared" si="8"/>
        <v>2.7793862188766671E-2</v>
      </c>
      <c r="E289" s="37">
        <f t="shared" si="9"/>
        <v>1.2227037196965001E-2</v>
      </c>
    </row>
    <row r="290" spans="1:5" x14ac:dyDescent="0.35">
      <c r="A290" s="35">
        <v>43896</v>
      </c>
      <c r="B290" s="36">
        <v>138.33000000000001</v>
      </c>
      <c r="C290" s="36">
        <v>38219.67</v>
      </c>
      <c r="D290" s="37">
        <f t="shared" si="8"/>
        <v>-2.5845070422535123E-2</v>
      </c>
      <c r="E290" s="37">
        <f t="shared" si="9"/>
        <v>-2.9516955795410717E-2</v>
      </c>
    </row>
    <row r="291" spans="1:5" x14ac:dyDescent="0.35">
      <c r="A291" s="33">
        <v>43899</v>
      </c>
      <c r="B291" s="34">
        <v>136.09</v>
      </c>
      <c r="C291" s="34">
        <v>37058.949999999997</v>
      </c>
      <c r="D291" s="37">
        <f t="shared" si="8"/>
        <v>-1.6193161280994788E-2</v>
      </c>
      <c r="E291" s="37">
        <f t="shared" si="9"/>
        <v>-3.0369702302505523E-2</v>
      </c>
    </row>
    <row r="292" spans="1:5" x14ac:dyDescent="0.35">
      <c r="A292" s="35">
        <v>43900</v>
      </c>
      <c r="B292" s="36">
        <v>138.01</v>
      </c>
      <c r="C292" s="36">
        <v>37695.75</v>
      </c>
      <c r="D292" s="37">
        <f t="shared" si="8"/>
        <v>1.4108310676757935E-2</v>
      </c>
      <c r="E292" s="37">
        <f t="shared" si="9"/>
        <v>1.7183433421616181E-2</v>
      </c>
    </row>
    <row r="293" spans="1:5" x14ac:dyDescent="0.35">
      <c r="A293" s="33">
        <v>43901</v>
      </c>
      <c r="B293" s="34">
        <v>136.02000000000001</v>
      </c>
      <c r="C293" s="34">
        <v>37673.25</v>
      </c>
      <c r="D293" s="37">
        <f t="shared" si="8"/>
        <v>-1.4419244982247524E-2</v>
      </c>
      <c r="E293" s="37">
        <f t="shared" si="9"/>
        <v>-5.9688426414118299E-4</v>
      </c>
    </row>
    <row r="294" spans="1:5" x14ac:dyDescent="0.35">
      <c r="A294" s="35">
        <v>43902</v>
      </c>
      <c r="B294" s="36">
        <v>128.72999999999999</v>
      </c>
      <c r="C294" s="36">
        <v>35956.69</v>
      </c>
      <c r="D294" s="37">
        <f t="shared" si="8"/>
        <v>-5.3595059550066312E-2</v>
      </c>
      <c r="E294" s="37">
        <f t="shared" si="9"/>
        <v>-4.55644256866609E-2</v>
      </c>
    </row>
    <row r="295" spans="1:5" x14ac:dyDescent="0.35">
      <c r="A295" s="33">
        <v>43903</v>
      </c>
      <c r="B295" s="34">
        <v>132.69999999999999</v>
      </c>
      <c r="C295" s="34">
        <v>36060.879999999997</v>
      </c>
      <c r="D295" s="37">
        <f t="shared" si="8"/>
        <v>3.0839742095859546E-2</v>
      </c>
      <c r="E295" s="37">
        <f t="shared" si="9"/>
        <v>2.8976527038499663E-3</v>
      </c>
    </row>
    <row r="296" spans="1:5" x14ac:dyDescent="0.35">
      <c r="A296" s="35">
        <v>43906</v>
      </c>
      <c r="B296" s="36">
        <v>124.03</v>
      </c>
      <c r="C296" s="36">
        <v>33684.910000000003</v>
      </c>
      <c r="D296" s="37">
        <f t="shared" si="8"/>
        <v>-6.5335342878673611E-2</v>
      </c>
      <c r="E296" s="37">
        <f t="shared" si="9"/>
        <v>-6.5887743172102123E-2</v>
      </c>
    </row>
    <row r="297" spans="1:5" x14ac:dyDescent="0.35">
      <c r="A297" s="33">
        <v>43907</v>
      </c>
      <c r="B297" s="34">
        <v>122</v>
      </c>
      <c r="C297" s="34">
        <v>32616.93</v>
      </c>
      <c r="D297" s="37">
        <f t="shared" si="8"/>
        <v>-1.6367007981939862E-2</v>
      </c>
      <c r="E297" s="37">
        <f t="shared" si="9"/>
        <v>-3.1704997875903577E-2</v>
      </c>
    </row>
    <row r="298" spans="1:5" x14ac:dyDescent="0.35">
      <c r="A298" s="35">
        <v>43908</v>
      </c>
      <c r="B298" s="36">
        <v>112.85</v>
      </c>
      <c r="C298" s="36">
        <v>30416.05</v>
      </c>
      <c r="D298" s="37">
        <f t="shared" si="8"/>
        <v>-7.5000000000000053E-2</v>
      </c>
      <c r="E298" s="37">
        <f t="shared" si="9"/>
        <v>-6.7476614138731045E-2</v>
      </c>
    </row>
    <row r="299" spans="1:5" x14ac:dyDescent="0.35">
      <c r="A299" s="33">
        <v>43909</v>
      </c>
      <c r="B299" s="34">
        <v>105.65</v>
      </c>
      <c r="C299" s="34">
        <v>30129.83</v>
      </c>
      <c r="D299" s="37">
        <f t="shared" si="8"/>
        <v>-6.3801506424457144E-2</v>
      </c>
      <c r="E299" s="37">
        <f t="shared" si="9"/>
        <v>-9.4101633841342826E-3</v>
      </c>
    </row>
    <row r="300" spans="1:5" x14ac:dyDescent="0.35">
      <c r="A300" s="35">
        <v>43910</v>
      </c>
      <c r="B300" s="36">
        <v>110.89</v>
      </c>
      <c r="C300" s="36">
        <v>30667.41</v>
      </c>
      <c r="D300" s="37">
        <f t="shared" si="8"/>
        <v>4.9597728348319874E-2</v>
      </c>
      <c r="E300" s="37">
        <f t="shared" si="9"/>
        <v>1.7842118591442371E-2</v>
      </c>
    </row>
    <row r="301" spans="1:5" x14ac:dyDescent="0.35">
      <c r="A301" s="33">
        <v>43914</v>
      </c>
      <c r="B301" s="34">
        <v>102.63</v>
      </c>
      <c r="C301" s="34">
        <v>28564.83</v>
      </c>
      <c r="D301" s="37">
        <f t="shared" si="8"/>
        <v>-7.4488231580845929E-2</v>
      </c>
      <c r="E301" s="37">
        <f t="shared" si="9"/>
        <v>-6.8560729451883878E-2</v>
      </c>
    </row>
    <row r="302" spans="1:5" x14ac:dyDescent="0.35">
      <c r="A302" s="35">
        <v>43916</v>
      </c>
      <c r="B302" s="36">
        <v>100.2</v>
      </c>
      <c r="C302" s="36">
        <v>27267.200000000001</v>
      </c>
      <c r="D302" s="37">
        <f t="shared" si="8"/>
        <v>-2.3677287342882127E-2</v>
      </c>
      <c r="E302" s="37">
        <f t="shared" si="9"/>
        <v>-4.542754149070731E-2</v>
      </c>
    </row>
    <row r="303" spans="1:5" x14ac:dyDescent="0.35">
      <c r="A303" s="33">
        <v>43917</v>
      </c>
      <c r="B303" s="34">
        <v>99.57</v>
      </c>
      <c r="C303" s="34">
        <v>28109.57</v>
      </c>
      <c r="D303" s="37">
        <f t="shared" si="8"/>
        <v>-6.2874251497006947E-3</v>
      </c>
      <c r="E303" s="37">
        <f t="shared" si="9"/>
        <v>3.089316101396546E-2</v>
      </c>
    </row>
    <row r="304" spans="1:5" x14ac:dyDescent="0.35">
      <c r="A304" s="35">
        <v>43920</v>
      </c>
      <c r="B304" s="36">
        <v>99.97</v>
      </c>
      <c r="C304" s="36">
        <v>28023.39</v>
      </c>
      <c r="D304" s="37">
        <f t="shared" si="8"/>
        <v>4.0172742794014832E-3</v>
      </c>
      <c r="E304" s="37">
        <f t="shared" si="9"/>
        <v>-3.0658597765814378E-3</v>
      </c>
    </row>
    <row r="305" spans="1:5" x14ac:dyDescent="0.35">
      <c r="A305" s="33">
        <v>43921</v>
      </c>
      <c r="B305" s="34">
        <v>101.26</v>
      </c>
      <c r="C305" s="34">
        <v>29231.63</v>
      </c>
      <c r="D305" s="37">
        <f t="shared" si="8"/>
        <v>1.2903871161348467E-2</v>
      </c>
      <c r="E305" s="37">
        <f t="shared" si="9"/>
        <v>4.3115411804210753E-2</v>
      </c>
    </row>
    <row r="306" spans="1:5" x14ac:dyDescent="0.35">
      <c r="A306" s="35">
        <v>43922</v>
      </c>
      <c r="B306" s="36">
        <v>103.23</v>
      </c>
      <c r="C306" s="36">
        <v>29505.57</v>
      </c>
      <c r="D306" s="37">
        <f t="shared" si="8"/>
        <v>1.9454868654947648E-2</v>
      </c>
      <c r="E306" s="37">
        <f t="shared" si="9"/>
        <v>9.3713556171858593E-3</v>
      </c>
    </row>
    <row r="307" spans="1:5" x14ac:dyDescent="0.35">
      <c r="A307" s="33">
        <v>43923</v>
      </c>
      <c r="B307" s="34">
        <v>110.4</v>
      </c>
      <c r="C307" s="34">
        <v>30782.66</v>
      </c>
      <c r="D307" s="37">
        <f t="shared" si="8"/>
        <v>6.9456553327521084E-2</v>
      </c>
      <c r="E307" s="37">
        <f t="shared" si="9"/>
        <v>4.3283014020742527E-2</v>
      </c>
    </row>
    <row r="308" spans="1:5" x14ac:dyDescent="0.35">
      <c r="A308" s="35">
        <v>43924</v>
      </c>
      <c r="B308" s="36">
        <v>118.33</v>
      </c>
      <c r="C308" s="36">
        <v>31621.79</v>
      </c>
      <c r="D308" s="37">
        <f t="shared" si="8"/>
        <v>7.1829710144927464E-2</v>
      </c>
      <c r="E308" s="37">
        <f t="shared" si="9"/>
        <v>2.7259827448310219E-2</v>
      </c>
    </row>
    <row r="309" spans="1:5" x14ac:dyDescent="0.35">
      <c r="A309" s="33">
        <v>43927</v>
      </c>
      <c r="B309" s="34">
        <v>116.26</v>
      </c>
      <c r="C309" s="34">
        <v>30579.15</v>
      </c>
      <c r="D309" s="37">
        <f t="shared" si="8"/>
        <v>-1.7493450519732893E-2</v>
      </c>
      <c r="E309" s="37">
        <f t="shared" si="9"/>
        <v>-3.2972200498453737E-2</v>
      </c>
    </row>
    <row r="310" spans="1:5" x14ac:dyDescent="0.35">
      <c r="A310" s="35">
        <v>43928</v>
      </c>
      <c r="B310" s="36">
        <v>115.14</v>
      </c>
      <c r="C310" s="36">
        <v>31231.55</v>
      </c>
      <c r="D310" s="37">
        <f t="shared" si="8"/>
        <v>-9.6335799071048042E-3</v>
      </c>
      <c r="E310" s="37">
        <f t="shared" si="9"/>
        <v>2.1334798383866059E-2</v>
      </c>
    </row>
    <row r="311" spans="1:5" x14ac:dyDescent="0.35">
      <c r="A311" s="33">
        <v>43929</v>
      </c>
      <c r="B311" s="34">
        <v>115.58</v>
      </c>
      <c r="C311" s="34">
        <v>30971.27</v>
      </c>
      <c r="D311" s="37">
        <f t="shared" si="8"/>
        <v>3.8214347750564334E-3</v>
      </c>
      <c r="E311" s="37">
        <f t="shared" si="9"/>
        <v>-8.3338803229426276E-3</v>
      </c>
    </row>
    <row r="312" spans="1:5" x14ac:dyDescent="0.35">
      <c r="A312" s="35">
        <v>43930</v>
      </c>
      <c r="B312" s="36">
        <v>120.84</v>
      </c>
      <c r="C312" s="36">
        <v>31837.3</v>
      </c>
      <c r="D312" s="37">
        <f t="shared" si="8"/>
        <v>4.550960373767092E-2</v>
      </c>
      <c r="E312" s="37">
        <f t="shared" si="9"/>
        <v>2.7962366412484823E-2</v>
      </c>
    </row>
    <row r="313" spans="1:5" x14ac:dyDescent="0.35">
      <c r="A313" s="33">
        <v>43931</v>
      </c>
      <c r="B313" s="34">
        <v>122</v>
      </c>
      <c r="C313" s="34">
        <v>32033.200000000001</v>
      </c>
      <c r="D313" s="37">
        <f t="shared" si="8"/>
        <v>9.5994703740482999E-3</v>
      </c>
      <c r="E313" s="37">
        <f t="shared" si="9"/>
        <v>6.1531599727364271E-3</v>
      </c>
    </row>
    <row r="314" spans="1:5" x14ac:dyDescent="0.35">
      <c r="A314" s="35">
        <v>43934</v>
      </c>
      <c r="B314" s="36">
        <v>114.19</v>
      </c>
      <c r="C314" s="36">
        <v>31032.99</v>
      </c>
      <c r="D314" s="37">
        <f t="shared" si="8"/>
        <v>-6.4016393442622971E-2</v>
      </c>
      <c r="E314" s="37">
        <f t="shared" si="9"/>
        <v>-3.1224167426295191E-2</v>
      </c>
    </row>
    <row r="315" spans="1:5" x14ac:dyDescent="0.35">
      <c r="A315" s="33">
        <v>43935</v>
      </c>
      <c r="B315" s="34">
        <v>115.49</v>
      </c>
      <c r="C315" s="34">
        <v>31222.74</v>
      </c>
      <c r="D315" s="37">
        <f t="shared" si="8"/>
        <v>1.1384534547683661E-2</v>
      </c>
      <c r="E315" s="37">
        <f t="shared" si="9"/>
        <v>6.1144607722298109E-3</v>
      </c>
    </row>
    <row r="316" spans="1:5" x14ac:dyDescent="0.35">
      <c r="A316" s="35">
        <v>43937</v>
      </c>
      <c r="B316" s="36">
        <v>119.76</v>
      </c>
      <c r="C316" s="36">
        <v>31329.46</v>
      </c>
      <c r="D316" s="37">
        <f t="shared" si="8"/>
        <v>3.6972898086414498E-2</v>
      </c>
      <c r="E316" s="37">
        <f t="shared" si="9"/>
        <v>3.4180216086095428E-3</v>
      </c>
    </row>
    <row r="317" spans="1:5" x14ac:dyDescent="0.35">
      <c r="A317" s="33">
        <v>43938</v>
      </c>
      <c r="B317" s="34">
        <v>128.75</v>
      </c>
      <c r="C317" s="34">
        <v>32831.83</v>
      </c>
      <c r="D317" s="37">
        <f t="shared" si="8"/>
        <v>7.5066800267201028E-2</v>
      </c>
      <c r="E317" s="37">
        <f t="shared" si="9"/>
        <v>4.7953906642502063E-2</v>
      </c>
    </row>
    <row r="318" spans="1:5" x14ac:dyDescent="0.35">
      <c r="A318" s="35">
        <v>43941</v>
      </c>
      <c r="B318" s="36">
        <v>132.09</v>
      </c>
      <c r="C318" s="36">
        <v>33499.65</v>
      </c>
      <c r="D318" s="37">
        <f t="shared" si="8"/>
        <v>2.594174757281556E-2</v>
      </c>
      <c r="E318" s="37">
        <f t="shared" si="9"/>
        <v>2.0340626763722877E-2</v>
      </c>
    </row>
    <row r="319" spans="1:5" x14ac:dyDescent="0.35">
      <c r="A319" s="33">
        <v>43942</v>
      </c>
      <c r="B319" s="34">
        <v>128.02000000000001</v>
      </c>
      <c r="C319" s="34">
        <v>32422.83</v>
      </c>
      <c r="D319" s="37">
        <f t="shared" si="8"/>
        <v>-3.0812324929971935E-2</v>
      </c>
      <c r="E319" s="37">
        <f t="shared" si="9"/>
        <v>-3.2144216432111967E-2</v>
      </c>
    </row>
    <row r="320" spans="1:5" x14ac:dyDescent="0.35">
      <c r="A320" s="35">
        <v>43943</v>
      </c>
      <c r="B320" s="36">
        <v>131.18</v>
      </c>
      <c r="C320" s="36">
        <v>32464.23</v>
      </c>
      <c r="D320" s="37">
        <f t="shared" si="8"/>
        <v>2.468364318075298E-2</v>
      </c>
      <c r="E320" s="37">
        <f t="shared" si="9"/>
        <v>1.2768780516690806E-3</v>
      </c>
    </row>
    <row r="321" spans="1:5" x14ac:dyDescent="0.35">
      <c r="A321" s="33">
        <v>43944</v>
      </c>
      <c r="B321" s="34">
        <v>130.97999999999999</v>
      </c>
      <c r="C321" s="34">
        <v>32850.83</v>
      </c>
      <c r="D321" s="37">
        <f t="shared" si="8"/>
        <v>-1.5246226558927965E-3</v>
      </c>
      <c r="E321" s="37">
        <f t="shared" si="9"/>
        <v>1.190849128409952E-2</v>
      </c>
    </row>
    <row r="322" spans="1:5" x14ac:dyDescent="0.35">
      <c r="A322" s="35">
        <v>43945</v>
      </c>
      <c r="B322" s="36">
        <v>134.97</v>
      </c>
      <c r="C322" s="36">
        <v>32806.379999999997</v>
      </c>
      <c r="D322" s="37">
        <f t="shared" si="8"/>
        <v>3.0462666055886468E-2</v>
      </c>
      <c r="E322" s="37">
        <f t="shared" si="9"/>
        <v>-1.3530860559688861E-3</v>
      </c>
    </row>
    <row r="323" spans="1:5" x14ac:dyDescent="0.35">
      <c r="A323" s="33">
        <v>43948</v>
      </c>
      <c r="B323" s="34">
        <v>130.66999999999999</v>
      </c>
      <c r="C323" s="34">
        <v>32314.57</v>
      </c>
      <c r="D323" s="37">
        <f t="shared" si="8"/>
        <v>-3.1858931614432921E-2</v>
      </c>
      <c r="E323" s="37">
        <f t="shared" si="9"/>
        <v>-1.4991291328089162E-2</v>
      </c>
    </row>
    <row r="324" spans="1:5" x14ac:dyDescent="0.35">
      <c r="A324" s="35">
        <v>43949</v>
      </c>
      <c r="B324" s="36">
        <v>130.56</v>
      </c>
      <c r="C324" s="36">
        <v>32553.39</v>
      </c>
      <c r="D324" s="37">
        <f t="shared" si="8"/>
        <v>-8.4181525981468766E-4</v>
      </c>
      <c r="E324" s="37">
        <f t="shared" si="9"/>
        <v>7.3904743278341541E-3</v>
      </c>
    </row>
    <row r="325" spans="1:5" x14ac:dyDescent="0.35">
      <c r="A325" s="33">
        <v>43950</v>
      </c>
      <c r="B325" s="34">
        <v>131.04</v>
      </c>
      <c r="C325" s="34">
        <v>33158.839999999997</v>
      </c>
      <c r="D325" s="37">
        <f t="shared" ref="D325:D388" si="10">(B325-B324)/B324</f>
        <v>3.6764705882352156E-3</v>
      </c>
      <c r="E325" s="37">
        <f t="shared" ref="E325:E388" si="11">(C325-C324)/C324</f>
        <v>1.859867743420876E-2</v>
      </c>
    </row>
    <row r="326" spans="1:5" x14ac:dyDescent="0.35">
      <c r="A326" s="35">
        <v>43951</v>
      </c>
      <c r="B326" s="36">
        <v>134.65</v>
      </c>
      <c r="C326" s="36">
        <v>34111.64</v>
      </c>
      <c r="D326" s="37">
        <f t="shared" si="10"/>
        <v>2.7548840048840156E-2</v>
      </c>
      <c r="E326" s="37">
        <f t="shared" si="11"/>
        <v>2.873441893624756E-2</v>
      </c>
    </row>
    <row r="327" spans="1:5" x14ac:dyDescent="0.35">
      <c r="A327" s="33">
        <v>43955</v>
      </c>
      <c r="B327" s="34">
        <v>132.65</v>
      </c>
      <c r="C327" s="34">
        <v>33916.639999999999</v>
      </c>
      <c r="D327" s="37">
        <f t="shared" si="10"/>
        <v>-1.4853323431117713E-2</v>
      </c>
      <c r="E327" s="37">
        <f t="shared" si="11"/>
        <v>-5.7165237438012361E-3</v>
      </c>
    </row>
    <row r="328" spans="1:5" x14ac:dyDescent="0.35">
      <c r="A328" s="35">
        <v>43956</v>
      </c>
      <c r="B328" s="36">
        <v>132.46</v>
      </c>
      <c r="C328" s="36">
        <v>33992.75</v>
      </c>
      <c r="D328" s="37">
        <f t="shared" si="10"/>
        <v>-1.432340746324898E-3</v>
      </c>
      <c r="E328" s="37">
        <f t="shared" si="11"/>
        <v>2.2440312483783943E-3</v>
      </c>
    </row>
    <row r="329" spans="1:5" x14ac:dyDescent="0.35">
      <c r="A329" s="33">
        <v>43957</v>
      </c>
      <c r="B329" s="34">
        <v>133.83000000000001</v>
      </c>
      <c r="C329" s="34">
        <v>33728.18</v>
      </c>
      <c r="D329" s="37">
        <f t="shared" si="10"/>
        <v>1.0342744979616523E-2</v>
      </c>
      <c r="E329" s="37">
        <f t="shared" si="11"/>
        <v>-7.7831302262982459E-3</v>
      </c>
    </row>
    <row r="330" spans="1:5" x14ac:dyDescent="0.35">
      <c r="A330" s="35">
        <v>43958</v>
      </c>
      <c r="B330" s="36">
        <v>132</v>
      </c>
      <c r="C330" s="36">
        <v>33304.160000000003</v>
      </c>
      <c r="D330" s="37">
        <f t="shared" si="10"/>
        <v>-1.3674064111185925E-2</v>
      </c>
      <c r="E330" s="37">
        <f t="shared" si="11"/>
        <v>-1.2571683381670662E-2</v>
      </c>
    </row>
    <row r="331" spans="1:5" x14ac:dyDescent="0.35">
      <c r="A331" s="33">
        <v>43959</v>
      </c>
      <c r="B331" s="34">
        <v>124.18</v>
      </c>
      <c r="C331" s="34">
        <v>33267.69</v>
      </c>
      <c r="D331" s="37">
        <f t="shared" si="10"/>
        <v>-5.9242424242424194E-2</v>
      </c>
      <c r="E331" s="37">
        <f t="shared" si="11"/>
        <v>-1.0950583951074328E-3</v>
      </c>
    </row>
    <row r="332" spans="1:5" x14ac:dyDescent="0.35">
      <c r="A332" s="35">
        <v>43962</v>
      </c>
      <c r="B332" s="36">
        <v>119.54</v>
      </c>
      <c r="C332" s="36">
        <v>33283.79</v>
      </c>
      <c r="D332" s="37">
        <f t="shared" si="10"/>
        <v>-3.7365115155419557E-2</v>
      </c>
      <c r="E332" s="37">
        <f t="shared" si="11"/>
        <v>4.8395304873883769E-4</v>
      </c>
    </row>
    <row r="333" spans="1:5" x14ac:dyDescent="0.35">
      <c r="A333" s="33">
        <v>43963</v>
      </c>
      <c r="B333" s="34">
        <v>117.97</v>
      </c>
      <c r="C333" s="34">
        <v>33603.019999999997</v>
      </c>
      <c r="D333" s="37">
        <f t="shared" si="10"/>
        <v>-1.3133679103229106E-2</v>
      </c>
      <c r="E333" s="37">
        <f t="shared" si="11"/>
        <v>9.5911553341730595E-3</v>
      </c>
    </row>
    <row r="334" spans="1:5" x14ac:dyDescent="0.35">
      <c r="A334" s="35">
        <v>43964</v>
      </c>
      <c r="B334" s="36">
        <v>117.07</v>
      </c>
      <c r="C334" s="36">
        <v>33693.040000000001</v>
      </c>
      <c r="D334" s="37">
        <f t="shared" si="10"/>
        <v>-7.6290582351445767E-3</v>
      </c>
      <c r="E334" s="37">
        <f t="shared" si="11"/>
        <v>2.6789258822571328E-3</v>
      </c>
    </row>
    <row r="335" spans="1:5" x14ac:dyDescent="0.35">
      <c r="A335" s="33">
        <v>43965</v>
      </c>
      <c r="B335" s="34">
        <v>114.19</v>
      </c>
      <c r="C335" s="34">
        <v>33804.9</v>
      </c>
      <c r="D335" s="37">
        <f t="shared" si="10"/>
        <v>-2.4600666268044722E-2</v>
      </c>
      <c r="E335" s="37">
        <f t="shared" si="11"/>
        <v>3.3199735019458195E-3</v>
      </c>
    </row>
    <row r="336" spans="1:5" x14ac:dyDescent="0.35">
      <c r="A336" s="35">
        <v>43966</v>
      </c>
      <c r="B336" s="36">
        <v>118.45</v>
      </c>
      <c r="C336" s="36">
        <v>34008.33</v>
      </c>
      <c r="D336" s="37">
        <f t="shared" si="10"/>
        <v>3.7306243979332736E-2</v>
      </c>
      <c r="E336" s="37">
        <f t="shared" si="11"/>
        <v>6.017766655129886E-3</v>
      </c>
    </row>
    <row r="337" spans="1:5" x14ac:dyDescent="0.35">
      <c r="A337" s="33">
        <v>43969</v>
      </c>
      <c r="B337" s="34">
        <v>127.21</v>
      </c>
      <c r="C337" s="34">
        <v>33804.97</v>
      </c>
      <c r="D337" s="37">
        <f t="shared" si="10"/>
        <v>7.3955255382017651E-2</v>
      </c>
      <c r="E337" s="37">
        <f t="shared" si="11"/>
        <v>-5.9797114412851373E-3</v>
      </c>
    </row>
    <row r="338" spans="1:5" x14ac:dyDescent="0.35">
      <c r="A338" s="35">
        <v>43970</v>
      </c>
      <c r="B338" s="36">
        <v>136.75</v>
      </c>
      <c r="C338" s="36">
        <v>34158.550000000003</v>
      </c>
      <c r="D338" s="37">
        <f t="shared" si="10"/>
        <v>7.4994104237088327E-2</v>
      </c>
      <c r="E338" s="37">
        <f t="shared" si="11"/>
        <v>1.0459408779241683E-2</v>
      </c>
    </row>
    <row r="339" spans="1:5" x14ac:dyDescent="0.35">
      <c r="A339" s="33">
        <v>43971</v>
      </c>
      <c r="B339" s="34">
        <v>141.85</v>
      </c>
      <c r="C339" s="34">
        <v>33932.81</v>
      </c>
      <c r="D339" s="37">
        <f t="shared" si="10"/>
        <v>3.7294332723948768E-2</v>
      </c>
      <c r="E339" s="37">
        <f t="shared" si="11"/>
        <v>-6.6085943343615356E-3</v>
      </c>
    </row>
    <row r="340" spans="1:5" x14ac:dyDescent="0.35">
      <c r="A340" s="35">
        <v>43972</v>
      </c>
      <c r="B340" s="36">
        <v>144.80000000000001</v>
      </c>
      <c r="C340" s="36">
        <v>33836.61</v>
      </c>
      <c r="D340" s="37">
        <f t="shared" si="10"/>
        <v>2.079661614381401E-2</v>
      </c>
      <c r="E340" s="37">
        <f t="shared" si="11"/>
        <v>-2.8350142531666871E-3</v>
      </c>
    </row>
    <row r="341" spans="1:5" x14ac:dyDescent="0.35">
      <c r="A341" s="33">
        <v>43979</v>
      </c>
      <c r="B341" s="34">
        <v>139.97999999999999</v>
      </c>
      <c r="C341" s="34">
        <v>33695.42</v>
      </c>
      <c r="D341" s="37">
        <f t="shared" si="10"/>
        <v>-3.3287292817679705E-2</v>
      </c>
      <c r="E341" s="37">
        <f t="shared" si="11"/>
        <v>-4.1726993336508094E-3</v>
      </c>
    </row>
    <row r="342" spans="1:5" x14ac:dyDescent="0.35">
      <c r="A342" s="35">
        <v>43980</v>
      </c>
      <c r="B342" s="36">
        <v>139.79</v>
      </c>
      <c r="C342" s="36">
        <v>33931.230000000003</v>
      </c>
      <c r="D342" s="37">
        <f t="shared" si="10"/>
        <v>-1.3573367623946116E-3</v>
      </c>
      <c r="E342" s="37">
        <f t="shared" si="11"/>
        <v>6.9982804784746696E-3</v>
      </c>
    </row>
    <row r="343" spans="1:5" x14ac:dyDescent="0.35">
      <c r="A343" s="33">
        <v>43983</v>
      </c>
      <c r="B343" s="34">
        <v>134.83000000000001</v>
      </c>
      <c r="C343" s="34">
        <v>34021.97</v>
      </c>
      <c r="D343" s="37">
        <f t="shared" si="10"/>
        <v>-3.5481794119750908E-2</v>
      </c>
      <c r="E343" s="37">
        <f t="shared" si="11"/>
        <v>2.6742325580298137E-3</v>
      </c>
    </row>
    <row r="344" spans="1:5" x14ac:dyDescent="0.35">
      <c r="A344" s="35">
        <v>43984</v>
      </c>
      <c r="B344" s="36">
        <v>135.63</v>
      </c>
      <c r="C344" s="36">
        <v>34408.050000000003</v>
      </c>
      <c r="D344" s="37">
        <f t="shared" si="10"/>
        <v>5.9333976118073339E-3</v>
      </c>
      <c r="E344" s="37">
        <f t="shared" si="11"/>
        <v>1.1347961332045197E-2</v>
      </c>
    </row>
    <row r="345" spans="1:5" x14ac:dyDescent="0.35">
      <c r="A345" s="33">
        <v>43985</v>
      </c>
      <c r="B345" s="34">
        <v>137.75</v>
      </c>
      <c r="C345" s="34">
        <v>34401.42</v>
      </c>
      <c r="D345" s="37">
        <f t="shared" si="10"/>
        <v>1.5630760156307634E-2</v>
      </c>
      <c r="E345" s="37">
        <f t="shared" si="11"/>
        <v>-1.9268746703183284E-4</v>
      </c>
    </row>
    <row r="346" spans="1:5" x14ac:dyDescent="0.35">
      <c r="A346" s="35">
        <v>43986</v>
      </c>
      <c r="B346" s="36">
        <v>135.78</v>
      </c>
      <c r="C346" s="36">
        <v>34119.39</v>
      </c>
      <c r="D346" s="37">
        <f t="shared" si="10"/>
        <v>-1.430127041742286E-2</v>
      </c>
      <c r="E346" s="37">
        <f t="shared" si="11"/>
        <v>-8.1982080972238594E-3</v>
      </c>
    </row>
    <row r="347" spans="1:5" x14ac:dyDescent="0.35">
      <c r="A347" s="33">
        <v>43987</v>
      </c>
      <c r="B347" s="34">
        <v>135.79</v>
      </c>
      <c r="C347" s="34">
        <v>34350.42</v>
      </c>
      <c r="D347" s="37">
        <f t="shared" si="10"/>
        <v>7.3648549123515278E-5</v>
      </c>
      <c r="E347" s="37">
        <f t="shared" si="11"/>
        <v>6.7712230494155626E-3</v>
      </c>
    </row>
    <row r="348" spans="1:5" x14ac:dyDescent="0.35">
      <c r="A348" s="35">
        <v>43990</v>
      </c>
      <c r="B348" s="36">
        <v>140.06</v>
      </c>
      <c r="C348" s="36">
        <v>34749.57</v>
      </c>
      <c r="D348" s="37">
        <f t="shared" si="10"/>
        <v>3.1445614551881662E-2</v>
      </c>
      <c r="E348" s="37">
        <f t="shared" si="11"/>
        <v>1.1619945258311296E-2</v>
      </c>
    </row>
    <row r="349" spans="1:5" x14ac:dyDescent="0.35">
      <c r="A349" s="33">
        <v>43991</v>
      </c>
      <c r="B349" s="34">
        <v>138.91</v>
      </c>
      <c r="C349" s="34">
        <v>34803.599999999999</v>
      </c>
      <c r="D349" s="37">
        <f t="shared" si="10"/>
        <v>-8.2107668142225171E-3</v>
      </c>
      <c r="E349" s="37">
        <f t="shared" si="11"/>
        <v>1.554839383623994E-3</v>
      </c>
    </row>
    <row r="350" spans="1:5" x14ac:dyDescent="0.35">
      <c r="A350" s="35">
        <v>43992</v>
      </c>
      <c r="B350" s="36">
        <v>137.44</v>
      </c>
      <c r="C350" s="36">
        <v>35065.08</v>
      </c>
      <c r="D350" s="37">
        <f t="shared" si="10"/>
        <v>-1.0582391476495565E-2</v>
      </c>
      <c r="E350" s="37">
        <f t="shared" si="11"/>
        <v>7.5130158949075158E-3</v>
      </c>
    </row>
    <row r="351" spans="1:5" x14ac:dyDescent="0.35">
      <c r="A351" s="33">
        <v>43993</v>
      </c>
      <c r="B351" s="34">
        <v>138.97999999999999</v>
      </c>
      <c r="C351" s="34">
        <v>35128.58</v>
      </c>
      <c r="D351" s="37">
        <f t="shared" si="10"/>
        <v>1.1204889406286321E-2</v>
      </c>
      <c r="E351" s="37">
        <f t="shared" si="11"/>
        <v>1.8109184407963704E-3</v>
      </c>
    </row>
    <row r="352" spans="1:5" x14ac:dyDescent="0.35">
      <c r="A352" s="35">
        <v>43994</v>
      </c>
      <c r="B352" s="36">
        <v>135.94</v>
      </c>
      <c r="C352" s="36">
        <v>34609.089999999997</v>
      </c>
      <c r="D352" s="37">
        <f t="shared" si="10"/>
        <v>-2.1873650885019372E-2</v>
      </c>
      <c r="E352" s="37">
        <f t="shared" si="11"/>
        <v>-1.4788243646626342E-2</v>
      </c>
    </row>
    <row r="353" spans="1:5" x14ac:dyDescent="0.35">
      <c r="A353" s="33">
        <v>43997</v>
      </c>
      <c r="B353" s="34">
        <v>135</v>
      </c>
      <c r="C353" s="34">
        <v>33824.51</v>
      </c>
      <c r="D353" s="37">
        <f t="shared" si="10"/>
        <v>-6.9148153597175062E-3</v>
      </c>
      <c r="E353" s="37">
        <f t="shared" si="11"/>
        <v>-2.2669766815596553E-2</v>
      </c>
    </row>
    <row r="354" spans="1:5" x14ac:dyDescent="0.35">
      <c r="A354" s="35">
        <v>43998</v>
      </c>
      <c r="B354" s="36">
        <v>134.34</v>
      </c>
      <c r="C354" s="36">
        <v>34019.120000000003</v>
      </c>
      <c r="D354" s="37">
        <f t="shared" si="10"/>
        <v>-4.8888888888888636E-3</v>
      </c>
      <c r="E354" s="37">
        <f t="shared" si="11"/>
        <v>5.7535201544678862E-3</v>
      </c>
    </row>
    <row r="355" spans="1:5" x14ac:dyDescent="0.35">
      <c r="A355" s="33">
        <v>43999</v>
      </c>
      <c r="B355" s="34">
        <v>138.22</v>
      </c>
      <c r="C355" s="34">
        <v>33848.68</v>
      </c>
      <c r="D355" s="37">
        <f t="shared" si="10"/>
        <v>2.8881941342861362E-2</v>
      </c>
      <c r="E355" s="37">
        <f t="shared" si="11"/>
        <v>-5.0101237186618089E-3</v>
      </c>
    </row>
    <row r="356" spans="1:5" x14ac:dyDescent="0.35">
      <c r="A356" s="35">
        <v>44000</v>
      </c>
      <c r="B356" s="36">
        <v>138.18</v>
      </c>
      <c r="C356" s="36">
        <v>33539.85</v>
      </c>
      <c r="D356" s="37">
        <f t="shared" si="10"/>
        <v>-2.8939372015621503E-4</v>
      </c>
      <c r="E356" s="37">
        <f t="shared" si="11"/>
        <v>-9.1238417569016496E-3</v>
      </c>
    </row>
    <row r="357" spans="1:5" x14ac:dyDescent="0.35">
      <c r="A357" s="33">
        <v>44001</v>
      </c>
      <c r="B357" s="34">
        <v>136.32</v>
      </c>
      <c r="C357" s="34">
        <v>33438.94</v>
      </c>
      <c r="D357" s="37">
        <f t="shared" si="10"/>
        <v>-1.3460703430308392E-2</v>
      </c>
      <c r="E357" s="37">
        <f t="shared" si="11"/>
        <v>-3.0086598479121471E-3</v>
      </c>
    </row>
    <row r="358" spans="1:5" x14ac:dyDescent="0.35">
      <c r="A358" s="35">
        <v>44004</v>
      </c>
      <c r="B358" s="36">
        <v>136</v>
      </c>
      <c r="C358" s="36">
        <v>33737.919999999998</v>
      </c>
      <c r="D358" s="37">
        <f t="shared" si="10"/>
        <v>-2.347417840375537E-3</v>
      </c>
      <c r="E358" s="37">
        <f t="shared" si="11"/>
        <v>8.9410728928607155E-3</v>
      </c>
    </row>
    <row r="359" spans="1:5" x14ac:dyDescent="0.35">
      <c r="A359" s="33">
        <v>44005</v>
      </c>
      <c r="B359" s="34">
        <v>136.27000000000001</v>
      </c>
      <c r="C359" s="34">
        <v>34052.61</v>
      </c>
      <c r="D359" s="37">
        <f t="shared" si="10"/>
        <v>1.9852941176471341E-3</v>
      </c>
      <c r="E359" s="37">
        <f t="shared" si="11"/>
        <v>9.3274866974609686E-3</v>
      </c>
    </row>
    <row r="360" spans="1:5" x14ac:dyDescent="0.35">
      <c r="A360" s="35">
        <v>44006</v>
      </c>
      <c r="B360" s="36">
        <v>135.91</v>
      </c>
      <c r="C360" s="36">
        <v>34034.65</v>
      </c>
      <c r="D360" s="37">
        <f t="shared" si="10"/>
        <v>-2.6418140456447759E-3</v>
      </c>
      <c r="E360" s="37">
        <f t="shared" si="11"/>
        <v>-5.2741919048199617E-4</v>
      </c>
    </row>
    <row r="361" spans="1:5" x14ac:dyDescent="0.35">
      <c r="A361" s="33">
        <v>44007</v>
      </c>
      <c r="B361" s="34">
        <v>134.6</v>
      </c>
      <c r="C361" s="34">
        <v>33709.629999999997</v>
      </c>
      <c r="D361" s="37">
        <f t="shared" si="10"/>
        <v>-9.6387315135015982E-3</v>
      </c>
      <c r="E361" s="37">
        <f t="shared" si="11"/>
        <v>-9.5496795177856704E-3</v>
      </c>
    </row>
    <row r="362" spans="1:5" x14ac:dyDescent="0.35">
      <c r="A362" s="35">
        <v>44008</v>
      </c>
      <c r="B362" s="36">
        <v>134.29</v>
      </c>
      <c r="C362" s="36">
        <v>33939.49</v>
      </c>
      <c r="D362" s="37">
        <f t="shared" si="10"/>
        <v>-2.3031203566122012E-3</v>
      </c>
      <c r="E362" s="37">
        <f t="shared" si="11"/>
        <v>6.8188229891577154E-3</v>
      </c>
    </row>
    <row r="363" spans="1:5" x14ac:dyDescent="0.35">
      <c r="A363" s="33">
        <v>44011</v>
      </c>
      <c r="B363" s="34">
        <v>137.13999999999999</v>
      </c>
      <c r="C363" s="34">
        <v>34181.800000000003</v>
      </c>
      <c r="D363" s="37">
        <f t="shared" si="10"/>
        <v>2.122272693424674E-2</v>
      </c>
      <c r="E363" s="37">
        <f t="shared" si="11"/>
        <v>7.1394708641763609E-3</v>
      </c>
    </row>
    <row r="364" spans="1:5" x14ac:dyDescent="0.35">
      <c r="A364" s="35">
        <v>44012</v>
      </c>
      <c r="B364" s="36">
        <v>138.94</v>
      </c>
      <c r="C364" s="36">
        <v>34421.919999999998</v>
      </c>
      <c r="D364" s="37">
        <f t="shared" si="10"/>
        <v>1.3125273443196818E-2</v>
      </c>
      <c r="E364" s="37">
        <f t="shared" si="11"/>
        <v>7.0247909706333579E-3</v>
      </c>
    </row>
    <row r="365" spans="1:5" x14ac:dyDescent="0.35">
      <c r="A365" s="33">
        <v>44013</v>
      </c>
      <c r="B365" s="34">
        <v>141.56</v>
      </c>
      <c r="C365" s="34">
        <v>34889.410000000003</v>
      </c>
      <c r="D365" s="37">
        <f t="shared" si="10"/>
        <v>1.8857060601698609E-2</v>
      </c>
      <c r="E365" s="37">
        <f t="shared" si="11"/>
        <v>1.3581171532558476E-2</v>
      </c>
    </row>
    <row r="366" spans="1:5" x14ac:dyDescent="0.35">
      <c r="A366" s="35">
        <v>44014</v>
      </c>
      <c r="B366" s="36">
        <v>142.68</v>
      </c>
      <c r="C366" s="36">
        <v>34978.18</v>
      </c>
      <c r="D366" s="37">
        <f t="shared" si="10"/>
        <v>7.9118395026844066E-3</v>
      </c>
      <c r="E366" s="37">
        <f t="shared" si="11"/>
        <v>2.5443250545078518E-3</v>
      </c>
    </row>
    <row r="367" spans="1:5" x14ac:dyDescent="0.35">
      <c r="A367" s="33">
        <v>44015</v>
      </c>
      <c r="B367" s="34">
        <v>143.31</v>
      </c>
      <c r="C367" s="34">
        <v>35051.379999999997</v>
      </c>
      <c r="D367" s="37">
        <f t="shared" si="10"/>
        <v>4.4154751892346187E-3</v>
      </c>
      <c r="E367" s="37">
        <f t="shared" si="11"/>
        <v>2.0927332411233828E-3</v>
      </c>
    </row>
    <row r="368" spans="1:5" x14ac:dyDescent="0.35">
      <c r="A368" s="35">
        <v>44018</v>
      </c>
      <c r="B368" s="36">
        <v>144.07</v>
      </c>
      <c r="C368" s="36">
        <v>35202.769999999997</v>
      </c>
      <c r="D368" s="37">
        <f t="shared" si="10"/>
        <v>5.3031888912147855E-3</v>
      </c>
      <c r="E368" s="37">
        <f t="shared" si="11"/>
        <v>4.3190881500243198E-3</v>
      </c>
    </row>
    <row r="369" spans="1:5" x14ac:dyDescent="0.35">
      <c r="A369" s="33">
        <v>44019</v>
      </c>
      <c r="B369" s="34">
        <v>144.1</v>
      </c>
      <c r="C369" s="34">
        <v>35373.35</v>
      </c>
      <c r="D369" s="37">
        <f t="shared" si="10"/>
        <v>2.0823210939127605E-4</v>
      </c>
      <c r="E369" s="37">
        <f t="shared" si="11"/>
        <v>4.8456414083324056E-3</v>
      </c>
    </row>
    <row r="370" spans="1:5" x14ac:dyDescent="0.35">
      <c r="A370" s="35">
        <v>44020</v>
      </c>
      <c r="B370" s="36">
        <v>142.68</v>
      </c>
      <c r="C370" s="36">
        <v>35694.89</v>
      </c>
      <c r="D370" s="37">
        <f t="shared" si="10"/>
        <v>-9.8542678695349595E-3</v>
      </c>
      <c r="E370" s="37">
        <f t="shared" si="11"/>
        <v>9.0898939455833529E-3</v>
      </c>
    </row>
    <row r="371" spans="1:5" x14ac:dyDescent="0.35">
      <c r="A371" s="33">
        <v>44021</v>
      </c>
      <c r="B371" s="34">
        <v>145.55000000000001</v>
      </c>
      <c r="C371" s="34">
        <v>36142.17</v>
      </c>
      <c r="D371" s="37">
        <f t="shared" si="10"/>
        <v>2.0114942528735663E-2</v>
      </c>
      <c r="E371" s="37">
        <f t="shared" si="11"/>
        <v>1.2530645142764099E-2</v>
      </c>
    </row>
    <row r="372" spans="1:5" x14ac:dyDescent="0.35">
      <c r="A372" s="35">
        <v>44022</v>
      </c>
      <c r="B372" s="36">
        <v>145.06</v>
      </c>
      <c r="C372" s="36">
        <v>36190.400000000001</v>
      </c>
      <c r="D372" s="37">
        <f t="shared" si="10"/>
        <v>-3.36654070766066E-3</v>
      </c>
      <c r="E372" s="37">
        <f t="shared" si="11"/>
        <v>1.3344522478866987E-3</v>
      </c>
    </row>
    <row r="373" spans="1:5" x14ac:dyDescent="0.35">
      <c r="A373" s="33">
        <v>44025</v>
      </c>
      <c r="B373" s="34">
        <v>149.11000000000001</v>
      </c>
      <c r="C373" s="34">
        <v>36618.57</v>
      </c>
      <c r="D373" s="37">
        <f t="shared" si="10"/>
        <v>2.7919481593823323E-2</v>
      </c>
      <c r="E373" s="37">
        <f t="shared" si="11"/>
        <v>1.1831038065343247E-2</v>
      </c>
    </row>
    <row r="374" spans="1:5" x14ac:dyDescent="0.35">
      <c r="A374" s="35">
        <v>44026</v>
      </c>
      <c r="B374" s="36">
        <v>147.87</v>
      </c>
      <c r="C374" s="36">
        <v>36745.22</v>
      </c>
      <c r="D374" s="37">
        <f t="shared" si="10"/>
        <v>-8.3160083160083755E-3</v>
      </c>
      <c r="E374" s="37">
        <f t="shared" si="11"/>
        <v>3.4586276853520348E-3</v>
      </c>
    </row>
    <row r="375" spans="1:5" x14ac:dyDescent="0.35">
      <c r="A375" s="33">
        <v>44027</v>
      </c>
      <c r="B375" s="34">
        <v>146.58000000000001</v>
      </c>
      <c r="C375" s="34">
        <v>36679.03</v>
      </c>
      <c r="D375" s="37">
        <f t="shared" si="10"/>
        <v>-8.7238790829782375E-3</v>
      </c>
      <c r="E375" s="37">
        <f t="shared" si="11"/>
        <v>-1.801322729868057E-3</v>
      </c>
    </row>
    <row r="376" spans="1:5" x14ac:dyDescent="0.35">
      <c r="A376" s="35">
        <v>44028</v>
      </c>
      <c r="B376" s="36">
        <v>153.83000000000001</v>
      </c>
      <c r="C376" s="36">
        <v>37001.440000000002</v>
      </c>
      <c r="D376" s="37">
        <f t="shared" si="10"/>
        <v>4.9461045163050887E-2</v>
      </c>
      <c r="E376" s="37">
        <f t="shared" si="11"/>
        <v>8.790036159625909E-3</v>
      </c>
    </row>
    <row r="377" spans="1:5" x14ac:dyDescent="0.35">
      <c r="A377" s="33">
        <v>44029</v>
      </c>
      <c r="B377" s="34">
        <v>154.87</v>
      </c>
      <c r="C377" s="34">
        <v>37330.85</v>
      </c>
      <c r="D377" s="37">
        <f t="shared" si="10"/>
        <v>6.7607098745367739E-3</v>
      </c>
      <c r="E377" s="37">
        <f t="shared" si="11"/>
        <v>8.9026264923742476E-3</v>
      </c>
    </row>
    <row r="378" spans="1:5" x14ac:dyDescent="0.35">
      <c r="A378" s="35">
        <v>44032</v>
      </c>
      <c r="B378" s="36">
        <v>154.44999999999999</v>
      </c>
      <c r="C378" s="36">
        <v>37650.57</v>
      </c>
      <c r="D378" s="37">
        <f t="shared" si="10"/>
        <v>-2.7119519597082449E-3</v>
      </c>
      <c r="E378" s="37">
        <f t="shared" si="11"/>
        <v>8.5644982635005949E-3</v>
      </c>
    </row>
    <row r="379" spans="1:5" x14ac:dyDescent="0.35">
      <c r="A379" s="33">
        <v>44033</v>
      </c>
      <c r="B379" s="34">
        <v>154.04</v>
      </c>
      <c r="C379" s="34">
        <v>37700.31</v>
      </c>
      <c r="D379" s="37">
        <f t="shared" si="10"/>
        <v>-2.6545807704758603E-3</v>
      </c>
      <c r="E379" s="37">
        <f t="shared" si="11"/>
        <v>1.3210955371989843E-3</v>
      </c>
    </row>
    <row r="380" spans="1:5" x14ac:dyDescent="0.35">
      <c r="A380" s="35">
        <v>44034</v>
      </c>
      <c r="B380" s="36">
        <v>151.41999999999999</v>
      </c>
      <c r="C380" s="36">
        <v>37804.61</v>
      </c>
      <c r="D380" s="37">
        <f t="shared" si="10"/>
        <v>-1.7008569202804497E-2</v>
      </c>
      <c r="E380" s="37">
        <f t="shared" si="11"/>
        <v>2.7665555004720895E-3</v>
      </c>
    </row>
    <row r="381" spans="1:5" x14ac:dyDescent="0.35">
      <c r="A381" s="33">
        <v>44035</v>
      </c>
      <c r="B381" s="34">
        <v>150</v>
      </c>
      <c r="C381" s="34">
        <v>37578.21</v>
      </c>
      <c r="D381" s="37">
        <f t="shared" si="10"/>
        <v>-9.3778893144894175E-3</v>
      </c>
      <c r="E381" s="37">
        <f t="shared" si="11"/>
        <v>-5.9886876230174427E-3</v>
      </c>
    </row>
    <row r="382" spans="1:5" x14ac:dyDescent="0.35">
      <c r="A382" s="35">
        <v>44036</v>
      </c>
      <c r="B382" s="36">
        <v>150.22999999999999</v>
      </c>
      <c r="C382" s="36">
        <v>37607.620000000003</v>
      </c>
      <c r="D382" s="37">
        <f t="shared" si="10"/>
        <v>1.5333333333332651E-3</v>
      </c>
      <c r="E382" s="37">
        <f t="shared" si="11"/>
        <v>7.8263440435304111E-4</v>
      </c>
    </row>
    <row r="383" spans="1:5" x14ac:dyDescent="0.35">
      <c r="A383" s="33">
        <v>44039</v>
      </c>
      <c r="B383" s="34">
        <v>149.03</v>
      </c>
      <c r="C383" s="34">
        <v>38221.160000000003</v>
      </c>
      <c r="D383" s="37">
        <f t="shared" si="10"/>
        <v>-7.9877521134260054E-3</v>
      </c>
      <c r="E383" s="37">
        <f t="shared" si="11"/>
        <v>1.6314246953144092E-2</v>
      </c>
    </row>
    <row r="384" spans="1:5" x14ac:dyDescent="0.35">
      <c r="A384" s="35">
        <v>44040</v>
      </c>
      <c r="B384" s="36">
        <v>153.52000000000001</v>
      </c>
      <c r="C384" s="36">
        <v>38627.269999999997</v>
      </c>
      <c r="D384" s="37">
        <f t="shared" si="10"/>
        <v>3.0128162115010463E-2</v>
      </c>
      <c r="E384" s="37">
        <f t="shared" si="11"/>
        <v>1.0625266213793439E-2</v>
      </c>
    </row>
    <row r="385" spans="1:5" x14ac:dyDescent="0.35">
      <c r="A385" s="33">
        <v>44041</v>
      </c>
      <c r="B385" s="34">
        <v>153.91999999999999</v>
      </c>
      <c r="C385" s="34">
        <v>38836.269999999997</v>
      </c>
      <c r="D385" s="37">
        <f t="shared" si="10"/>
        <v>2.6055237102656152E-3</v>
      </c>
      <c r="E385" s="37">
        <f t="shared" si="11"/>
        <v>5.4106852490481468E-3</v>
      </c>
    </row>
    <row r="386" spans="1:5" x14ac:dyDescent="0.35">
      <c r="A386" s="35">
        <v>44042</v>
      </c>
      <c r="B386" s="36">
        <v>152</v>
      </c>
      <c r="C386" s="36">
        <v>39258.44</v>
      </c>
      <c r="D386" s="37">
        <f t="shared" si="10"/>
        <v>-1.2474012474012393E-2</v>
      </c>
      <c r="E386" s="37">
        <f t="shared" si="11"/>
        <v>1.0870508419063046E-2</v>
      </c>
    </row>
    <row r="387" spans="1:5" x14ac:dyDescent="0.35">
      <c r="A387" s="33">
        <v>44046</v>
      </c>
      <c r="B387" s="34">
        <v>158.01</v>
      </c>
      <c r="C387" s="34">
        <v>39871.61</v>
      </c>
      <c r="D387" s="37">
        <f t="shared" si="10"/>
        <v>3.9539473684210465E-2</v>
      </c>
      <c r="E387" s="37">
        <f t="shared" si="11"/>
        <v>1.5618807064162464E-2</v>
      </c>
    </row>
    <row r="388" spans="1:5" x14ac:dyDescent="0.35">
      <c r="A388" s="35">
        <v>44047</v>
      </c>
      <c r="B388" s="36">
        <v>153</v>
      </c>
      <c r="C388" s="36">
        <v>39577.620000000003</v>
      </c>
      <c r="D388" s="37">
        <f t="shared" si="10"/>
        <v>-3.1706853996582442E-2</v>
      </c>
      <c r="E388" s="37">
        <f t="shared" si="11"/>
        <v>-7.3734168246528788E-3</v>
      </c>
    </row>
    <row r="389" spans="1:5" x14ac:dyDescent="0.35">
      <c r="A389" s="33">
        <v>44048</v>
      </c>
      <c r="B389" s="34">
        <v>157.19999999999999</v>
      </c>
      <c r="C389" s="34">
        <v>39882.78</v>
      </c>
      <c r="D389" s="37">
        <f t="shared" ref="D389:D452" si="12">(B389-B388)/B388</f>
        <v>2.745098039215679E-2</v>
      </c>
      <c r="E389" s="37">
        <f t="shared" ref="E389:E452" si="13">(C389-C388)/C388</f>
        <v>7.7104181605664058E-3</v>
      </c>
    </row>
    <row r="390" spans="1:5" x14ac:dyDescent="0.35">
      <c r="A390" s="35">
        <v>44049</v>
      </c>
      <c r="B390" s="36">
        <v>154.59</v>
      </c>
      <c r="C390" s="36">
        <v>40166.120000000003</v>
      </c>
      <c r="D390" s="37">
        <f t="shared" si="12"/>
        <v>-1.6603053435114409E-2</v>
      </c>
      <c r="E390" s="37">
        <f t="shared" si="13"/>
        <v>7.1043192074374904E-3</v>
      </c>
    </row>
    <row r="391" spans="1:5" x14ac:dyDescent="0.35">
      <c r="A391" s="33">
        <v>44050</v>
      </c>
      <c r="B391" s="34">
        <v>154.16999999999999</v>
      </c>
      <c r="C391" s="34">
        <v>40029.69</v>
      </c>
      <c r="D391" s="37">
        <f t="shared" si="12"/>
        <v>-2.7168639627402542E-3</v>
      </c>
      <c r="E391" s="37">
        <f t="shared" si="13"/>
        <v>-3.3966437385537932E-3</v>
      </c>
    </row>
    <row r="392" spans="1:5" x14ac:dyDescent="0.35">
      <c r="A392" s="35">
        <v>44053</v>
      </c>
      <c r="B392" s="36">
        <v>152.12</v>
      </c>
      <c r="C392" s="36">
        <v>39914.76</v>
      </c>
      <c r="D392" s="37">
        <f t="shared" si="12"/>
        <v>-1.3297009794382714E-2</v>
      </c>
      <c r="E392" s="37">
        <f t="shared" si="13"/>
        <v>-2.8711189119875842E-3</v>
      </c>
    </row>
    <row r="393" spans="1:5" x14ac:dyDescent="0.35">
      <c r="A393" s="33">
        <v>44054</v>
      </c>
      <c r="B393" s="34">
        <v>152.24</v>
      </c>
      <c r="C393" s="34">
        <v>40559.15</v>
      </c>
      <c r="D393" s="37">
        <f t="shared" si="12"/>
        <v>7.8885090717857316E-4</v>
      </c>
      <c r="E393" s="37">
        <f t="shared" si="13"/>
        <v>1.6144153190448832E-2</v>
      </c>
    </row>
    <row r="394" spans="1:5" x14ac:dyDescent="0.35">
      <c r="A394" s="35">
        <v>44055</v>
      </c>
      <c r="B394" s="36">
        <v>159.1</v>
      </c>
      <c r="C394" s="36">
        <v>40473.18</v>
      </c>
      <c r="D394" s="37">
        <f t="shared" si="12"/>
        <v>4.506043089858109E-2</v>
      </c>
      <c r="E394" s="37">
        <f t="shared" si="13"/>
        <v>-2.1196203569355167E-3</v>
      </c>
    </row>
    <row r="395" spans="1:5" x14ac:dyDescent="0.35">
      <c r="A395" s="33">
        <v>44056</v>
      </c>
      <c r="B395" s="34">
        <v>156.61000000000001</v>
      </c>
      <c r="C395" s="34">
        <v>40290.74</v>
      </c>
      <c r="D395" s="37">
        <f t="shared" si="12"/>
        <v>-1.5650534255185297E-2</v>
      </c>
      <c r="E395" s="37">
        <f t="shared" si="13"/>
        <v>-4.507676441534921E-3</v>
      </c>
    </row>
    <row r="396" spans="1:5" x14ac:dyDescent="0.35">
      <c r="A396" s="35">
        <v>44060</v>
      </c>
      <c r="B396" s="36">
        <v>155.69</v>
      </c>
      <c r="C396" s="36">
        <v>40122.5</v>
      </c>
      <c r="D396" s="37">
        <f t="shared" si="12"/>
        <v>-5.8744652321053303E-3</v>
      </c>
      <c r="E396" s="37">
        <f t="shared" si="13"/>
        <v>-4.1756492931129575E-3</v>
      </c>
    </row>
    <row r="397" spans="1:5" x14ac:dyDescent="0.35">
      <c r="A397" s="33">
        <v>44061</v>
      </c>
      <c r="B397" s="34">
        <v>155.03</v>
      </c>
      <c r="C397" s="34">
        <v>40184.01</v>
      </c>
      <c r="D397" s="37">
        <f t="shared" si="12"/>
        <v>-4.2391932686749092E-3</v>
      </c>
      <c r="E397" s="37">
        <f t="shared" si="13"/>
        <v>1.5330550190043501E-3</v>
      </c>
    </row>
    <row r="398" spans="1:5" x14ac:dyDescent="0.35">
      <c r="A398" s="35">
        <v>44062</v>
      </c>
      <c r="B398" s="36">
        <v>154.41999999999999</v>
      </c>
      <c r="C398" s="36">
        <v>40154.11</v>
      </c>
      <c r="D398" s="37">
        <f t="shared" si="12"/>
        <v>-3.9347223118107056E-3</v>
      </c>
      <c r="E398" s="37">
        <f t="shared" si="13"/>
        <v>-7.4407705950703905E-4</v>
      </c>
    </row>
    <row r="399" spans="1:5" x14ac:dyDescent="0.35">
      <c r="A399" s="33">
        <v>44063</v>
      </c>
      <c r="B399" s="34">
        <v>155.4</v>
      </c>
      <c r="C399" s="34">
        <v>39868.550000000003</v>
      </c>
      <c r="D399" s="37">
        <f t="shared" si="12"/>
        <v>6.3463281958296737E-3</v>
      </c>
      <c r="E399" s="37">
        <f t="shared" si="13"/>
        <v>-7.1116007800944327E-3</v>
      </c>
    </row>
    <row r="400" spans="1:5" x14ac:dyDescent="0.35">
      <c r="A400" s="35">
        <v>44064</v>
      </c>
      <c r="B400" s="36">
        <v>152.65</v>
      </c>
      <c r="C400" s="36">
        <v>39621.589999999997</v>
      </c>
      <c r="D400" s="37">
        <f t="shared" si="12"/>
        <v>-1.7696267696267694E-2</v>
      </c>
      <c r="E400" s="37">
        <f t="shared" si="13"/>
        <v>-6.1943562030725065E-3</v>
      </c>
    </row>
    <row r="401" spans="1:5" x14ac:dyDescent="0.35">
      <c r="A401" s="33">
        <v>44067</v>
      </c>
      <c r="B401" s="34">
        <v>154.47999999999999</v>
      </c>
      <c r="C401" s="34">
        <v>39802.6</v>
      </c>
      <c r="D401" s="37">
        <f t="shared" si="12"/>
        <v>1.198820831968545E-2</v>
      </c>
      <c r="E401" s="37">
        <f t="shared" si="13"/>
        <v>4.568468857509304E-3</v>
      </c>
    </row>
    <row r="402" spans="1:5" x14ac:dyDescent="0.35">
      <c r="A402" s="35">
        <v>44068</v>
      </c>
      <c r="B402" s="36">
        <v>156.27000000000001</v>
      </c>
      <c r="C402" s="36">
        <v>40292.82</v>
      </c>
      <c r="D402" s="37">
        <f t="shared" si="12"/>
        <v>1.1587260486794541E-2</v>
      </c>
      <c r="E402" s="37">
        <f t="shared" si="13"/>
        <v>1.2316280845974916E-2</v>
      </c>
    </row>
    <row r="403" spans="1:5" x14ac:dyDescent="0.35">
      <c r="A403" s="33">
        <v>44069</v>
      </c>
      <c r="B403" s="34">
        <v>157.66999999999999</v>
      </c>
      <c r="C403" s="34">
        <v>40862.589999999997</v>
      </c>
      <c r="D403" s="37">
        <f t="shared" si="12"/>
        <v>8.9588532667817054E-3</v>
      </c>
      <c r="E403" s="37">
        <f t="shared" si="13"/>
        <v>1.4140732765787969E-2</v>
      </c>
    </row>
    <row r="404" spans="1:5" x14ac:dyDescent="0.35">
      <c r="A404" s="35">
        <v>44070</v>
      </c>
      <c r="B404" s="36">
        <v>156.27000000000001</v>
      </c>
      <c r="C404" s="36">
        <v>41081.94</v>
      </c>
      <c r="D404" s="37">
        <f t="shared" si="12"/>
        <v>-8.8793048772751789E-3</v>
      </c>
      <c r="E404" s="37">
        <f t="shared" si="13"/>
        <v>5.367990624187205E-3</v>
      </c>
    </row>
    <row r="405" spans="1:5" x14ac:dyDescent="0.35">
      <c r="A405" s="33">
        <v>44071</v>
      </c>
      <c r="B405" s="34">
        <v>155.25</v>
      </c>
      <c r="C405" s="34">
        <v>41056.22</v>
      </c>
      <c r="D405" s="37">
        <f t="shared" si="12"/>
        <v>-6.527164522941129E-3</v>
      </c>
      <c r="E405" s="37">
        <f t="shared" si="13"/>
        <v>-6.2606585764939928E-4</v>
      </c>
    </row>
    <row r="406" spans="1:5" x14ac:dyDescent="0.35">
      <c r="A406" s="35">
        <v>44074</v>
      </c>
      <c r="B406" s="36">
        <v>153.88</v>
      </c>
      <c r="C406" s="36">
        <v>41110.93</v>
      </c>
      <c r="D406" s="37">
        <f t="shared" si="12"/>
        <v>-8.8244766505636372E-3</v>
      </c>
      <c r="E406" s="37">
        <f t="shared" si="13"/>
        <v>1.3325630075052971E-3</v>
      </c>
    </row>
    <row r="407" spans="1:5" x14ac:dyDescent="0.35">
      <c r="A407" s="33">
        <v>44075</v>
      </c>
      <c r="B407" s="34">
        <v>152.52000000000001</v>
      </c>
      <c r="C407" s="34">
        <v>41377.26</v>
      </c>
      <c r="D407" s="37">
        <f t="shared" si="12"/>
        <v>-8.8380556277617966E-3</v>
      </c>
      <c r="E407" s="37">
        <f t="shared" si="13"/>
        <v>6.4783258369489997E-3</v>
      </c>
    </row>
    <row r="408" spans="1:5" x14ac:dyDescent="0.35">
      <c r="A408" s="35">
        <v>44076</v>
      </c>
      <c r="B408" s="36">
        <v>154.38</v>
      </c>
      <c r="C408" s="36">
        <v>41834.85</v>
      </c>
      <c r="D408" s="37">
        <f t="shared" si="12"/>
        <v>1.2195121951219414E-2</v>
      </c>
      <c r="E408" s="37">
        <f t="shared" si="13"/>
        <v>1.1058972972110684E-2</v>
      </c>
    </row>
    <row r="409" spans="1:5" x14ac:dyDescent="0.35">
      <c r="A409" s="33">
        <v>44077</v>
      </c>
      <c r="B409" s="34">
        <v>152.05000000000001</v>
      </c>
      <c r="C409" s="34">
        <v>42188.11</v>
      </c>
      <c r="D409" s="37">
        <f t="shared" si="12"/>
        <v>-1.5092628578831353E-2</v>
      </c>
      <c r="E409" s="37">
        <f t="shared" si="13"/>
        <v>8.4441560086865874E-3</v>
      </c>
    </row>
    <row r="410" spans="1:5" x14ac:dyDescent="0.35">
      <c r="A410" s="35">
        <v>44078</v>
      </c>
      <c r="B410" s="36">
        <v>150.71</v>
      </c>
      <c r="C410" s="36">
        <v>42023</v>
      </c>
      <c r="D410" s="37">
        <f t="shared" si="12"/>
        <v>-8.8128904965472099E-3</v>
      </c>
      <c r="E410" s="37">
        <f t="shared" si="13"/>
        <v>-3.9136619298660354E-3</v>
      </c>
    </row>
    <row r="411" spans="1:5" x14ac:dyDescent="0.35">
      <c r="A411" s="33">
        <v>44081</v>
      </c>
      <c r="B411" s="34">
        <v>152.22999999999999</v>
      </c>
      <c r="C411" s="34">
        <v>42295.75</v>
      </c>
      <c r="D411" s="37">
        <f t="shared" si="12"/>
        <v>1.0085594851038297E-2</v>
      </c>
      <c r="E411" s="37">
        <f t="shared" si="13"/>
        <v>6.49049330128739E-3</v>
      </c>
    </row>
    <row r="412" spans="1:5" x14ac:dyDescent="0.35">
      <c r="A412" s="35">
        <v>44082</v>
      </c>
      <c r="B412" s="36">
        <v>151.78</v>
      </c>
      <c r="C412" s="36">
        <v>41985.19</v>
      </c>
      <c r="D412" s="37">
        <f t="shared" si="12"/>
        <v>-2.9560533403402002E-3</v>
      </c>
      <c r="E412" s="37">
        <f t="shared" si="13"/>
        <v>-7.3425817014711329E-3</v>
      </c>
    </row>
    <row r="413" spans="1:5" x14ac:dyDescent="0.35">
      <c r="A413" s="33">
        <v>44083</v>
      </c>
      <c r="B413" s="34">
        <v>148.52000000000001</v>
      </c>
      <c r="C413" s="34">
        <v>42022.25</v>
      </c>
      <c r="D413" s="37">
        <f t="shared" si="12"/>
        <v>-2.1478455659507123E-2</v>
      </c>
      <c r="E413" s="37">
        <f t="shared" si="13"/>
        <v>8.8269220646608167E-4</v>
      </c>
    </row>
    <row r="414" spans="1:5" x14ac:dyDescent="0.35">
      <c r="A414" s="35">
        <v>44084</v>
      </c>
      <c r="B414" s="36">
        <v>147.33000000000001</v>
      </c>
      <c r="C414" s="36">
        <v>42647.35</v>
      </c>
      <c r="D414" s="37">
        <f t="shared" si="12"/>
        <v>-8.0123889038513172E-3</v>
      </c>
      <c r="E414" s="37">
        <f t="shared" si="13"/>
        <v>1.4875452885078704E-2</v>
      </c>
    </row>
    <row r="415" spans="1:5" x14ac:dyDescent="0.35">
      <c r="A415" s="33">
        <v>44085</v>
      </c>
      <c r="B415" s="34">
        <v>146.97</v>
      </c>
      <c r="C415" s="34">
        <v>42530.67</v>
      </c>
      <c r="D415" s="37">
        <f t="shared" si="12"/>
        <v>-2.4434941967013753E-3</v>
      </c>
      <c r="E415" s="37">
        <f t="shared" si="13"/>
        <v>-2.735926147814584E-3</v>
      </c>
    </row>
    <row r="416" spans="1:5" x14ac:dyDescent="0.35">
      <c r="A416" s="35">
        <v>44088</v>
      </c>
      <c r="B416" s="36">
        <v>149.22</v>
      </c>
      <c r="C416" s="36">
        <v>42531.31</v>
      </c>
      <c r="D416" s="37">
        <f t="shared" si="12"/>
        <v>1.5309246785058175E-2</v>
      </c>
      <c r="E416" s="37">
        <f t="shared" si="13"/>
        <v>1.5047964210284436E-5</v>
      </c>
    </row>
    <row r="417" spans="1:5" x14ac:dyDescent="0.35">
      <c r="A417" s="33">
        <v>44089</v>
      </c>
      <c r="B417" s="34">
        <v>149.94999999999999</v>
      </c>
      <c r="C417" s="34">
        <v>42346.42</v>
      </c>
      <c r="D417" s="37">
        <f t="shared" si="12"/>
        <v>4.8921056158691177E-3</v>
      </c>
      <c r="E417" s="37">
        <f t="shared" si="13"/>
        <v>-4.3471503699274586E-3</v>
      </c>
    </row>
    <row r="418" spans="1:5" x14ac:dyDescent="0.35">
      <c r="A418" s="35">
        <v>44090</v>
      </c>
      <c r="B418" s="36">
        <v>146.81</v>
      </c>
      <c r="C418" s="36">
        <v>42282.28</v>
      </c>
      <c r="D418" s="37">
        <f t="shared" si="12"/>
        <v>-2.0940313437812514E-2</v>
      </c>
      <c r="E418" s="37">
        <f t="shared" si="13"/>
        <v>-1.5146498806746691E-3</v>
      </c>
    </row>
    <row r="419" spans="1:5" x14ac:dyDescent="0.35">
      <c r="A419" s="33">
        <v>44091</v>
      </c>
      <c r="B419" s="34">
        <v>147.31</v>
      </c>
      <c r="C419" s="34">
        <v>42334.76</v>
      </c>
      <c r="D419" s="37">
        <f t="shared" si="12"/>
        <v>3.4057625502349974E-3</v>
      </c>
      <c r="E419" s="37">
        <f t="shared" si="13"/>
        <v>1.2411818851775071E-3</v>
      </c>
    </row>
    <row r="420" spans="1:5" x14ac:dyDescent="0.35">
      <c r="A420" s="35">
        <v>44092</v>
      </c>
      <c r="B420" s="36">
        <v>148.33000000000001</v>
      </c>
      <c r="C420" s="36">
        <v>42504.76</v>
      </c>
      <c r="D420" s="37">
        <f t="shared" si="12"/>
        <v>6.9241735116421848E-3</v>
      </c>
      <c r="E420" s="37">
        <f t="shared" si="13"/>
        <v>4.0156127021860992E-3</v>
      </c>
    </row>
    <row r="421" spans="1:5" x14ac:dyDescent="0.35">
      <c r="A421" s="33">
        <v>44095</v>
      </c>
      <c r="B421" s="34">
        <v>149.27000000000001</v>
      </c>
      <c r="C421" s="34">
        <v>42174.13</v>
      </c>
      <c r="D421" s="37">
        <f t="shared" si="12"/>
        <v>6.3372210611474253E-3</v>
      </c>
      <c r="E421" s="37">
        <f t="shared" si="13"/>
        <v>-7.7786582020461861E-3</v>
      </c>
    </row>
    <row r="422" spans="1:5" x14ac:dyDescent="0.35">
      <c r="A422" s="35">
        <v>44096</v>
      </c>
      <c r="B422" s="36">
        <v>147.56</v>
      </c>
      <c r="C422" s="36">
        <v>41828.910000000003</v>
      </c>
      <c r="D422" s="37">
        <f t="shared" si="12"/>
        <v>-1.1455751323105834E-2</v>
      </c>
      <c r="E422" s="37">
        <f t="shared" si="13"/>
        <v>-8.1855867566205612E-3</v>
      </c>
    </row>
    <row r="423" spans="1:5" x14ac:dyDescent="0.35">
      <c r="A423" s="33">
        <v>44097</v>
      </c>
      <c r="B423" s="34">
        <v>147.72</v>
      </c>
      <c r="C423" s="34">
        <v>41876.26</v>
      </c>
      <c r="D423" s="37">
        <f t="shared" si="12"/>
        <v>1.0843046896177595E-3</v>
      </c>
      <c r="E423" s="37">
        <f t="shared" si="13"/>
        <v>1.1319922034783727E-3</v>
      </c>
    </row>
    <row r="424" spans="1:5" x14ac:dyDescent="0.35">
      <c r="A424" s="35">
        <v>44098</v>
      </c>
      <c r="B424" s="36">
        <v>147.04</v>
      </c>
      <c r="C424" s="36">
        <v>41806.370000000003</v>
      </c>
      <c r="D424" s="37">
        <f t="shared" si="12"/>
        <v>-4.603303547251603E-3</v>
      </c>
      <c r="E424" s="37">
        <f t="shared" si="13"/>
        <v>-1.6689647069723851E-3</v>
      </c>
    </row>
    <row r="425" spans="1:5" x14ac:dyDescent="0.35">
      <c r="A425" s="33">
        <v>44099</v>
      </c>
      <c r="B425" s="34">
        <v>145.05000000000001</v>
      </c>
      <c r="C425" s="34">
        <v>41701.230000000003</v>
      </c>
      <c r="D425" s="37">
        <f t="shared" si="12"/>
        <v>-1.353373231773654E-2</v>
      </c>
      <c r="E425" s="37">
        <f t="shared" si="13"/>
        <v>-2.5149277490487554E-3</v>
      </c>
    </row>
    <row r="426" spans="1:5" x14ac:dyDescent="0.35">
      <c r="A426" s="35">
        <v>44102</v>
      </c>
      <c r="B426" s="36">
        <v>135.85</v>
      </c>
      <c r="C426" s="36">
        <v>40740.949999999997</v>
      </c>
      <c r="D426" s="37">
        <f t="shared" si="12"/>
        <v>-6.3426404688038715E-2</v>
      </c>
      <c r="E426" s="37">
        <f t="shared" si="13"/>
        <v>-2.3027618130208774E-2</v>
      </c>
    </row>
    <row r="427" spans="1:5" x14ac:dyDescent="0.35">
      <c r="A427" s="33">
        <v>44103</v>
      </c>
      <c r="B427" s="34">
        <v>142.32</v>
      </c>
      <c r="C427" s="34">
        <v>41204.36</v>
      </c>
      <c r="D427" s="37">
        <f t="shared" si="12"/>
        <v>4.7626058152373939E-2</v>
      </c>
      <c r="E427" s="37">
        <f t="shared" si="13"/>
        <v>1.1374550667080751E-2</v>
      </c>
    </row>
    <row r="428" spans="1:5" x14ac:dyDescent="0.35">
      <c r="A428" s="35">
        <v>44104</v>
      </c>
      <c r="B428" s="36">
        <v>144.72</v>
      </c>
      <c r="C428" s="36">
        <v>40571.480000000003</v>
      </c>
      <c r="D428" s="37">
        <f t="shared" si="12"/>
        <v>1.6863406408094476E-2</v>
      </c>
      <c r="E428" s="37">
        <f t="shared" si="13"/>
        <v>-1.5359539621535133E-2</v>
      </c>
    </row>
    <row r="429" spans="1:5" x14ac:dyDescent="0.35">
      <c r="A429" s="33">
        <v>44105</v>
      </c>
      <c r="B429" s="34">
        <v>146.5</v>
      </c>
      <c r="C429" s="34">
        <v>40676.92</v>
      </c>
      <c r="D429" s="37">
        <f t="shared" si="12"/>
        <v>1.2299613045881711E-2</v>
      </c>
      <c r="E429" s="37">
        <f t="shared" si="13"/>
        <v>2.5988699450943138E-3</v>
      </c>
    </row>
    <row r="430" spans="1:5" x14ac:dyDescent="0.35">
      <c r="A430" s="35">
        <v>44106</v>
      </c>
      <c r="B430" s="36">
        <v>146.32</v>
      </c>
      <c r="C430" s="36">
        <v>40070.83</v>
      </c>
      <c r="D430" s="37">
        <f t="shared" si="12"/>
        <v>-1.2286689419795688E-3</v>
      </c>
      <c r="E430" s="37">
        <f t="shared" si="13"/>
        <v>-1.490009568079384E-2</v>
      </c>
    </row>
    <row r="431" spans="1:5" x14ac:dyDescent="0.35">
      <c r="A431" s="33">
        <v>44109</v>
      </c>
      <c r="B431" s="34">
        <v>141.49</v>
      </c>
      <c r="C431" s="34">
        <v>39072.47</v>
      </c>
      <c r="D431" s="37">
        <f t="shared" si="12"/>
        <v>-3.300984144341159E-2</v>
      </c>
      <c r="E431" s="37">
        <f t="shared" si="13"/>
        <v>-2.4914881972746772E-2</v>
      </c>
    </row>
    <row r="432" spans="1:5" x14ac:dyDescent="0.35">
      <c r="A432" s="35">
        <v>44110</v>
      </c>
      <c r="B432" s="36">
        <v>139.32</v>
      </c>
      <c r="C432" s="36">
        <v>39127.480000000003</v>
      </c>
      <c r="D432" s="37">
        <f t="shared" si="12"/>
        <v>-1.5336772916814021E-2</v>
      </c>
      <c r="E432" s="37">
        <f t="shared" si="13"/>
        <v>1.4078966597197986E-3</v>
      </c>
    </row>
    <row r="433" spans="1:5" x14ac:dyDescent="0.35">
      <c r="A433" s="33">
        <v>44111</v>
      </c>
      <c r="B433" s="34">
        <v>142.84</v>
      </c>
      <c r="C433" s="34">
        <v>39849.96</v>
      </c>
      <c r="D433" s="37">
        <f t="shared" si="12"/>
        <v>2.5265575653172626E-2</v>
      </c>
      <c r="E433" s="37">
        <f t="shared" si="13"/>
        <v>1.8464772073233337E-2</v>
      </c>
    </row>
    <row r="434" spans="1:5" x14ac:dyDescent="0.35">
      <c r="A434" s="35">
        <v>44112</v>
      </c>
      <c r="B434" s="36">
        <v>141.35</v>
      </c>
      <c r="C434" s="36">
        <v>40353.620000000003</v>
      </c>
      <c r="D434" s="37">
        <f t="shared" si="12"/>
        <v>-1.0431251750210089E-2</v>
      </c>
      <c r="E434" s="37">
        <f t="shared" si="13"/>
        <v>1.2638908545955969E-2</v>
      </c>
    </row>
    <row r="435" spans="1:5" x14ac:dyDescent="0.35">
      <c r="A435" s="33">
        <v>44113</v>
      </c>
      <c r="B435" s="34">
        <v>141.93</v>
      </c>
      <c r="C435" s="34">
        <v>40798.43</v>
      </c>
      <c r="D435" s="37">
        <f t="shared" si="12"/>
        <v>4.1032897064026356E-3</v>
      </c>
      <c r="E435" s="37">
        <f t="shared" si="13"/>
        <v>1.1022802910866426E-2</v>
      </c>
    </row>
    <row r="436" spans="1:5" x14ac:dyDescent="0.35">
      <c r="A436" s="35">
        <v>44116</v>
      </c>
      <c r="B436" s="36">
        <v>141.9</v>
      </c>
      <c r="C436" s="36">
        <v>40209.82</v>
      </c>
      <c r="D436" s="37">
        <f t="shared" si="12"/>
        <v>-2.1137180300148759E-4</v>
      </c>
      <c r="E436" s="37">
        <f t="shared" si="13"/>
        <v>-1.4427270853314713E-2</v>
      </c>
    </row>
    <row r="437" spans="1:5" x14ac:dyDescent="0.35">
      <c r="A437" s="33">
        <v>44117</v>
      </c>
      <c r="B437" s="34">
        <v>139.54</v>
      </c>
      <c r="C437" s="34">
        <v>40006.67</v>
      </c>
      <c r="D437" s="37">
        <f t="shared" si="12"/>
        <v>-1.6631430584919053E-2</v>
      </c>
      <c r="E437" s="37">
        <f t="shared" si="13"/>
        <v>-5.0522484308559816E-3</v>
      </c>
    </row>
    <row r="438" spans="1:5" x14ac:dyDescent="0.35">
      <c r="A438" s="35">
        <v>44118</v>
      </c>
      <c r="B438" s="36">
        <v>140.5</v>
      </c>
      <c r="C438" s="36">
        <v>40144.29</v>
      </c>
      <c r="D438" s="37">
        <f t="shared" si="12"/>
        <v>6.8797477425828297E-3</v>
      </c>
      <c r="E438" s="37">
        <f t="shared" si="13"/>
        <v>3.439926392274154E-3</v>
      </c>
    </row>
    <row r="439" spans="1:5" x14ac:dyDescent="0.35">
      <c r="A439" s="33">
        <v>44119</v>
      </c>
      <c r="B439" s="34">
        <v>138.82</v>
      </c>
      <c r="C439" s="34">
        <v>40068.49</v>
      </c>
      <c r="D439" s="37">
        <f t="shared" si="12"/>
        <v>-1.1957295373665529E-2</v>
      </c>
      <c r="E439" s="37">
        <f t="shared" si="13"/>
        <v>-1.8881888308400251E-3</v>
      </c>
    </row>
    <row r="440" spans="1:5" x14ac:dyDescent="0.35">
      <c r="A440" s="35">
        <v>44120</v>
      </c>
      <c r="B440" s="36">
        <v>138.75</v>
      </c>
      <c r="C440" s="36">
        <v>40164.019999999997</v>
      </c>
      <c r="D440" s="37">
        <f t="shared" si="12"/>
        <v>-5.0425010805354542E-4</v>
      </c>
      <c r="E440" s="37">
        <f t="shared" si="13"/>
        <v>2.3841677088405088E-3</v>
      </c>
    </row>
    <row r="441" spans="1:5" x14ac:dyDescent="0.35">
      <c r="A441" s="33">
        <v>44123</v>
      </c>
      <c r="B441" s="34">
        <v>137.79</v>
      </c>
      <c r="C441" s="34">
        <v>40340.17</v>
      </c>
      <c r="D441" s="37">
        <f t="shared" si="12"/>
        <v>-6.9189189189189761E-3</v>
      </c>
      <c r="E441" s="37">
        <f t="shared" si="13"/>
        <v>4.3857661658370222E-3</v>
      </c>
    </row>
    <row r="442" spans="1:5" x14ac:dyDescent="0.35">
      <c r="A442" s="35">
        <v>44124</v>
      </c>
      <c r="B442" s="36">
        <v>138.6</v>
      </c>
      <c r="C442" s="36">
        <v>40956.58</v>
      </c>
      <c r="D442" s="37">
        <f t="shared" si="12"/>
        <v>5.8785107772697754E-3</v>
      </c>
      <c r="E442" s="37">
        <f t="shared" si="13"/>
        <v>1.5280302487570169E-2</v>
      </c>
    </row>
    <row r="443" spans="1:5" x14ac:dyDescent="0.35">
      <c r="A443" s="33">
        <v>44125</v>
      </c>
      <c r="B443" s="34">
        <v>142.55000000000001</v>
      </c>
      <c r="C443" s="34">
        <v>41535.919999999998</v>
      </c>
      <c r="D443" s="37">
        <f t="shared" si="12"/>
        <v>2.8499278499278625E-2</v>
      </c>
      <c r="E443" s="37">
        <f t="shared" si="13"/>
        <v>1.4145224039702448E-2</v>
      </c>
    </row>
    <row r="444" spans="1:5" x14ac:dyDescent="0.35">
      <c r="A444" s="35">
        <v>44126</v>
      </c>
      <c r="B444" s="36">
        <v>143.16</v>
      </c>
      <c r="C444" s="36">
        <v>41199.019999999997</v>
      </c>
      <c r="D444" s="37">
        <f t="shared" si="12"/>
        <v>4.279200280603193E-3</v>
      </c>
      <c r="E444" s="37">
        <f t="shared" si="13"/>
        <v>-8.1110518317639643E-3</v>
      </c>
    </row>
    <row r="445" spans="1:5" x14ac:dyDescent="0.35">
      <c r="A445" s="33">
        <v>44127</v>
      </c>
      <c r="B445" s="34">
        <v>141.9</v>
      </c>
      <c r="C445" s="34">
        <v>41266</v>
      </c>
      <c r="D445" s="37">
        <f t="shared" si="12"/>
        <v>-8.8013411567476312E-3</v>
      </c>
      <c r="E445" s="37">
        <f t="shared" si="13"/>
        <v>1.6257668264925526E-3</v>
      </c>
    </row>
    <row r="446" spans="1:5" x14ac:dyDescent="0.35">
      <c r="A446" s="35">
        <v>44130</v>
      </c>
      <c r="B446" s="36">
        <v>141.24</v>
      </c>
      <c r="C446" s="36">
        <v>41850.47</v>
      </c>
      <c r="D446" s="37">
        <f t="shared" si="12"/>
        <v>-4.6511627906976501E-3</v>
      </c>
      <c r="E446" s="37">
        <f t="shared" si="13"/>
        <v>1.4163475985072485E-2</v>
      </c>
    </row>
    <row r="447" spans="1:5" x14ac:dyDescent="0.35">
      <c r="A447" s="33">
        <v>44131</v>
      </c>
      <c r="B447" s="34">
        <v>139.05000000000001</v>
      </c>
      <c r="C447" s="34">
        <v>41381.83</v>
      </c>
      <c r="D447" s="37">
        <f t="shared" si="12"/>
        <v>-1.5505522514868293E-2</v>
      </c>
      <c r="E447" s="37">
        <f t="shared" si="13"/>
        <v>-1.119796265131549E-2</v>
      </c>
    </row>
    <row r="448" spans="1:5" x14ac:dyDescent="0.35">
      <c r="A448" s="35">
        <v>44132</v>
      </c>
      <c r="B448" s="36">
        <v>139.26</v>
      </c>
      <c r="C448" s="36">
        <v>41186.86</v>
      </c>
      <c r="D448" s="37">
        <f t="shared" si="12"/>
        <v>1.5102481121897124E-3</v>
      </c>
      <c r="E448" s="37">
        <f t="shared" si="13"/>
        <v>-4.7114881096365522E-3</v>
      </c>
    </row>
    <row r="449" spans="1:5" x14ac:dyDescent="0.35">
      <c r="A449" s="33">
        <v>44133</v>
      </c>
      <c r="B449" s="34">
        <v>139.53</v>
      </c>
      <c r="C449" s="34">
        <v>39888</v>
      </c>
      <c r="D449" s="37">
        <f t="shared" si="12"/>
        <v>1.9388194743645718E-3</v>
      </c>
      <c r="E449" s="37">
        <f t="shared" si="13"/>
        <v>-3.153578592784205E-2</v>
      </c>
    </row>
    <row r="450" spans="1:5" x14ac:dyDescent="0.35">
      <c r="A450" s="35">
        <v>44137</v>
      </c>
      <c r="B450" s="36">
        <v>138.97999999999999</v>
      </c>
      <c r="C450" s="36">
        <v>39112.18</v>
      </c>
      <c r="D450" s="37">
        <f t="shared" si="12"/>
        <v>-3.9418046298287917E-3</v>
      </c>
      <c r="E450" s="37">
        <f t="shared" si="13"/>
        <v>-1.9449959887685511E-2</v>
      </c>
    </row>
    <row r="451" spans="1:5" x14ac:dyDescent="0.35">
      <c r="A451" s="33">
        <v>44138</v>
      </c>
      <c r="B451" s="34">
        <v>142.94999999999999</v>
      </c>
      <c r="C451" s="34">
        <v>40480.879999999997</v>
      </c>
      <c r="D451" s="37">
        <f t="shared" si="12"/>
        <v>2.8565261188660231E-2</v>
      </c>
      <c r="E451" s="37">
        <f t="shared" si="13"/>
        <v>3.4994214078581075E-2</v>
      </c>
    </row>
    <row r="452" spans="1:5" x14ac:dyDescent="0.35">
      <c r="A452" s="35">
        <v>44139</v>
      </c>
      <c r="B452" s="36">
        <v>143.32</v>
      </c>
      <c r="C452" s="36">
        <v>40281.96</v>
      </c>
      <c r="D452" s="37">
        <f t="shared" si="12"/>
        <v>2.5883175935642153E-3</v>
      </c>
      <c r="E452" s="37">
        <f t="shared" si="13"/>
        <v>-4.9139247961012275E-3</v>
      </c>
    </row>
    <row r="453" spans="1:5" x14ac:dyDescent="0.35">
      <c r="A453" s="33">
        <v>44140</v>
      </c>
      <c r="B453" s="34">
        <v>141.38</v>
      </c>
      <c r="C453" s="34">
        <v>41071.300000000003</v>
      </c>
      <c r="D453" s="37">
        <f t="shared" ref="D453:D516" si="14">(B453-B452)/B452</f>
        <v>-1.3536142897013661E-2</v>
      </c>
      <c r="E453" s="37">
        <f t="shared" ref="E453:E516" si="15">(C453-C452)/C452</f>
        <v>1.9595372221212767E-2</v>
      </c>
    </row>
    <row r="454" spans="1:5" x14ac:dyDescent="0.35">
      <c r="A454" s="35">
        <v>44141</v>
      </c>
      <c r="B454" s="36">
        <v>135.94</v>
      </c>
      <c r="C454" s="36">
        <v>40731.61</v>
      </c>
      <c r="D454" s="37">
        <f t="shared" si="14"/>
        <v>-3.8477861083604459E-2</v>
      </c>
      <c r="E454" s="37">
        <f t="shared" si="15"/>
        <v>-8.2707389344871558E-3</v>
      </c>
    </row>
    <row r="455" spans="1:5" x14ac:dyDescent="0.35">
      <c r="A455" s="33">
        <v>44144</v>
      </c>
      <c r="B455" s="34">
        <v>137.72999999999999</v>
      </c>
      <c r="C455" s="34">
        <v>40784.04</v>
      </c>
      <c r="D455" s="37">
        <f t="shared" si="14"/>
        <v>1.3167573929674799E-2</v>
      </c>
      <c r="E455" s="37">
        <f t="shared" si="15"/>
        <v>1.2872066682362983E-3</v>
      </c>
    </row>
    <row r="456" spans="1:5" x14ac:dyDescent="0.35">
      <c r="A456" s="35">
        <v>44145</v>
      </c>
      <c r="B456" s="36">
        <v>138.13999999999999</v>
      </c>
      <c r="C456" s="36">
        <v>41153.050000000003</v>
      </c>
      <c r="D456" s="37">
        <f t="shared" si="14"/>
        <v>2.9768387424671215E-3</v>
      </c>
      <c r="E456" s="37">
        <f t="shared" si="15"/>
        <v>9.0479020714966454E-3</v>
      </c>
    </row>
    <row r="457" spans="1:5" x14ac:dyDescent="0.35">
      <c r="A457" s="33">
        <v>44146</v>
      </c>
      <c r="B457" s="34">
        <v>138.75</v>
      </c>
      <c r="C457" s="34">
        <v>41197.32</v>
      </c>
      <c r="D457" s="37">
        <f t="shared" si="14"/>
        <v>4.4158100477777159E-3</v>
      </c>
      <c r="E457" s="37">
        <f t="shared" si="15"/>
        <v>1.0757404372214647E-3</v>
      </c>
    </row>
    <row r="458" spans="1:5" x14ac:dyDescent="0.35">
      <c r="A458" s="35">
        <v>44147</v>
      </c>
      <c r="B458" s="36">
        <v>137.6</v>
      </c>
      <c r="C458" s="36">
        <v>40564.550000000003</v>
      </c>
      <c r="D458" s="37">
        <f t="shared" si="14"/>
        <v>-8.2882882882883285E-3</v>
      </c>
      <c r="E458" s="37">
        <f t="shared" si="15"/>
        <v>-1.5359494258364302E-2</v>
      </c>
    </row>
    <row r="459" spans="1:5" x14ac:dyDescent="0.35">
      <c r="A459" s="33">
        <v>44148</v>
      </c>
      <c r="B459" s="34">
        <v>138.35</v>
      </c>
      <c r="C459" s="34">
        <v>40569.35</v>
      </c>
      <c r="D459" s="37">
        <f t="shared" si="14"/>
        <v>5.4505813953488374E-3</v>
      </c>
      <c r="E459" s="37">
        <f t="shared" si="15"/>
        <v>1.1832992107630022E-4</v>
      </c>
    </row>
    <row r="460" spans="1:5" x14ac:dyDescent="0.35">
      <c r="A460" s="35">
        <v>44151</v>
      </c>
      <c r="B460" s="36">
        <v>137.78</v>
      </c>
      <c r="C460" s="36">
        <v>40504.75</v>
      </c>
      <c r="D460" s="37">
        <f t="shared" si="14"/>
        <v>-4.1199855439103235E-3</v>
      </c>
      <c r="E460" s="37">
        <f t="shared" si="15"/>
        <v>-1.5923351002665447E-3</v>
      </c>
    </row>
    <row r="461" spans="1:5" x14ac:dyDescent="0.35">
      <c r="A461" s="33">
        <v>44152</v>
      </c>
      <c r="B461" s="34">
        <v>138.77000000000001</v>
      </c>
      <c r="C461" s="34">
        <v>40652.67</v>
      </c>
      <c r="D461" s="37">
        <f t="shared" si="14"/>
        <v>7.1853679779359057E-3</v>
      </c>
      <c r="E461" s="37">
        <f t="shared" si="15"/>
        <v>3.6519173677160891E-3</v>
      </c>
    </row>
    <row r="462" spans="1:5" x14ac:dyDescent="0.35">
      <c r="A462" s="35">
        <v>44153</v>
      </c>
      <c r="B462" s="36">
        <v>138.44</v>
      </c>
      <c r="C462" s="36">
        <v>40514.67</v>
      </c>
      <c r="D462" s="37">
        <f t="shared" si="14"/>
        <v>-2.378035598472382E-3</v>
      </c>
      <c r="E462" s="37">
        <f t="shared" si="15"/>
        <v>-3.3946109812713408E-3</v>
      </c>
    </row>
    <row r="463" spans="1:5" x14ac:dyDescent="0.35">
      <c r="A463" s="33">
        <v>44154</v>
      </c>
      <c r="B463" s="34">
        <v>142.99</v>
      </c>
      <c r="C463" s="34">
        <v>40540.699999999997</v>
      </c>
      <c r="D463" s="37">
        <f t="shared" si="14"/>
        <v>3.2866223634787715E-2</v>
      </c>
      <c r="E463" s="37">
        <f t="shared" si="15"/>
        <v>6.4248332764400742E-4</v>
      </c>
    </row>
    <row r="464" spans="1:5" x14ac:dyDescent="0.35">
      <c r="A464" s="35">
        <v>44155</v>
      </c>
      <c r="B464" s="36">
        <v>141.80000000000001</v>
      </c>
      <c r="C464" s="36">
        <v>40187.18</v>
      </c>
      <c r="D464" s="37">
        <f t="shared" si="14"/>
        <v>-8.3222602979229152E-3</v>
      </c>
      <c r="E464" s="37">
        <f t="shared" si="15"/>
        <v>-8.7201257008388319E-3</v>
      </c>
    </row>
    <row r="465" spans="1:5" x14ac:dyDescent="0.35">
      <c r="A465" s="33">
        <v>44158</v>
      </c>
      <c r="B465" s="34">
        <v>139.6</v>
      </c>
      <c r="C465" s="34">
        <v>39632.519999999997</v>
      </c>
      <c r="D465" s="37">
        <f t="shared" si="14"/>
        <v>-1.5514809590973322E-2</v>
      </c>
      <c r="E465" s="37">
        <f t="shared" si="15"/>
        <v>-1.380191394370054E-2</v>
      </c>
    </row>
    <row r="466" spans="1:5" x14ac:dyDescent="0.35">
      <c r="A466" s="35">
        <v>44159</v>
      </c>
      <c r="B466" s="36">
        <v>142.36000000000001</v>
      </c>
      <c r="C466" s="36">
        <v>39863.360000000001</v>
      </c>
      <c r="D466" s="37">
        <f t="shared" si="14"/>
        <v>1.977077363896862E-2</v>
      </c>
      <c r="E466" s="37">
        <f t="shared" si="15"/>
        <v>5.824509771268741E-3</v>
      </c>
    </row>
    <row r="467" spans="1:5" x14ac:dyDescent="0.35">
      <c r="A467" s="33">
        <v>44160</v>
      </c>
      <c r="B467" s="34">
        <v>142.30000000000001</v>
      </c>
      <c r="C467" s="34">
        <v>40377.53</v>
      </c>
      <c r="D467" s="37">
        <f t="shared" si="14"/>
        <v>-4.2146670413038964E-4</v>
      </c>
      <c r="E467" s="37">
        <f t="shared" si="15"/>
        <v>1.2898310629108992E-2</v>
      </c>
    </row>
    <row r="468" spans="1:5" x14ac:dyDescent="0.35">
      <c r="A468" s="35">
        <v>44161</v>
      </c>
      <c r="B468" s="36">
        <v>141.29</v>
      </c>
      <c r="C468" s="36">
        <v>41031.03</v>
      </c>
      <c r="D468" s="37">
        <f t="shared" si="14"/>
        <v>-7.0976809557274714E-3</v>
      </c>
      <c r="E468" s="37">
        <f t="shared" si="15"/>
        <v>1.6184744336763542E-2</v>
      </c>
    </row>
    <row r="469" spans="1:5" x14ac:dyDescent="0.35">
      <c r="A469" s="33">
        <v>44162</v>
      </c>
      <c r="B469" s="34">
        <v>140.6</v>
      </c>
      <c r="C469" s="34">
        <v>40807.089999999997</v>
      </c>
      <c r="D469" s="37">
        <f t="shared" si="14"/>
        <v>-4.883572793545175E-3</v>
      </c>
      <c r="E469" s="37">
        <f t="shared" si="15"/>
        <v>-5.4578205811553438E-3</v>
      </c>
    </row>
    <row r="470" spans="1:5" x14ac:dyDescent="0.35">
      <c r="A470" s="35">
        <v>44165</v>
      </c>
      <c r="B470" s="36">
        <v>141.74</v>
      </c>
      <c r="C470" s="36">
        <v>41068.82</v>
      </c>
      <c r="D470" s="37">
        <f t="shared" si="14"/>
        <v>8.1081081081082144E-3</v>
      </c>
      <c r="E470" s="37">
        <f t="shared" si="15"/>
        <v>6.4138364191125424E-3</v>
      </c>
    </row>
    <row r="471" spans="1:5" x14ac:dyDescent="0.35">
      <c r="A471" s="33">
        <v>44166</v>
      </c>
      <c r="B471" s="34">
        <v>146</v>
      </c>
      <c r="C471" s="34">
        <v>41665.269999999997</v>
      </c>
      <c r="D471" s="37">
        <f t="shared" si="14"/>
        <v>3.0055030337237127E-2</v>
      </c>
      <c r="E471" s="37">
        <f t="shared" si="15"/>
        <v>1.4523183281136325E-2</v>
      </c>
    </row>
    <row r="472" spans="1:5" x14ac:dyDescent="0.35">
      <c r="A472" s="35">
        <v>44167</v>
      </c>
      <c r="B472" s="36">
        <v>147.69</v>
      </c>
      <c r="C472" s="36">
        <v>42027.38</v>
      </c>
      <c r="D472" s="37">
        <f t="shared" si="14"/>
        <v>1.1575342465753409E-2</v>
      </c>
      <c r="E472" s="37">
        <f t="shared" si="15"/>
        <v>8.6909313200178619E-3</v>
      </c>
    </row>
    <row r="473" spans="1:5" x14ac:dyDescent="0.35">
      <c r="A473" s="33">
        <v>44168</v>
      </c>
      <c r="B473" s="34">
        <v>147.15</v>
      </c>
      <c r="C473" s="34">
        <v>42047.72</v>
      </c>
      <c r="D473" s="37">
        <f t="shared" si="14"/>
        <v>-3.6563071297988493E-3</v>
      </c>
      <c r="E473" s="37">
        <f t="shared" si="15"/>
        <v>4.8397021180011186E-4</v>
      </c>
    </row>
    <row r="474" spans="1:5" x14ac:dyDescent="0.35">
      <c r="A474" s="35">
        <v>44169</v>
      </c>
      <c r="B474" s="36">
        <v>147.34</v>
      </c>
      <c r="C474" s="36">
        <v>42207</v>
      </c>
      <c r="D474" s="37">
        <f t="shared" si="14"/>
        <v>1.2911994563370554E-3</v>
      </c>
      <c r="E474" s="37">
        <f t="shared" si="15"/>
        <v>3.7880769753984005E-3</v>
      </c>
    </row>
    <row r="475" spans="1:5" x14ac:dyDescent="0.35">
      <c r="A475" s="33">
        <v>44172</v>
      </c>
      <c r="B475" s="34">
        <v>146.38999999999999</v>
      </c>
      <c r="C475" s="34">
        <v>42115.31</v>
      </c>
      <c r="D475" s="37">
        <f t="shared" si="14"/>
        <v>-6.44767205103853E-3</v>
      </c>
      <c r="E475" s="37">
        <f t="shared" si="15"/>
        <v>-2.1723884663681931E-3</v>
      </c>
    </row>
    <row r="476" spans="1:5" x14ac:dyDescent="0.35">
      <c r="A476" s="35">
        <v>44173</v>
      </c>
      <c r="B476" s="36">
        <v>145.80000000000001</v>
      </c>
      <c r="C476" s="36">
        <v>42101.78</v>
      </c>
      <c r="D476" s="37">
        <f t="shared" si="14"/>
        <v>-4.0303299405695407E-3</v>
      </c>
      <c r="E476" s="37">
        <f t="shared" si="15"/>
        <v>-3.2126084314703697E-4</v>
      </c>
    </row>
    <row r="477" spans="1:5" x14ac:dyDescent="0.35">
      <c r="A477" s="33">
        <v>44174</v>
      </c>
      <c r="B477" s="34">
        <v>142.47</v>
      </c>
      <c r="C477" s="34">
        <v>42204.03</v>
      </c>
      <c r="D477" s="37">
        <f t="shared" si="14"/>
        <v>-2.2839506172839589E-2</v>
      </c>
      <c r="E477" s="37">
        <f t="shared" si="15"/>
        <v>2.428638409112394E-3</v>
      </c>
    </row>
    <row r="478" spans="1:5" x14ac:dyDescent="0.35">
      <c r="A478" s="35">
        <v>44175</v>
      </c>
      <c r="B478" s="36">
        <v>140.74</v>
      </c>
      <c r="C478" s="36">
        <v>42305.84</v>
      </c>
      <c r="D478" s="37">
        <f t="shared" si="14"/>
        <v>-1.2142907278725273E-2</v>
      </c>
      <c r="E478" s="37">
        <f t="shared" si="15"/>
        <v>2.4123288700154386E-3</v>
      </c>
    </row>
    <row r="479" spans="1:5" x14ac:dyDescent="0.35">
      <c r="A479" s="33">
        <v>44176</v>
      </c>
      <c r="B479" s="34">
        <v>141.44</v>
      </c>
      <c r="C479" s="34">
        <v>42470.39</v>
      </c>
      <c r="D479" s="37">
        <f t="shared" si="14"/>
        <v>4.973710387949329E-3</v>
      </c>
      <c r="E479" s="37">
        <f t="shared" si="15"/>
        <v>3.8895339272309194E-3</v>
      </c>
    </row>
    <row r="480" spans="1:5" x14ac:dyDescent="0.35">
      <c r="A480" s="35">
        <v>44179</v>
      </c>
      <c r="B480" s="36">
        <v>145.49</v>
      </c>
      <c r="C480" s="36">
        <v>43266.22</v>
      </c>
      <c r="D480" s="37">
        <f t="shared" si="14"/>
        <v>2.8634049773755738E-2</v>
      </c>
      <c r="E480" s="37">
        <f t="shared" si="15"/>
        <v>1.8738466964866623E-2</v>
      </c>
    </row>
    <row r="481" spans="1:5" x14ac:dyDescent="0.35">
      <c r="A481" s="33">
        <v>44180</v>
      </c>
      <c r="B481" s="34">
        <v>148.06</v>
      </c>
      <c r="C481" s="34">
        <v>43250.84</v>
      </c>
      <c r="D481" s="37">
        <f t="shared" si="14"/>
        <v>1.766444429170385E-2</v>
      </c>
      <c r="E481" s="37">
        <f t="shared" si="15"/>
        <v>-3.5547362353366337E-4</v>
      </c>
    </row>
    <row r="482" spans="1:5" x14ac:dyDescent="0.35">
      <c r="A482" s="35">
        <v>44181</v>
      </c>
      <c r="B482" s="36">
        <v>149.03</v>
      </c>
      <c r="C482" s="36">
        <v>43360.19</v>
      </c>
      <c r="D482" s="37">
        <f t="shared" si="14"/>
        <v>6.5513980818586986E-3</v>
      </c>
      <c r="E482" s="37">
        <f t="shared" si="15"/>
        <v>2.5282745953605947E-3</v>
      </c>
    </row>
    <row r="483" spans="1:5" x14ac:dyDescent="0.35">
      <c r="A483" s="33">
        <v>44182</v>
      </c>
      <c r="B483" s="34">
        <v>149.6</v>
      </c>
      <c r="C483" s="34">
        <v>43766.69</v>
      </c>
      <c r="D483" s="37">
        <f t="shared" si="14"/>
        <v>3.8247332751794481E-3</v>
      </c>
      <c r="E483" s="37">
        <f t="shared" si="15"/>
        <v>9.3749589196910794E-3</v>
      </c>
    </row>
    <row r="484" spans="1:5" x14ac:dyDescent="0.35">
      <c r="A484" s="35">
        <v>44183</v>
      </c>
      <c r="B484" s="36">
        <v>150.4</v>
      </c>
      <c r="C484" s="36">
        <v>43740.55</v>
      </c>
      <c r="D484" s="37">
        <f t="shared" si="14"/>
        <v>5.3475935828877766E-3</v>
      </c>
      <c r="E484" s="37">
        <f t="shared" si="15"/>
        <v>-5.9725786894095523E-4</v>
      </c>
    </row>
    <row r="485" spans="1:5" x14ac:dyDescent="0.35">
      <c r="A485" s="33">
        <v>44186</v>
      </c>
      <c r="B485" s="34">
        <v>148.08000000000001</v>
      </c>
      <c r="C485" s="34">
        <v>43333.760000000002</v>
      </c>
      <c r="D485" s="37">
        <f t="shared" si="14"/>
        <v>-1.5425531914893572E-2</v>
      </c>
      <c r="E485" s="37">
        <f t="shared" si="15"/>
        <v>-9.3000659571038959E-3</v>
      </c>
    </row>
    <row r="486" spans="1:5" x14ac:dyDescent="0.35">
      <c r="A486" s="35">
        <v>44187</v>
      </c>
      <c r="B486" s="36">
        <v>148.97999999999999</v>
      </c>
      <c r="C486" s="36">
        <v>42906.94</v>
      </c>
      <c r="D486" s="37">
        <f t="shared" si="14"/>
        <v>6.0777957860614342E-3</v>
      </c>
      <c r="E486" s="37">
        <f t="shared" si="15"/>
        <v>-9.8495953270613876E-3</v>
      </c>
    </row>
    <row r="487" spans="1:5" x14ac:dyDescent="0.35">
      <c r="A487" s="33">
        <v>44188</v>
      </c>
      <c r="B487" s="34">
        <v>147.91</v>
      </c>
      <c r="C487" s="34">
        <v>43087.7</v>
      </c>
      <c r="D487" s="37">
        <f t="shared" si="14"/>
        <v>-7.1821721036380267E-3</v>
      </c>
      <c r="E487" s="37">
        <f t="shared" si="15"/>
        <v>4.2128382960890422E-3</v>
      </c>
    </row>
    <row r="488" spans="1:5" x14ac:dyDescent="0.35">
      <c r="A488" s="35">
        <v>44189</v>
      </c>
      <c r="B488" s="36">
        <v>148.12</v>
      </c>
      <c r="C488" s="36">
        <v>43416.77</v>
      </c>
      <c r="D488" s="37">
        <f t="shared" si="14"/>
        <v>1.4197823000473798E-3</v>
      </c>
      <c r="E488" s="37">
        <f t="shared" si="15"/>
        <v>7.6372143326285625E-3</v>
      </c>
    </row>
    <row r="489" spans="1:5" x14ac:dyDescent="0.35">
      <c r="A489" s="33">
        <v>44193</v>
      </c>
      <c r="B489" s="34">
        <v>149.30000000000001</v>
      </c>
      <c r="C489" s="34">
        <v>43674.28</v>
      </c>
      <c r="D489" s="37">
        <f t="shared" si="14"/>
        <v>7.9665136375911879E-3</v>
      </c>
      <c r="E489" s="37">
        <f t="shared" si="15"/>
        <v>5.9311183213307224E-3</v>
      </c>
    </row>
    <row r="490" spans="1:5" x14ac:dyDescent="0.35">
      <c r="A490" s="35">
        <v>44194</v>
      </c>
      <c r="B490" s="36">
        <v>149.21</v>
      </c>
      <c r="C490" s="36">
        <v>43255.55</v>
      </c>
      <c r="D490" s="37">
        <f t="shared" si="14"/>
        <v>-6.0281312793036444E-4</v>
      </c>
      <c r="E490" s="37">
        <f t="shared" si="15"/>
        <v>-9.5875650382787284E-3</v>
      </c>
    </row>
    <row r="491" spans="1:5" x14ac:dyDescent="0.35">
      <c r="A491" s="33">
        <v>44195</v>
      </c>
      <c r="B491" s="34">
        <v>152.08000000000001</v>
      </c>
      <c r="C491" s="34">
        <v>43694.76</v>
      </c>
      <c r="D491" s="37">
        <f t="shared" si="14"/>
        <v>1.9234635748274272E-2</v>
      </c>
      <c r="E491" s="37">
        <f t="shared" si="15"/>
        <v>1.0153841530162005E-2</v>
      </c>
    </row>
    <row r="492" spans="1:5" x14ac:dyDescent="0.35">
      <c r="A492" s="35">
        <v>44196</v>
      </c>
      <c r="B492" s="36">
        <v>152.02000000000001</v>
      </c>
      <c r="C492" s="36">
        <v>43755.38</v>
      </c>
      <c r="D492" s="37">
        <f t="shared" si="14"/>
        <v>-3.9452919516045677E-4</v>
      </c>
      <c r="E492" s="37">
        <f t="shared" si="15"/>
        <v>1.3873517099074429E-3</v>
      </c>
    </row>
    <row r="493" spans="1:5" x14ac:dyDescent="0.35">
      <c r="A493" s="33">
        <v>44197</v>
      </c>
      <c r="B493" s="34">
        <v>149.25</v>
      </c>
      <c r="C493" s="34">
        <v>44434.8</v>
      </c>
      <c r="D493" s="37">
        <f t="shared" si="14"/>
        <v>-1.8221286672806276E-2</v>
      </c>
      <c r="E493" s="37">
        <f t="shared" si="15"/>
        <v>1.552769053771229E-2</v>
      </c>
    </row>
    <row r="494" spans="1:5" x14ac:dyDescent="0.35">
      <c r="A494" s="35">
        <v>44200</v>
      </c>
      <c r="B494" s="36">
        <v>147.68</v>
      </c>
      <c r="C494" s="36">
        <v>44686.46</v>
      </c>
      <c r="D494" s="37">
        <f t="shared" si="14"/>
        <v>-1.0519262981574493E-2</v>
      </c>
      <c r="E494" s="37">
        <f t="shared" si="15"/>
        <v>5.6635789966421862E-3</v>
      </c>
    </row>
    <row r="495" spans="1:5" x14ac:dyDescent="0.35">
      <c r="A495" s="33">
        <v>44201</v>
      </c>
      <c r="B495" s="34">
        <v>147.4</v>
      </c>
      <c r="C495" s="34">
        <v>44650.43</v>
      </c>
      <c r="D495" s="37">
        <f t="shared" si="14"/>
        <v>-1.8959913326110586E-3</v>
      </c>
      <c r="E495" s="37">
        <f t="shared" si="15"/>
        <v>-8.0628449870495081E-4</v>
      </c>
    </row>
    <row r="496" spans="1:5" x14ac:dyDescent="0.35">
      <c r="A496" s="35">
        <v>44202</v>
      </c>
      <c r="B496" s="36">
        <v>147.80000000000001</v>
      </c>
      <c r="C496" s="36">
        <v>45153.42</v>
      </c>
      <c r="D496" s="37">
        <f t="shared" si="14"/>
        <v>2.7137042062415581E-3</v>
      </c>
      <c r="E496" s="37">
        <f t="shared" si="15"/>
        <v>1.1265065084479544E-2</v>
      </c>
    </row>
    <row r="497" spans="1:5" x14ac:dyDescent="0.35">
      <c r="A497" s="33">
        <v>44203</v>
      </c>
      <c r="B497" s="34">
        <v>150.22</v>
      </c>
      <c r="C497" s="34">
        <v>45344.54</v>
      </c>
      <c r="D497" s="37">
        <f t="shared" si="14"/>
        <v>1.6373477672530362E-2</v>
      </c>
      <c r="E497" s="37">
        <f t="shared" si="15"/>
        <v>4.2326804924190152E-3</v>
      </c>
    </row>
    <row r="498" spans="1:5" x14ac:dyDescent="0.35">
      <c r="A498" s="35">
        <v>44204</v>
      </c>
      <c r="B498" s="36">
        <v>150.78</v>
      </c>
      <c r="C498" s="36">
        <v>45654.34</v>
      </c>
      <c r="D498" s="37">
        <f t="shared" si="14"/>
        <v>3.7278657968313291E-3</v>
      </c>
      <c r="E498" s="37">
        <f t="shared" si="15"/>
        <v>6.8321345855530922E-3</v>
      </c>
    </row>
    <row r="499" spans="1:5" x14ac:dyDescent="0.35">
      <c r="A499" s="33">
        <v>44207</v>
      </c>
      <c r="B499" s="34">
        <v>150.62</v>
      </c>
      <c r="C499" s="34">
        <v>45605.42</v>
      </c>
      <c r="D499" s="37">
        <f t="shared" si="14"/>
        <v>-1.0611486934606485E-3</v>
      </c>
      <c r="E499" s="37">
        <f t="shared" si="15"/>
        <v>-1.0715301108284176E-3</v>
      </c>
    </row>
    <row r="500" spans="1:5" x14ac:dyDescent="0.35">
      <c r="A500" s="35">
        <v>44208</v>
      </c>
      <c r="B500" s="36">
        <v>149.68</v>
      </c>
      <c r="C500" s="36">
        <v>45922.04</v>
      </c>
      <c r="D500" s="37">
        <f t="shared" si="14"/>
        <v>-6.2408710662594452E-3</v>
      </c>
      <c r="E500" s="37">
        <f t="shared" si="15"/>
        <v>6.9425958581239384E-3</v>
      </c>
    </row>
    <row r="501" spans="1:5" x14ac:dyDescent="0.35">
      <c r="A501" s="33">
        <v>44209</v>
      </c>
      <c r="B501" s="34">
        <v>148.69</v>
      </c>
      <c r="C501" s="34">
        <v>46091.96</v>
      </c>
      <c r="D501" s="37">
        <f t="shared" si="14"/>
        <v>-6.6141101015500334E-3</v>
      </c>
      <c r="E501" s="37">
        <f t="shared" si="15"/>
        <v>3.7001840510569269E-3</v>
      </c>
    </row>
    <row r="502" spans="1:5" x14ac:dyDescent="0.35">
      <c r="A502" s="35">
        <v>44210</v>
      </c>
      <c r="B502" s="36">
        <v>156.01</v>
      </c>
      <c r="C502" s="36">
        <v>45989.35</v>
      </c>
      <c r="D502" s="37">
        <f t="shared" si="14"/>
        <v>4.922994148900392E-2</v>
      </c>
      <c r="E502" s="37">
        <f t="shared" si="15"/>
        <v>-2.2262017063279711E-3</v>
      </c>
    </row>
    <row r="503" spans="1:5" x14ac:dyDescent="0.35">
      <c r="A503" s="33">
        <v>44211</v>
      </c>
      <c r="B503" s="34">
        <v>155.33000000000001</v>
      </c>
      <c r="C503" s="34">
        <v>45931</v>
      </c>
      <c r="D503" s="37">
        <f t="shared" si="14"/>
        <v>-4.3586949554514356E-3</v>
      </c>
      <c r="E503" s="37">
        <f t="shared" si="15"/>
        <v>-1.268772009171657E-3</v>
      </c>
    </row>
    <row r="504" spans="1:5" x14ac:dyDescent="0.35">
      <c r="A504" s="35">
        <v>44214</v>
      </c>
      <c r="B504" s="36">
        <v>154.75</v>
      </c>
      <c r="C504" s="36">
        <v>45726.68</v>
      </c>
      <c r="D504" s="37">
        <f t="shared" si="14"/>
        <v>-3.7339857078478879E-3</v>
      </c>
      <c r="E504" s="37">
        <f t="shared" si="15"/>
        <v>-4.4484117480568615E-3</v>
      </c>
    </row>
    <row r="505" spans="1:5" x14ac:dyDescent="0.35">
      <c r="A505" s="33">
        <v>44215</v>
      </c>
      <c r="B505" s="34">
        <v>160.28</v>
      </c>
      <c r="C505" s="34">
        <v>45903.23</v>
      </c>
      <c r="D505" s="37">
        <f t="shared" si="14"/>
        <v>3.5735056542810992E-2</v>
      </c>
      <c r="E505" s="37">
        <f t="shared" si="15"/>
        <v>3.8609844405936076E-3</v>
      </c>
    </row>
    <row r="506" spans="1:5" x14ac:dyDescent="0.35">
      <c r="A506" s="35">
        <v>44216</v>
      </c>
      <c r="B506" s="36">
        <v>160.43</v>
      </c>
      <c r="C506" s="36">
        <v>45676.94</v>
      </c>
      <c r="D506" s="37">
        <f t="shared" si="14"/>
        <v>9.3586224107814874E-4</v>
      </c>
      <c r="E506" s="37">
        <f t="shared" si="15"/>
        <v>-4.9297184533637576E-3</v>
      </c>
    </row>
    <row r="507" spans="1:5" x14ac:dyDescent="0.35">
      <c r="A507" s="33">
        <v>44217</v>
      </c>
      <c r="B507" s="34">
        <v>168.41</v>
      </c>
      <c r="C507" s="34">
        <v>45984.46</v>
      </c>
      <c r="D507" s="37">
        <f t="shared" si="14"/>
        <v>4.9741320201957172E-2</v>
      </c>
      <c r="E507" s="37">
        <f t="shared" si="15"/>
        <v>6.7325000317446128E-3</v>
      </c>
    </row>
    <row r="508" spans="1:5" x14ac:dyDescent="0.35">
      <c r="A508" s="35">
        <v>44218</v>
      </c>
      <c r="B508" s="36">
        <v>171.82</v>
      </c>
      <c r="C508" s="36">
        <v>45868.04</v>
      </c>
      <c r="D508" s="37">
        <f t="shared" si="14"/>
        <v>2.0248203788373591E-2</v>
      </c>
      <c r="E508" s="37">
        <f t="shared" si="15"/>
        <v>-2.5317248479159752E-3</v>
      </c>
    </row>
    <row r="509" spans="1:5" x14ac:dyDescent="0.35">
      <c r="A509" s="33">
        <v>44221</v>
      </c>
      <c r="B509" s="34">
        <v>169.45</v>
      </c>
      <c r="C509" s="34">
        <v>46087.64</v>
      </c>
      <c r="D509" s="37">
        <f t="shared" si="14"/>
        <v>-1.379350483063674E-2</v>
      </c>
      <c r="E509" s="37">
        <f t="shared" si="15"/>
        <v>4.7876473466055783E-3</v>
      </c>
    </row>
    <row r="510" spans="1:5" x14ac:dyDescent="0.35">
      <c r="A510" s="35">
        <v>44222</v>
      </c>
      <c r="B510" s="36">
        <v>175.82</v>
      </c>
      <c r="C510" s="36">
        <v>46287.38</v>
      </c>
      <c r="D510" s="37">
        <f t="shared" si="14"/>
        <v>3.7592210091472442E-2</v>
      </c>
      <c r="E510" s="37">
        <f t="shared" si="15"/>
        <v>4.3339168592706843E-3</v>
      </c>
    </row>
    <row r="511" spans="1:5" x14ac:dyDescent="0.35">
      <c r="A511" s="33">
        <v>44223</v>
      </c>
      <c r="B511" s="34">
        <v>171.42</v>
      </c>
      <c r="C511" s="34">
        <v>46458.13</v>
      </c>
      <c r="D511" s="37">
        <f t="shared" si="14"/>
        <v>-2.5025594357866034E-2</v>
      </c>
      <c r="E511" s="37">
        <f t="shared" si="15"/>
        <v>3.6889104546422805E-3</v>
      </c>
    </row>
    <row r="512" spans="1:5" x14ac:dyDescent="0.35">
      <c r="A512" s="35">
        <v>44224</v>
      </c>
      <c r="B512" s="36">
        <v>173.3</v>
      </c>
      <c r="C512" s="36">
        <v>46166.05</v>
      </c>
      <c r="D512" s="37">
        <f t="shared" si="14"/>
        <v>1.0967215027418178E-2</v>
      </c>
      <c r="E512" s="37">
        <f t="shared" si="15"/>
        <v>-6.2869512828001147E-3</v>
      </c>
    </row>
    <row r="513" spans="1:5" x14ac:dyDescent="0.35">
      <c r="A513" s="33">
        <v>44225</v>
      </c>
      <c r="B513" s="34">
        <v>172.01</v>
      </c>
      <c r="C513" s="34">
        <v>46385.54</v>
      </c>
      <c r="D513" s="37">
        <f t="shared" si="14"/>
        <v>-7.4437391806117734E-3</v>
      </c>
      <c r="E513" s="37">
        <f t="shared" si="15"/>
        <v>4.7543595347663047E-3</v>
      </c>
    </row>
    <row r="514" spans="1:5" x14ac:dyDescent="0.35">
      <c r="A514" s="35">
        <v>44228</v>
      </c>
      <c r="B514" s="36">
        <v>170.62</v>
      </c>
      <c r="C514" s="36">
        <v>46248.45</v>
      </c>
      <c r="D514" s="37">
        <f t="shared" si="14"/>
        <v>-8.0809255275855266E-3</v>
      </c>
      <c r="E514" s="37">
        <f t="shared" si="15"/>
        <v>-2.9554468914235726E-3</v>
      </c>
    </row>
    <row r="515" spans="1:5" x14ac:dyDescent="0.35">
      <c r="A515" s="33">
        <v>44229</v>
      </c>
      <c r="B515" s="34">
        <v>170.04</v>
      </c>
      <c r="C515" s="34">
        <v>46580.34</v>
      </c>
      <c r="D515" s="37">
        <f t="shared" si="14"/>
        <v>-3.3993670144180782E-3</v>
      </c>
      <c r="E515" s="37">
        <f t="shared" si="15"/>
        <v>7.1762405010329959E-3</v>
      </c>
    </row>
    <row r="516" spans="1:5" x14ac:dyDescent="0.35">
      <c r="A516" s="35">
        <v>44230</v>
      </c>
      <c r="B516" s="36">
        <v>171.91</v>
      </c>
      <c r="C516" s="36">
        <v>46933.63</v>
      </c>
      <c r="D516" s="37">
        <f t="shared" si="14"/>
        <v>1.099741237355919E-2</v>
      </c>
      <c r="E516" s="37">
        <f t="shared" si="15"/>
        <v>7.5845302975461517E-3</v>
      </c>
    </row>
    <row r="517" spans="1:5" x14ac:dyDescent="0.35">
      <c r="A517" s="33">
        <v>44231</v>
      </c>
      <c r="B517" s="34">
        <v>173.24</v>
      </c>
      <c r="C517" s="34">
        <v>46905.79</v>
      </c>
      <c r="D517" s="37">
        <f t="shared" ref="D517:D580" si="16">(B517-B516)/B516</f>
        <v>7.7366063637950818E-3</v>
      </c>
      <c r="E517" s="37">
        <f t="shared" ref="E517:E580" si="17">(C517-C516)/C516</f>
        <v>-5.9317806868969031E-4</v>
      </c>
    </row>
    <row r="518" spans="1:5" x14ac:dyDescent="0.35">
      <c r="A518" s="35">
        <v>44235</v>
      </c>
      <c r="B518" s="36">
        <v>174.86</v>
      </c>
      <c r="C518" s="36">
        <v>46721.87</v>
      </c>
      <c r="D518" s="37">
        <f t="shared" si="16"/>
        <v>9.351189101824085E-3</v>
      </c>
      <c r="E518" s="37">
        <f t="shared" si="17"/>
        <v>-3.9210511111740839E-3</v>
      </c>
    </row>
    <row r="519" spans="1:5" x14ac:dyDescent="0.35">
      <c r="A519" s="33">
        <v>44236</v>
      </c>
      <c r="B519" s="34">
        <v>173.16</v>
      </c>
      <c r="C519" s="34">
        <v>46674.77</v>
      </c>
      <c r="D519" s="37">
        <f t="shared" si="16"/>
        <v>-9.7220633649777941E-3</v>
      </c>
      <c r="E519" s="37">
        <f t="shared" si="17"/>
        <v>-1.0080932120226742E-3</v>
      </c>
    </row>
    <row r="520" spans="1:5" x14ac:dyDescent="0.35">
      <c r="A520" s="35">
        <v>44237</v>
      </c>
      <c r="B520" s="36">
        <v>172.56</v>
      </c>
      <c r="C520" s="36">
        <v>46644.29</v>
      </c>
      <c r="D520" s="37">
        <f t="shared" si="16"/>
        <v>-3.4650034650034324E-3</v>
      </c>
      <c r="E520" s="37">
        <f t="shared" si="17"/>
        <v>-6.5302946324097429E-4</v>
      </c>
    </row>
    <row r="521" spans="1:5" x14ac:dyDescent="0.35">
      <c r="A521" s="33">
        <v>44238</v>
      </c>
      <c r="B521" s="34">
        <v>173.55</v>
      </c>
      <c r="C521" s="34">
        <v>46055.519999999997</v>
      </c>
      <c r="D521" s="37">
        <f t="shared" si="16"/>
        <v>5.7371349095967144E-3</v>
      </c>
      <c r="E521" s="37">
        <f t="shared" si="17"/>
        <v>-1.2622552513930517E-2</v>
      </c>
    </row>
    <row r="522" spans="1:5" x14ac:dyDescent="0.35">
      <c r="A522" s="35">
        <v>44239</v>
      </c>
      <c r="B522" s="36">
        <v>174.07</v>
      </c>
      <c r="C522" s="36">
        <v>45808.36</v>
      </c>
      <c r="D522" s="37">
        <f t="shared" si="16"/>
        <v>2.9962546816478352E-3</v>
      </c>
      <c r="E522" s="37">
        <f t="shared" si="17"/>
        <v>-5.3665662661065653E-3</v>
      </c>
    </row>
    <row r="523" spans="1:5" x14ac:dyDescent="0.35">
      <c r="A523" s="33">
        <v>44242</v>
      </c>
      <c r="B523" s="34">
        <v>172.38</v>
      </c>
      <c r="C523" s="34">
        <v>46375.59</v>
      </c>
      <c r="D523" s="37">
        <f t="shared" si="16"/>
        <v>-9.7087378640776569E-3</v>
      </c>
      <c r="E523" s="37">
        <f t="shared" si="17"/>
        <v>1.238267425421901E-2</v>
      </c>
    </row>
    <row r="524" spans="1:5" x14ac:dyDescent="0.35">
      <c r="A524" s="35">
        <v>44243</v>
      </c>
      <c r="B524" s="36">
        <v>172.22</v>
      </c>
      <c r="C524" s="36">
        <v>46867.95</v>
      </c>
      <c r="D524" s="37">
        <f t="shared" si="16"/>
        <v>-9.2818192365701701E-4</v>
      </c>
      <c r="E524" s="37">
        <f t="shared" si="17"/>
        <v>1.0616792152940816E-2</v>
      </c>
    </row>
    <row r="525" spans="1:5" x14ac:dyDescent="0.35">
      <c r="A525" s="33">
        <v>44244</v>
      </c>
      <c r="B525" s="34">
        <v>171.82</v>
      </c>
      <c r="C525" s="34">
        <v>46768.14</v>
      </c>
      <c r="D525" s="37">
        <f t="shared" si="16"/>
        <v>-2.3226106143305406E-3</v>
      </c>
      <c r="E525" s="37">
        <f t="shared" si="17"/>
        <v>-2.1296002918838497E-3</v>
      </c>
    </row>
    <row r="526" spans="1:5" x14ac:dyDescent="0.35">
      <c r="A526" s="35">
        <v>44245</v>
      </c>
      <c r="B526" s="36">
        <v>169.11</v>
      </c>
      <c r="C526" s="36">
        <v>46142.74</v>
      </c>
      <c r="D526" s="37">
        <f t="shared" si="16"/>
        <v>-1.5772319869630892E-2</v>
      </c>
      <c r="E526" s="37">
        <f t="shared" si="17"/>
        <v>-1.3372351348589049E-2</v>
      </c>
    </row>
    <row r="527" spans="1:5" x14ac:dyDescent="0.35">
      <c r="A527" s="33">
        <v>44246</v>
      </c>
      <c r="B527" s="34">
        <v>168.74</v>
      </c>
      <c r="C527" s="34">
        <v>46227.65</v>
      </c>
      <c r="D527" s="37">
        <f t="shared" si="16"/>
        <v>-2.187925019218287E-3</v>
      </c>
      <c r="E527" s="37">
        <f t="shared" si="17"/>
        <v>1.8401594703739634E-3</v>
      </c>
    </row>
    <row r="528" spans="1:5" x14ac:dyDescent="0.35">
      <c r="A528" s="35">
        <v>44249</v>
      </c>
      <c r="B528" s="36">
        <v>167.6</v>
      </c>
      <c r="C528" s="36">
        <v>45890.04</v>
      </c>
      <c r="D528" s="37">
        <f t="shared" si="16"/>
        <v>-6.7559559084983687E-3</v>
      </c>
      <c r="E528" s="37">
        <f t="shared" si="17"/>
        <v>-7.3032049000976811E-3</v>
      </c>
    </row>
    <row r="529" spans="1:5" x14ac:dyDescent="0.35">
      <c r="A529" s="33">
        <v>44250</v>
      </c>
      <c r="B529" s="34">
        <v>165.63</v>
      </c>
      <c r="C529" s="34">
        <v>45728.75</v>
      </c>
      <c r="D529" s="37">
        <f t="shared" si="16"/>
        <v>-1.1754176610978514E-2</v>
      </c>
      <c r="E529" s="37">
        <f t="shared" si="17"/>
        <v>-3.5147060233549779E-3</v>
      </c>
    </row>
    <row r="530" spans="1:5" x14ac:dyDescent="0.35">
      <c r="A530" s="35">
        <v>44251</v>
      </c>
      <c r="B530" s="36">
        <v>166.53</v>
      </c>
      <c r="C530" s="36">
        <v>45362.58</v>
      </c>
      <c r="D530" s="37">
        <f t="shared" si="16"/>
        <v>5.4337982249592813E-3</v>
      </c>
      <c r="E530" s="37">
        <f t="shared" si="17"/>
        <v>-8.0074351474728311E-3</v>
      </c>
    </row>
    <row r="531" spans="1:5" x14ac:dyDescent="0.35">
      <c r="A531" s="33">
        <v>44252</v>
      </c>
      <c r="B531" s="34">
        <v>168.92</v>
      </c>
      <c r="C531" s="34">
        <v>45965.62</v>
      </c>
      <c r="D531" s="37">
        <f t="shared" si="16"/>
        <v>1.4351768450129023E-2</v>
      </c>
      <c r="E531" s="37">
        <f t="shared" si="17"/>
        <v>1.329377650036662E-2</v>
      </c>
    </row>
    <row r="532" spans="1:5" x14ac:dyDescent="0.35">
      <c r="A532" s="35">
        <v>44253</v>
      </c>
      <c r="B532" s="36">
        <v>170.13</v>
      </c>
      <c r="C532" s="36">
        <v>45865.02</v>
      </c>
      <c r="D532" s="37">
        <f t="shared" si="16"/>
        <v>7.1631541558134504E-3</v>
      </c>
      <c r="E532" s="37">
        <f t="shared" si="17"/>
        <v>-2.1885922565605732E-3</v>
      </c>
    </row>
    <row r="533" spans="1:5" x14ac:dyDescent="0.35">
      <c r="A533" s="33">
        <v>44256</v>
      </c>
      <c r="B533" s="34">
        <v>166.75</v>
      </c>
      <c r="C533" s="34">
        <v>45593.43</v>
      </c>
      <c r="D533" s="37">
        <f t="shared" si="16"/>
        <v>-1.9867160406747755E-2</v>
      </c>
      <c r="E533" s="37">
        <f t="shared" si="17"/>
        <v>-5.9215061936089101E-3</v>
      </c>
    </row>
    <row r="534" spans="1:5" x14ac:dyDescent="0.35">
      <c r="A534" s="35">
        <v>44257</v>
      </c>
      <c r="B534" s="36">
        <v>166.05</v>
      </c>
      <c r="C534" s="36">
        <v>45964.27</v>
      </c>
      <c r="D534" s="37">
        <f t="shared" si="16"/>
        <v>-4.1979010494751943E-3</v>
      </c>
      <c r="E534" s="37">
        <f t="shared" si="17"/>
        <v>8.133628024914916E-3</v>
      </c>
    </row>
    <row r="535" spans="1:5" x14ac:dyDescent="0.35">
      <c r="A535" s="33">
        <v>44258</v>
      </c>
      <c r="B535" s="34">
        <v>169.04</v>
      </c>
      <c r="C535" s="34">
        <v>46160.78</v>
      </c>
      <c r="D535" s="37">
        <f t="shared" si="16"/>
        <v>1.8006624510689434E-2</v>
      </c>
      <c r="E535" s="37">
        <f t="shared" si="17"/>
        <v>4.275277296909144E-3</v>
      </c>
    </row>
    <row r="536" spans="1:5" x14ac:dyDescent="0.35">
      <c r="A536" s="35">
        <v>44259</v>
      </c>
      <c r="B536" s="36">
        <v>166.12</v>
      </c>
      <c r="C536" s="36">
        <v>45278.53</v>
      </c>
      <c r="D536" s="37">
        <f t="shared" si="16"/>
        <v>-1.7274017983909061E-2</v>
      </c>
      <c r="E536" s="37">
        <f t="shared" si="17"/>
        <v>-1.9112545325273966E-2</v>
      </c>
    </row>
    <row r="537" spans="1:5" x14ac:dyDescent="0.35">
      <c r="A537" s="33">
        <v>44260</v>
      </c>
      <c r="B537" s="34">
        <v>171.25</v>
      </c>
      <c r="C537" s="34">
        <v>45837.35</v>
      </c>
      <c r="D537" s="37">
        <f t="shared" si="16"/>
        <v>3.088129063327712E-2</v>
      </c>
      <c r="E537" s="37">
        <f t="shared" si="17"/>
        <v>1.2341831768831711E-2</v>
      </c>
    </row>
    <row r="538" spans="1:5" x14ac:dyDescent="0.35">
      <c r="A538" s="35">
        <v>44263</v>
      </c>
      <c r="B538" s="36">
        <v>166.55</v>
      </c>
      <c r="C538" s="36">
        <v>45051.05</v>
      </c>
      <c r="D538" s="37">
        <f t="shared" si="16"/>
        <v>-2.7445255474452489E-2</v>
      </c>
      <c r="E538" s="37">
        <f t="shared" si="17"/>
        <v>-1.7154133037795501E-2</v>
      </c>
    </row>
    <row r="539" spans="1:5" x14ac:dyDescent="0.35">
      <c r="A539" s="33">
        <v>44264</v>
      </c>
      <c r="B539" s="34">
        <v>163.06</v>
      </c>
      <c r="C539" s="34">
        <v>44222.91</v>
      </c>
      <c r="D539" s="37">
        <f t="shared" si="16"/>
        <v>-2.0954668267787503E-2</v>
      </c>
      <c r="E539" s="37">
        <f t="shared" si="17"/>
        <v>-1.8382257461257826E-2</v>
      </c>
    </row>
    <row r="540" spans="1:5" x14ac:dyDescent="0.35">
      <c r="A540" s="35">
        <v>44265</v>
      </c>
      <c r="B540" s="36">
        <v>159.82</v>
      </c>
      <c r="C540" s="36">
        <v>43691.68</v>
      </c>
      <c r="D540" s="37">
        <f t="shared" si="16"/>
        <v>-1.9869986508033909E-2</v>
      </c>
      <c r="E540" s="37">
        <f t="shared" si="17"/>
        <v>-1.2012551865085385E-2</v>
      </c>
    </row>
    <row r="541" spans="1:5" x14ac:dyDescent="0.35">
      <c r="A541" s="33">
        <v>44266</v>
      </c>
      <c r="B541" s="34">
        <v>158.27000000000001</v>
      </c>
      <c r="C541" s="34">
        <v>42779.76</v>
      </c>
      <c r="D541" s="37">
        <f t="shared" si="16"/>
        <v>-9.6984107120509505E-3</v>
      </c>
      <c r="E541" s="37">
        <f t="shared" si="17"/>
        <v>-2.0871708297781139E-2</v>
      </c>
    </row>
    <row r="542" spans="1:5" x14ac:dyDescent="0.35">
      <c r="A542" s="35">
        <v>44267</v>
      </c>
      <c r="B542" s="36">
        <v>159.97999999999999</v>
      </c>
      <c r="C542" s="36">
        <v>43788.08</v>
      </c>
      <c r="D542" s="37">
        <f t="shared" si="16"/>
        <v>1.0804321728691347E-2</v>
      </c>
      <c r="E542" s="37">
        <f t="shared" si="17"/>
        <v>2.3570024703270884E-2</v>
      </c>
    </row>
    <row r="543" spans="1:5" x14ac:dyDescent="0.35">
      <c r="A543" s="33">
        <v>44270</v>
      </c>
      <c r="B543" s="34">
        <v>160.58000000000001</v>
      </c>
      <c r="C543" s="34">
        <v>44766.59</v>
      </c>
      <c r="D543" s="37">
        <f t="shared" si="16"/>
        <v>3.7504688086012175E-3</v>
      </c>
      <c r="E543" s="37">
        <f t="shared" si="17"/>
        <v>2.2346492470096763E-2</v>
      </c>
    </row>
    <row r="544" spans="1:5" x14ac:dyDescent="0.35">
      <c r="A544" s="35">
        <v>44271</v>
      </c>
      <c r="B544" s="36">
        <v>160.88</v>
      </c>
      <c r="C544" s="36">
        <v>44857.06</v>
      </c>
      <c r="D544" s="37">
        <f t="shared" si="16"/>
        <v>1.8682276746791813E-3</v>
      </c>
      <c r="E544" s="37">
        <f t="shared" si="17"/>
        <v>2.0209267670376761E-3</v>
      </c>
    </row>
    <row r="545" spans="1:5" x14ac:dyDescent="0.35">
      <c r="A545" s="33">
        <v>44272</v>
      </c>
      <c r="B545" s="34">
        <v>165.45</v>
      </c>
      <c r="C545" s="34">
        <v>45450.31</v>
      </c>
      <c r="D545" s="37">
        <f t="shared" si="16"/>
        <v>2.840626553953253E-2</v>
      </c>
      <c r="E545" s="37">
        <f t="shared" si="17"/>
        <v>1.3225342900314912E-2</v>
      </c>
    </row>
    <row r="546" spans="1:5" x14ac:dyDescent="0.35">
      <c r="A546" s="35">
        <v>44273</v>
      </c>
      <c r="B546" s="36">
        <v>162.76</v>
      </c>
      <c r="C546" s="36">
        <v>44724.09</v>
      </c>
      <c r="D546" s="37">
        <f t="shared" si="16"/>
        <v>-1.6258688425506183E-2</v>
      </c>
      <c r="E546" s="37">
        <f t="shared" si="17"/>
        <v>-1.5978328860683264E-2</v>
      </c>
    </row>
    <row r="547" spans="1:5" x14ac:dyDescent="0.35">
      <c r="A547" s="33">
        <v>44274</v>
      </c>
      <c r="B547" s="34">
        <v>162.81</v>
      </c>
      <c r="C547" s="34">
        <v>44901.31</v>
      </c>
      <c r="D547" s="37">
        <f t="shared" si="16"/>
        <v>3.0720078643408315E-4</v>
      </c>
      <c r="E547" s="37">
        <f t="shared" si="17"/>
        <v>3.9625177393212739E-3</v>
      </c>
    </row>
    <row r="548" spans="1:5" x14ac:dyDescent="0.35">
      <c r="A548" s="35">
        <v>44277</v>
      </c>
      <c r="B548" s="36">
        <v>162.72999999999999</v>
      </c>
      <c r="C548" s="36">
        <v>45407.33</v>
      </c>
      <c r="D548" s="37">
        <f t="shared" si="16"/>
        <v>-4.9137030894915855E-4</v>
      </c>
      <c r="E548" s="37">
        <f t="shared" si="17"/>
        <v>1.1269604383480217E-2</v>
      </c>
    </row>
    <row r="549" spans="1:5" x14ac:dyDescent="0.35">
      <c r="A549" s="33">
        <v>44279</v>
      </c>
      <c r="B549" s="34">
        <v>162.22</v>
      </c>
      <c r="C549" s="34">
        <v>45544.19</v>
      </c>
      <c r="D549" s="37">
        <f t="shared" si="16"/>
        <v>-3.1340256867202787E-3</v>
      </c>
      <c r="E549" s="37">
        <f t="shared" si="17"/>
        <v>3.014050815143735E-3</v>
      </c>
    </row>
    <row r="550" spans="1:5" x14ac:dyDescent="0.35">
      <c r="A550" s="35">
        <v>44280</v>
      </c>
      <c r="B550" s="36">
        <v>161.69999999999999</v>
      </c>
      <c r="C550" s="36">
        <v>45726.16</v>
      </c>
      <c r="D550" s="37">
        <f t="shared" si="16"/>
        <v>-3.2055233633338075E-3</v>
      </c>
      <c r="E550" s="37">
        <f t="shared" si="17"/>
        <v>3.9954602332372396E-3</v>
      </c>
    </row>
    <row r="551" spans="1:5" x14ac:dyDescent="0.35">
      <c r="A551" s="33">
        <v>44281</v>
      </c>
      <c r="B551" s="34">
        <v>164.01</v>
      </c>
      <c r="C551" s="34">
        <v>45521.63</v>
      </c>
      <c r="D551" s="37">
        <f t="shared" si="16"/>
        <v>1.4285714285714301E-2</v>
      </c>
      <c r="E551" s="37">
        <f t="shared" si="17"/>
        <v>-4.4729319059375657E-3</v>
      </c>
    </row>
    <row r="552" spans="1:5" x14ac:dyDescent="0.35">
      <c r="A552" s="35">
        <v>44284</v>
      </c>
      <c r="B552" s="36">
        <v>162.59</v>
      </c>
      <c r="C552" s="36">
        <v>44431.8</v>
      </c>
      <c r="D552" s="37">
        <f t="shared" si="16"/>
        <v>-8.6580086580085817E-3</v>
      </c>
      <c r="E552" s="37">
        <f t="shared" si="17"/>
        <v>-2.3940926544150431E-2</v>
      </c>
    </row>
    <row r="553" spans="1:5" x14ac:dyDescent="0.35">
      <c r="A553" s="33">
        <v>44285</v>
      </c>
      <c r="B553" s="34">
        <v>163.03</v>
      </c>
      <c r="C553" s="34">
        <v>44491.03</v>
      </c>
      <c r="D553" s="37">
        <f t="shared" si="16"/>
        <v>2.7061934928347235E-3</v>
      </c>
      <c r="E553" s="37">
        <f t="shared" si="17"/>
        <v>1.3330542539351528E-3</v>
      </c>
    </row>
    <row r="554" spans="1:5" x14ac:dyDescent="0.35">
      <c r="A554" s="35">
        <v>44286</v>
      </c>
      <c r="B554" s="36">
        <v>166.34</v>
      </c>
      <c r="C554" s="36">
        <v>44587.85</v>
      </c>
      <c r="D554" s="37">
        <f t="shared" si="16"/>
        <v>2.0303011715635172E-2</v>
      </c>
      <c r="E554" s="37">
        <f t="shared" si="17"/>
        <v>2.1761689940646397E-3</v>
      </c>
    </row>
    <row r="555" spans="1:5" x14ac:dyDescent="0.35">
      <c r="A555" s="33">
        <v>44287</v>
      </c>
      <c r="B555" s="34">
        <v>166.23</v>
      </c>
      <c r="C555" s="34">
        <v>44428.1</v>
      </c>
      <c r="D555" s="37">
        <f t="shared" si="16"/>
        <v>-6.6129614043533515E-4</v>
      </c>
      <c r="E555" s="37">
        <f t="shared" si="17"/>
        <v>-3.5828146008385696E-3</v>
      </c>
    </row>
    <row r="556" spans="1:5" x14ac:dyDescent="0.35">
      <c r="A556" s="35">
        <v>44288</v>
      </c>
      <c r="B556" s="36">
        <v>162.97999999999999</v>
      </c>
      <c r="C556" s="36">
        <v>44300.95</v>
      </c>
      <c r="D556" s="37">
        <f t="shared" si="16"/>
        <v>-1.9551224207423449E-2</v>
      </c>
      <c r="E556" s="37">
        <f t="shared" si="17"/>
        <v>-2.8619274738285335E-3</v>
      </c>
    </row>
    <row r="557" spans="1:5" x14ac:dyDescent="0.35">
      <c r="A557" s="33">
        <v>44291</v>
      </c>
      <c r="B557" s="34">
        <v>162.41999999999999</v>
      </c>
      <c r="C557" s="34">
        <v>43548.21</v>
      </c>
      <c r="D557" s="37">
        <f t="shared" si="16"/>
        <v>-3.43600441771998E-3</v>
      </c>
      <c r="E557" s="37">
        <f t="shared" si="17"/>
        <v>-1.69915092114277E-2</v>
      </c>
    </row>
    <row r="558" spans="1:5" x14ac:dyDescent="0.35">
      <c r="A558" s="35">
        <v>44292</v>
      </c>
      <c r="B558" s="36">
        <v>163.21</v>
      </c>
      <c r="C558" s="36">
        <v>44404.7</v>
      </c>
      <c r="D558" s="37">
        <f t="shared" si="16"/>
        <v>4.8639330131758441E-3</v>
      </c>
      <c r="E558" s="37">
        <f t="shared" si="17"/>
        <v>1.9667628129835829E-2</v>
      </c>
    </row>
    <row r="559" spans="1:5" x14ac:dyDescent="0.35">
      <c r="A559" s="33">
        <v>44293</v>
      </c>
      <c r="B559" s="34">
        <v>164.02</v>
      </c>
      <c r="C559" s="34">
        <v>43953.58</v>
      </c>
      <c r="D559" s="37">
        <f t="shared" si="16"/>
        <v>4.962931192941623E-3</v>
      </c>
      <c r="E559" s="37">
        <f t="shared" si="17"/>
        <v>-1.015928494055799E-2</v>
      </c>
    </row>
    <row r="560" spans="1:5" x14ac:dyDescent="0.35">
      <c r="A560" s="35">
        <v>44294</v>
      </c>
      <c r="B560" s="36">
        <v>164.84</v>
      </c>
      <c r="C560" s="36">
        <v>44741.36</v>
      </c>
      <c r="D560" s="37">
        <f t="shared" si="16"/>
        <v>4.9993903182538298E-3</v>
      </c>
      <c r="E560" s="37">
        <f t="shared" si="17"/>
        <v>1.7922999673746685E-2</v>
      </c>
    </row>
    <row r="561" spans="1:5" x14ac:dyDescent="0.35">
      <c r="A561" s="33">
        <v>44295</v>
      </c>
      <c r="B561" s="34">
        <v>167.68</v>
      </c>
      <c r="C561" s="34">
        <v>45186.48</v>
      </c>
      <c r="D561" s="37">
        <f t="shared" si="16"/>
        <v>1.7228827954380025E-2</v>
      </c>
      <c r="E561" s="37">
        <f t="shared" si="17"/>
        <v>9.948736471131021E-3</v>
      </c>
    </row>
    <row r="562" spans="1:5" x14ac:dyDescent="0.35">
      <c r="A562" s="35">
        <v>44298</v>
      </c>
      <c r="B562" s="36">
        <v>164.39</v>
      </c>
      <c r="C562" s="36">
        <v>44978.05</v>
      </c>
      <c r="D562" s="37">
        <f t="shared" si="16"/>
        <v>-1.9620706106870351E-2</v>
      </c>
      <c r="E562" s="37">
        <f t="shared" si="17"/>
        <v>-4.6126629027089579E-3</v>
      </c>
    </row>
    <row r="563" spans="1:5" x14ac:dyDescent="0.35">
      <c r="A563" s="33">
        <v>44299</v>
      </c>
      <c r="B563" s="34">
        <v>165.05</v>
      </c>
      <c r="C563" s="34">
        <v>45048.57</v>
      </c>
      <c r="D563" s="37">
        <f t="shared" si="16"/>
        <v>4.0148427519923662E-3</v>
      </c>
      <c r="E563" s="37">
        <f t="shared" si="17"/>
        <v>1.5678758861266062E-3</v>
      </c>
    </row>
    <row r="564" spans="1:5" x14ac:dyDescent="0.35">
      <c r="A564" s="35">
        <v>44300</v>
      </c>
      <c r="B564" s="36">
        <v>163.76</v>
      </c>
      <c r="C564" s="36">
        <v>45311.22</v>
      </c>
      <c r="D564" s="37">
        <f t="shared" si="16"/>
        <v>-7.815813389881977E-3</v>
      </c>
      <c r="E564" s="37">
        <f t="shared" si="17"/>
        <v>5.8303737499326054E-3</v>
      </c>
    </row>
    <row r="565" spans="1:5" x14ac:dyDescent="0.35">
      <c r="A565" s="33">
        <v>44301</v>
      </c>
      <c r="B565" s="34">
        <v>162</v>
      </c>
      <c r="C565" s="34">
        <v>45230.18</v>
      </c>
      <c r="D565" s="37">
        <f t="shared" si="16"/>
        <v>-1.0747435271128427E-2</v>
      </c>
      <c r="E565" s="37">
        <f t="shared" si="17"/>
        <v>-1.7885194881091455E-3</v>
      </c>
    </row>
    <row r="566" spans="1:5" x14ac:dyDescent="0.35">
      <c r="A566" s="35">
        <v>44302</v>
      </c>
      <c r="B566" s="36">
        <v>162</v>
      </c>
      <c r="C566" s="36">
        <v>45305.63</v>
      </c>
      <c r="D566" s="37">
        <f t="shared" si="16"/>
        <v>0</v>
      </c>
      <c r="E566" s="37">
        <f t="shared" si="17"/>
        <v>1.6681339760309839E-3</v>
      </c>
    </row>
    <row r="567" spans="1:5" x14ac:dyDescent="0.35">
      <c r="A567" s="33">
        <v>44305</v>
      </c>
      <c r="B567" s="34">
        <v>161.83000000000001</v>
      </c>
      <c r="C567" s="34">
        <v>44913.57</v>
      </c>
      <c r="D567" s="37">
        <f t="shared" si="16"/>
        <v>-1.0493827160493055E-3</v>
      </c>
      <c r="E567" s="37">
        <f t="shared" si="17"/>
        <v>-8.653670636519074E-3</v>
      </c>
    </row>
    <row r="568" spans="1:5" x14ac:dyDescent="0.35">
      <c r="A568" s="35">
        <v>44306</v>
      </c>
      <c r="B568" s="36">
        <v>161.80000000000001</v>
      </c>
      <c r="C568" s="36">
        <v>45399.78</v>
      </c>
      <c r="D568" s="37">
        <f t="shared" si="16"/>
        <v>-1.8537971945869824E-4</v>
      </c>
      <c r="E568" s="37">
        <f t="shared" si="17"/>
        <v>1.0825458764466934E-2</v>
      </c>
    </row>
    <row r="569" spans="1:5" x14ac:dyDescent="0.35">
      <c r="A569" s="33">
        <v>44307</v>
      </c>
      <c r="B569" s="34">
        <v>161.6</v>
      </c>
      <c r="C569" s="34">
        <v>45306.54</v>
      </c>
      <c r="D569" s="37">
        <f t="shared" si="16"/>
        <v>-1.2360939431397839E-3</v>
      </c>
      <c r="E569" s="37">
        <f t="shared" si="17"/>
        <v>-2.0537544455060787E-3</v>
      </c>
    </row>
    <row r="570" spans="1:5" x14ac:dyDescent="0.35">
      <c r="A570" s="35">
        <v>44308</v>
      </c>
      <c r="B570" s="36">
        <v>161.69999999999999</v>
      </c>
      <c r="C570" s="36">
        <v>44929.61</v>
      </c>
      <c r="D570" s="37">
        <f t="shared" si="16"/>
        <v>6.1881188118808369E-4</v>
      </c>
      <c r="E570" s="37">
        <f t="shared" si="17"/>
        <v>-8.3195494513595668E-3</v>
      </c>
    </row>
    <row r="571" spans="1:5" x14ac:dyDescent="0.35">
      <c r="A571" s="33">
        <v>44309</v>
      </c>
      <c r="B571" s="34">
        <v>161.99</v>
      </c>
      <c r="C571" s="34">
        <v>44706.76</v>
      </c>
      <c r="D571" s="37">
        <f t="shared" si="16"/>
        <v>1.7934446505876345E-3</v>
      </c>
      <c r="E571" s="37">
        <f t="shared" si="17"/>
        <v>-4.9599807343085897E-3</v>
      </c>
    </row>
    <row r="572" spans="1:5" x14ac:dyDescent="0.35">
      <c r="A572" s="35">
        <v>44312</v>
      </c>
      <c r="B572" s="36">
        <v>161.43</v>
      </c>
      <c r="C572" s="36">
        <v>45682.77</v>
      </c>
      <c r="D572" s="37">
        <f t="shared" si="16"/>
        <v>-3.4570035187357381E-3</v>
      </c>
      <c r="E572" s="37">
        <f t="shared" si="17"/>
        <v>2.1831374047235692E-2</v>
      </c>
    </row>
    <row r="573" spans="1:5" x14ac:dyDescent="0.35">
      <c r="A573" s="33">
        <v>44313</v>
      </c>
      <c r="B573" s="34">
        <v>168.34</v>
      </c>
      <c r="C573" s="34">
        <v>45292.87</v>
      </c>
      <c r="D573" s="37">
        <f t="shared" si="16"/>
        <v>4.2804930929814758E-2</v>
      </c>
      <c r="E573" s="37">
        <f t="shared" si="17"/>
        <v>-8.5349465454917506E-3</v>
      </c>
    </row>
    <row r="574" spans="1:5" x14ac:dyDescent="0.35">
      <c r="A574" s="35">
        <v>44314</v>
      </c>
      <c r="B574" s="36">
        <v>169.57</v>
      </c>
      <c r="C574" s="36">
        <v>45059.12</v>
      </c>
      <c r="D574" s="37">
        <f t="shared" si="16"/>
        <v>7.3066413211357361E-3</v>
      </c>
      <c r="E574" s="37">
        <f t="shared" si="17"/>
        <v>-5.1608564438508754E-3</v>
      </c>
    </row>
    <row r="575" spans="1:5" x14ac:dyDescent="0.35">
      <c r="A575" s="33">
        <v>44315</v>
      </c>
      <c r="B575" s="34">
        <v>168.62</v>
      </c>
      <c r="C575" s="34">
        <v>44863.11</v>
      </c>
      <c r="D575" s="37">
        <f t="shared" si="16"/>
        <v>-5.6024060859821232E-3</v>
      </c>
      <c r="E575" s="37">
        <f t="shared" si="17"/>
        <v>-4.3500627619891827E-3</v>
      </c>
    </row>
    <row r="576" spans="1:5" x14ac:dyDescent="0.35">
      <c r="A576" s="35">
        <v>44316</v>
      </c>
      <c r="B576" s="36">
        <v>171.66</v>
      </c>
      <c r="C576" s="36">
        <v>44262.35</v>
      </c>
      <c r="D576" s="37">
        <f t="shared" si="16"/>
        <v>1.8028703593879682E-2</v>
      </c>
      <c r="E576" s="37">
        <f t="shared" si="17"/>
        <v>-1.3390957514982845E-2</v>
      </c>
    </row>
    <row r="577" spans="1:5" x14ac:dyDescent="0.35">
      <c r="A577" s="33">
        <v>44319</v>
      </c>
      <c r="B577" s="34">
        <v>173.58</v>
      </c>
      <c r="C577" s="34">
        <v>44076.2</v>
      </c>
      <c r="D577" s="37">
        <f t="shared" si="16"/>
        <v>1.1184900384481044E-2</v>
      </c>
      <c r="E577" s="37">
        <f t="shared" si="17"/>
        <v>-4.2056058930445735E-3</v>
      </c>
    </row>
    <row r="578" spans="1:5" x14ac:dyDescent="0.35">
      <c r="A578" s="35">
        <v>44320</v>
      </c>
      <c r="B578" s="36">
        <v>170.3</v>
      </c>
      <c r="C578" s="36">
        <v>44563.59</v>
      </c>
      <c r="D578" s="37">
        <f t="shared" si="16"/>
        <v>-1.8896186196566429E-2</v>
      </c>
      <c r="E578" s="37">
        <f t="shared" si="17"/>
        <v>1.1057895190601718E-2</v>
      </c>
    </row>
    <row r="579" spans="1:5" x14ac:dyDescent="0.35">
      <c r="A579" s="33">
        <v>44321</v>
      </c>
      <c r="B579" s="34">
        <v>168.57</v>
      </c>
      <c r="C579" s="34">
        <v>44943.61</v>
      </c>
      <c r="D579" s="37">
        <f t="shared" si="16"/>
        <v>-1.0158543746330111E-2</v>
      </c>
      <c r="E579" s="37">
        <f t="shared" si="17"/>
        <v>8.5275894513885467E-3</v>
      </c>
    </row>
    <row r="580" spans="1:5" x14ac:dyDescent="0.35">
      <c r="A580" s="35">
        <v>44322</v>
      </c>
      <c r="B580" s="36">
        <v>170.33</v>
      </c>
      <c r="C580" s="36">
        <v>45174.67</v>
      </c>
      <c r="D580" s="37">
        <f t="shared" si="16"/>
        <v>1.0440766447173396E-2</v>
      </c>
      <c r="E580" s="37">
        <f t="shared" si="17"/>
        <v>5.1411090475375178E-3</v>
      </c>
    </row>
    <row r="581" spans="1:5" x14ac:dyDescent="0.35">
      <c r="A581" s="33">
        <v>44333</v>
      </c>
      <c r="B581" s="34">
        <v>173.59</v>
      </c>
      <c r="C581" s="34">
        <v>45796.31</v>
      </c>
      <c r="D581" s="37">
        <f t="shared" ref="D581:D644" si="18">(B581-B580)/B580</f>
        <v>1.9139317794868729E-2</v>
      </c>
      <c r="E581" s="37">
        <f t="shared" ref="E581:E644" si="19">(C581-C580)/C580</f>
        <v>1.376080887807259E-2</v>
      </c>
    </row>
    <row r="582" spans="1:5" x14ac:dyDescent="0.35">
      <c r="A582" s="35">
        <v>44334</v>
      </c>
      <c r="B582" s="36">
        <v>175.46</v>
      </c>
      <c r="C582" s="36">
        <v>45981.82</v>
      </c>
      <c r="D582" s="37">
        <f t="shared" si="18"/>
        <v>1.077250993720839E-2</v>
      </c>
      <c r="E582" s="37">
        <f t="shared" si="19"/>
        <v>4.0507630418259036E-3</v>
      </c>
    </row>
    <row r="583" spans="1:5" x14ac:dyDescent="0.35">
      <c r="A583" s="33">
        <v>44335</v>
      </c>
      <c r="B583" s="34">
        <v>175.74</v>
      </c>
      <c r="C583" s="34">
        <v>45682.11</v>
      </c>
      <c r="D583" s="37">
        <f t="shared" si="18"/>
        <v>1.5958053117519726E-3</v>
      </c>
      <c r="E583" s="37">
        <f t="shared" si="19"/>
        <v>-6.5180108138390156E-3</v>
      </c>
    </row>
    <row r="584" spans="1:5" x14ac:dyDescent="0.35">
      <c r="A584" s="35">
        <v>44336</v>
      </c>
      <c r="B584" s="36">
        <v>175.62</v>
      </c>
      <c r="C584" s="36">
        <v>45574.07</v>
      </c>
      <c r="D584" s="37">
        <f t="shared" si="18"/>
        <v>-6.82826903380019E-4</v>
      </c>
      <c r="E584" s="37">
        <f t="shared" si="19"/>
        <v>-2.3650396183539E-3</v>
      </c>
    </row>
    <row r="585" spans="1:5" x14ac:dyDescent="0.35">
      <c r="A585" s="33">
        <v>44337</v>
      </c>
      <c r="B585" s="34">
        <v>175.82</v>
      </c>
      <c r="C585" s="34">
        <v>45914.98</v>
      </c>
      <c r="D585" s="37">
        <f t="shared" si="18"/>
        <v>1.1388224575787987E-3</v>
      </c>
      <c r="E585" s="37">
        <f t="shared" si="19"/>
        <v>7.4803501201451501E-3</v>
      </c>
    </row>
    <row r="586" spans="1:5" x14ac:dyDescent="0.35">
      <c r="A586" s="35">
        <v>44340</v>
      </c>
      <c r="B586" s="36">
        <v>175.85</v>
      </c>
      <c r="C586" s="36">
        <v>46097.11</v>
      </c>
      <c r="D586" s="37">
        <f t="shared" si="18"/>
        <v>1.7062905244000193E-4</v>
      </c>
      <c r="E586" s="37">
        <f t="shared" si="19"/>
        <v>3.966679284189983E-3</v>
      </c>
    </row>
    <row r="587" spans="1:5" x14ac:dyDescent="0.35">
      <c r="A587" s="33">
        <v>44341</v>
      </c>
      <c r="B587" s="34">
        <v>176.03</v>
      </c>
      <c r="C587" s="34">
        <v>46300.66</v>
      </c>
      <c r="D587" s="37">
        <f t="shared" si="18"/>
        <v>1.0235996588001525E-3</v>
      </c>
      <c r="E587" s="37">
        <f t="shared" si="19"/>
        <v>4.4156781195177509E-3</v>
      </c>
    </row>
    <row r="588" spans="1:5" x14ac:dyDescent="0.35">
      <c r="A588" s="35">
        <v>44342</v>
      </c>
      <c r="B588" s="36">
        <v>177.54</v>
      </c>
      <c r="C588" s="36">
        <v>46812.31</v>
      </c>
      <c r="D588" s="37">
        <f t="shared" si="18"/>
        <v>8.5780832812588238E-3</v>
      </c>
      <c r="E588" s="37">
        <f t="shared" si="19"/>
        <v>1.1050598414795689E-2</v>
      </c>
    </row>
    <row r="589" spans="1:5" x14ac:dyDescent="0.35">
      <c r="A589" s="33">
        <v>44343</v>
      </c>
      <c r="B589" s="34">
        <v>178.33</v>
      </c>
      <c r="C589" s="34">
        <v>46790.75</v>
      </c>
      <c r="D589" s="37">
        <f t="shared" si="18"/>
        <v>4.4497014757238964E-3</v>
      </c>
      <c r="E589" s="37">
        <f t="shared" si="19"/>
        <v>-4.6056261696971742E-4</v>
      </c>
    </row>
    <row r="590" spans="1:5" x14ac:dyDescent="0.35">
      <c r="A590" s="35">
        <v>44344</v>
      </c>
      <c r="B590" s="36">
        <v>179.33</v>
      </c>
      <c r="C590" s="36">
        <v>47126.29</v>
      </c>
      <c r="D590" s="37">
        <f t="shared" si="18"/>
        <v>5.6075814501205627E-3</v>
      </c>
      <c r="E590" s="37">
        <f t="shared" si="19"/>
        <v>7.171075479662131E-3</v>
      </c>
    </row>
    <row r="591" spans="1:5" x14ac:dyDescent="0.35">
      <c r="A591" s="33">
        <v>44347</v>
      </c>
      <c r="B591" s="34">
        <v>181</v>
      </c>
      <c r="C591" s="34">
        <v>47896.34</v>
      </c>
      <c r="D591" s="37">
        <f t="shared" si="18"/>
        <v>9.3124407516867631E-3</v>
      </c>
      <c r="E591" s="37">
        <f t="shared" si="19"/>
        <v>1.6340136259399916E-2</v>
      </c>
    </row>
    <row r="592" spans="1:5" x14ac:dyDescent="0.35">
      <c r="A592" s="35">
        <v>44348</v>
      </c>
      <c r="B592" s="36">
        <v>180.71</v>
      </c>
      <c r="C592" s="36">
        <v>48191.26</v>
      </c>
      <c r="D592" s="37">
        <f t="shared" si="18"/>
        <v>-1.6022099447513373E-3</v>
      </c>
      <c r="E592" s="37">
        <f t="shared" si="19"/>
        <v>6.157464223780054E-3</v>
      </c>
    </row>
    <row r="593" spans="1:5" x14ac:dyDescent="0.35">
      <c r="A593" s="33">
        <v>44349</v>
      </c>
      <c r="B593" s="34">
        <v>180.97</v>
      </c>
      <c r="C593" s="34">
        <v>48126.9</v>
      </c>
      <c r="D593" s="37">
        <f t="shared" si="18"/>
        <v>1.4387692988766028E-3</v>
      </c>
      <c r="E593" s="37">
        <f t="shared" si="19"/>
        <v>-1.3355118749748519E-3</v>
      </c>
    </row>
    <row r="594" spans="1:5" x14ac:dyDescent="0.35">
      <c r="A594" s="35">
        <v>44350</v>
      </c>
      <c r="B594" s="36">
        <v>182.2</v>
      </c>
      <c r="C594" s="36">
        <v>48093.53</v>
      </c>
      <c r="D594" s="37">
        <f t="shared" si="18"/>
        <v>6.7967066364590248E-3</v>
      </c>
      <c r="E594" s="37">
        <f t="shared" si="19"/>
        <v>-6.9337522258866905E-4</v>
      </c>
    </row>
    <row r="595" spans="1:5" x14ac:dyDescent="0.35">
      <c r="A595" s="33">
        <v>44351</v>
      </c>
      <c r="B595" s="34">
        <v>182.22</v>
      </c>
      <c r="C595" s="34">
        <v>48211.7</v>
      </c>
      <c r="D595" s="37">
        <f t="shared" si="18"/>
        <v>1.0976948408348097E-4</v>
      </c>
      <c r="E595" s="37">
        <f t="shared" si="19"/>
        <v>2.4570872630891986E-3</v>
      </c>
    </row>
    <row r="596" spans="1:5" x14ac:dyDescent="0.35">
      <c r="A596" s="35">
        <v>44354</v>
      </c>
      <c r="B596" s="36">
        <v>181.79</v>
      </c>
      <c r="C596" s="36">
        <v>48302.66</v>
      </c>
      <c r="D596" s="37">
        <f t="shared" si="18"/>
        <v>-2.3597848754253474E-3</v>
      </c>
      <c r="E596" s="37">
        <f t="shared" si="19"/>
        <v>1.8866789596717478E-3</v>
      </c>
    </row>
    <row r="597" spans="1:5" x14ac:dyDescent="0.35">
      <c r="A597" s="33">
        <v>44355</v>
      </c>
      <c r="B597" s="34">
        <v>181.07</v>
      </c>
      <c r="C597" s="34">
        <v>48147.98</v>
      </c>
      <c r="D597" s="37">
        <f t="shared" si="18"/>
        <v>-3.9606138951537428E-3</v>
      </c>
      <c r="E597" s="37">
        <f t="shared" si="19"/>
        <v>-3.2023081130521649E-3</v>
      </c>
    </row>
    <row r="598" spans="1:5" x14ac:dyDescent="0.35">
      <c r="A598" s="35">
        <v>44356</v>
      </c>
      <c r="B598" s="36">
        <v>178.07</v>
      </c>
      <c r="C598" s="36">
        <v>47777.62</v>
      </c>
      <c r="D598" s="37">
        <f t="shared" si="18"/>
        <v>-1.6568178052686806E-2</v>
      </c>
      <c r="E598" s="37">
        <f t="shared" si="19"/>
        <v>-7.6921191709392704E-3</v>
      </c>
    </row>
    <row r="599" spans="1:5" x14ac:dyDescent="0.35">
      <c r="A599" s="33">
        <v>44357</v>
      </c>
      <c r="B599" s="34">
        <v>180.04</v>
      </c>
      <c r="C599" s="34">
        <v>48251.49</v>
      </c>
      <c r="D599" s="37">
        <f t="shared" si="18"/>
        <v>1.1063065086763626E-2</v>
      </c>
      <c r="E599" s="37">
        <f t="shared" si="19"/>
        <v>9.9182420555899466E-3</v>
      </c>
    </row>
    <row r="600" spans="1:5" x14ac:dyDescent="0.35">
      <c r="A600" s="35">
        <v>44358</v>
      </c>
      <c r="B600" s="36">
        <v>181.18</v>
      </c>
      <c r="C600" s="36">
        <v>48304.72</v>
      </c>
      <c r="D600" s="37">
        <f t="shared" si="18"/>
        <v>6.3319262386137241E-3</v>
      </c>
      <c r="E600" s="37">
        <f t="shared" si="19"/>
        <v>1.1031783681706658E-3</v>
      </c>
    </row>
    <row r="601" spans="1:5" x14ac:dyDescent="0.35">
      <c r="A601" s="33">
        <v>44361</v>
      </c>
      <c r="B601" s="34">
        <v>180.94</v>
      </c>
      <c r="C601" s="34">
        <v>48726.080000000002</v>
      </c>
      <c r="D601" s="37">
        <f t="shared" si="18"/>
        <v>-1.3246495198145991E-3</v>
      </c>
      <c r="E601" s="37">
        <f t="shared" si="19"/>
        <v>8.7229570940479638E-3</v>
      </c>
    </row>
    <row r="602" spans="1:5" x14ac:dyDescent="0.35">
      <c r="A602" s="35">
        <v>44362</v>
      </c>
      <c r="B602" s="36">
        <v>181.01</v>
      </c>
      <c r="C602" s="36">
        <v>48632.56</v>
      </c>
      <c r="D602" s="37">
        <f t="shared" si="18"/>
        <v>3.8686857521826669E-4</v>
      </c>
      <c r="E602" s="37">
        <f t="shared" si="19"/>
        <v>-1.9193007112413736E-3</v>
      </c>
    </row>
    <row r="603" spans="1:5" x14ac:dyDescent="0.35">
      <c r="A603" s="33">
        <v>44363</v>
      </c>
      <c r="B603" s="34">
        <v>178.49</v>
      </c>
      <c r="C603" s="34">
        <v>48480.9</v>
      </c>
      <c r="D603" s="37">
        <f t="shared" si="18"/>
        <v>-1.3921882768907696E-2</v>
      </c>
      <c r="E603" s="37">
        <f t="shared" si="19"/>
        <v>-3.1184868738145027E-3</v>
      </c>
    </row>
    <row r="604" spans="1:5" x14ac:dyDescent="0.35">
      <c r="A604" s="35">
        <v>44364</v>
      </c>
      <c r="B604" s="36">
        <v>179.21</v>
      </c>
      <c r="C604" s="36">
        <v>48131.25</v>
      </c>
      <c r="D604" s="37">
        <f t="shared" si="18"/>
        <v>4.0338394307804296E-3</v>
      </c>
      <c r="E604" s="37">
        <f t="shared" si="19"/>
        <v>-7.2121185869074515E-3</v>
      </c>
    </row>
    <row r="605" spans="1:5" x14ac:dyDescent="0.35">
      <c r="A605" s="33">
        <v>44365</v>
      </c>
      <c r="B605" s="34">
        <v>178.95</v>
      </c>
      <c r="C605" s="34">
        <v>48238.67</v>
      </c>
      <c r="D605" s="37">
        <f t="shared" si="18"/>
        <v>-1.4508118966576604E-3</v>
      </c>
      <c r="E605" s="37">
        <f t="shared" si="19"/>
        <v>2.2318140501233243E-3</v>
      </c>
    </row>
    <row r="606" spans="1:5" x14ac:dyDescent="0.35">
      <c r="A606" s="35">
        <v>44368</v>
      </c>
      <c r="B606" s="36">
        <v>177.01</v>
      </c>
      <c r="C606" s="36">
        <v>48012.52</v>
      </c>
      <c r="D606" s="37">
        <f t="shared" si="18"/>
        <v>-1.084101704386699E-2</v>
      </c>
      <c r="E606" s="37">
        <f t="shared" si="19"/>
        <v>-4.6881474966038962E-3</v>
      </c>
    </row>
    <row r="607" spans="1:5" x14ac:dyDescent="0.35">
      <c r="A607" s="33">
        <v>44369</v>
      </c>
      <c r="B607" s="34">
        <v>177.01</v>
      </c>
      <c r="C607" s="34">
        <v>47987.14</v>
      </c>
      <c r="D607" s="37">
        <f t="shared" si="18"/>
        <v>0</v>
      </c>
      <c r="E607" s="37">
        <f t="shared" si="19"/>
        <v>-5.2861212033855718E-4</v>
      </c>
    </row>
    <row r="608" spans="1:5" x14ac:dyDescent="0.35">
      <c r="A608" s="35">
        <v>44370</v>
      </c>
      <c r="B608" s="36">
        <v>176.86</v>
      </c>
      <c r="C608" s="36">
        <v>47900.7</v>
      </c>
      <c r="D608" s="37">
        <f t="shared" si="18"/>
        <v>-8.4740975086140488E-4</v>
      </c>
      <c r="E608" s="37">
        <f t="shared" si="19"/>
        <v>-1.8013159358945402E-3</v>
      </c>
    </row>
    <row r="609" spans="1:5" x14ac:dyDescent="0.35">
      <c r="A609" s="33">
        <v>44371</v>
      </c>
      <c r="B609" s="34">
        <v>177.05</v>
      </c>
      <c r="C609" s="34">
        <v>47962.54</v>
      </c>
      <c r="D609" s="37">
        <f t="shared" si="18"/>
        <v>1.0742960533755383E-3</v>
      </c>
      <c r="E609" s="37">
        <f t="shared" si="19"/>
        <v>1.2910040980612764E-3</v>
      </c>
    </row>
    <row r="610" spans="1:5" x14ac:dyDescent="0.35">
      <c r="A610" s="35">
        <v>44372</v>
      </c>
      <c r="B610" s="36">
        <v>176.02</v>
      </c>
      <c r="C610" s="36">
        <v>47703.94</v>
      </c>
      <c r="D610" s="37">
        <f t="shared" si="18"/>
        <v>-5.8175656594182494E-3</v>
      </c>
      <c r="E610" s="37">
        <f t="shared" si="19"/>
        <v>-5.3917077786121946E-3</v>
      </c>
    </row>
    <row r="611" spans="1:5" x14ac:dyDescent="0.35">
      <c r="A611" s="33">
        <v>44375</v>
      </c>
      <c r="B611" s="34">
        <v>170.43</v>
      </c>
      <c r="C611" s="34">
        <v>47002.35</v>
      </c>
      <c r="D611" s="37">
        <f t="shared" si="18"/>
        <v>-3.1757754800590857E-2</v>
      </c>
      <c r="E611" s="37">
        <f t="shared" si="19"/>
        <v>-1.4707170938081923E-2</v>
      </c>
    </row>
    <row r="612" spans="1:5" x14ac:dyDescent="0.35">
      <c r="A612" s="35">
        <v>44376</v>
      </c>
      <c r="B612" s="36">
        <v>170.32</v>
      </c>
      <c r="C612" s="36">
        <v>47137.77</v>
      </c>
      <c r="D612" s="37">
        <f t="shared" si="18"/>
        <v>-6.4542627471697264E-4</v>
      </c>
      <c r="E612" s="37">
        <f t="shared" si="19"/>
        <v>2.8811325391176878E-3</v>
      </c>
    </row>
    <row r="613" spans="1:5" x14ac:dyDescent="0.35">
      <c r="A613" s="33">
        <v>44377</v>
      </c>
      <c r="B613" s="34">
        <v>173.76</v>
      </c>
      <c r="C613" s="34">
        <v>47356.02</v>
      </c>
      <c r="D613" s="37">
        <f t="shared" si="18"/>
        <v>2.0197275716298719E-2</v>
      </c>
      <c r="E613" s="37">
        <f t="shared" si="19"/>
        <v>4.6300450785007443E-3</v>
      </c>
    </row>
    <row r="614" spans="1:5" x14ac:dyDescent="0.35">
      <c r="A614" s="35">
        <v>44378</v>
      </c>
      <c r="B614" s="36">
        <v>176.33</v>
      </c>
      <c r="C614" s="36">
        <v>47800.57</v>
      </c>
      <c r="D614" s="37">
        <f t="shared" si="18"/>
        <v>1.4790515653775448E-2</v>
      </c>
      <c r="E614" s="37">
        <f t="shared" si="19"/>
        <v>9.3874020663054659E-3</v>
      </c>
    </row>
    <row r="615" spans="1:5" x14ac:dyDescent="0.35">
      <c r="A615" s="33">
        <v>44379</v>
      </c>
      <c r="B615" s="34">
        <v>176.31</v>
      </c>
      <c r="C615" s="34">
        <v>47686.18</v>
      </c>
      <c r="D615" s="37">
        <f t="shared" si="18"/>
        <v>-1.1342369420977842E-4</v>
      </c>
      <c r="E615" s="37">
        <f t="shared" si="19"/>
        <v>-2.3930676977282784E-3</v>
      </c>
    </row>
    <row r="616" spans="1:5" x14ac:dyDescent="0.35">
      <c r="A616" s="35">
        <v>44382</v>
      </c>
      <c r="B616" s="36">
        <v>174.89</v>
      </c>
      <c r="C616" s="36">
        <v>47429.120000000003</v>
      </c>
      <c r="D616" s="37">
        <f t="shared" si="18"/>
        <v>-8.0539958028473472E-3</v>
      </c>
      <c r="E616" s="37">
        <f t="shared" si="19"/>
        <v>-5.3906603548448976E-3</v>
      </c>
    </row>
    <row r="617" spans="1:5" x14ac:dyDescent="0.35">
      <c r="A617" s="33">
        <v>44383</v>
      </c>
      <c r="B617" s="34">
        <v>174.28</v>
      </c>
      <c r="C617" s="34">
        <v>47346.16</v>
      </c>
      <c r="D617" s="37">
        <f t="shared" si="18"/>
        <v>-3.4879066842014137E-3</v>
      </c>
      <c r="E617" s="37">
        <f t="shared" si="19"/>
        <v>-1.7491363955308285E-3</v>
      </c>
    </row>
    <row r="618" spans="1:5" x14ac:dyDescent="0.35">
      <c r="A618" s="35">
        <v>44384</v>
      </c>
      <c r="B618" s="36">
        <v>173.55</v>
      </c>
      <c r="C618" s="36">
        <v>47247.92</v>
      </c>
      <c r="D618" s="37">
        <f t="shared" si="18"/>
        <v>-4.1886619233416902E-3</v>
      </c>
      <c r="E618" s="37">
        <f t="shared" si="19"/>
        <v>-2.0749306807564803E-3</v>
      </c>
    </row>
    <row r="619" spans="1:5" x14ac:dyDescent="0.35">
      <c r="A619" s="33">
        <v>44385</v>
      </c>
      <c r="B619" s="34">
        <v>175.68</v>
      </c>
      <c r="C619" s="34">
        <v>48053.17</v>
      </c>
      <c r="D619" s="37">
        <f t="shared" si="18"/>
        <v>1.227312013828865E-2</v>
      </c>
      <c r="E619" s="37">
        <f t="shared" si="19"/>
        <v>1.7043078298473246E-2</v>
      </c>
    </row>
    <row r="620" spans="1:5" x14ac:dyDescent="0.35">
      <c r="A620" s="35">
        <v>44386</v>
      </c>
      <c r="B620" s="36">
        <v>175.42</v>
      </c>
      <c r="C620" s="36">
        <v>47563.45</v>
      </c>
      <c r="D620" s="37">
        <f t="shared" si="18"/>
        <v>-1.4799635701276145E-3</v>
      </c>
      <c r="E620" s="37">
        <f t="shared" si="19"/>
        <v>-1.0191211110526135E-2</v>
      </c>
    </row>
    <row r="621" spans="1:5" x14ac:dyDescent="0.35">
      <c r="A621" s="33">
        <v>44389</v>
      </c>
      <c r="B621" s="34">
        <v>176.55</v>
      </c>
      <c r="C621" s="34">
        <v>47447.08</v>
      </c>
      <c r="D621" s="37">
        <f t="shared" si="18"/>
        <v>6.4416828183788844E-3</v>
      </c>
      <c r="E621" s="37">
        <f t="shared" si="19"/>
        <v>-2.4466265588386745E-3</v>
      </c>
    </row>
    <row r="622" spans="1:5" x14ac:dyDescent="0.35">
      <c r="A622" s="35">
        <v>44390</v>
      </c>
      <c r="B622" s="36">
        <v>176.83</v>
      </c>
      <c r="C622" s="36">
        <v>47480.49</v>
      </c>
      <c r="D622" s="37">
        <f t="shared" si="18"/>
        <v>1.5859529878221531E-3</v>
      </c>
      <c r="E622" s="37">
        <f t="shared" si="19"/>
        <v>7.0415292152849478E-4</v>
      </c>
    </row>
    <row r="623" spans="1:5" x14ac:dyDescent="0.35">
      <c r="A623" s="33">
        <v>44391</v>
      </c>
      <c r="B623" s="34">
        <v>176.45</v>
      </c>
      <c r="C623" s="34">
        <v>47491.47</v>
      </c>
      <c r="D623" s="37">
        <f t="shared" si="18"/>
        <v>-2.1489566250072036E-3</v>
      </c>
      <c r="E623" s="37">
        <f t="shared" si="19"/>
        <v>2.3125287881408136E-4</v>
      </c>
    </row>
    <row r="624" spans="1:5" x14ac:dyDescent="0.35">
      <c r="A624" s="35">
        <v>44392</v>
      </c>
      <c r="B624" s="36">
        <v>175.63</v>
      </c>
      <c r="C624" s="36">
        <v>47628.26</v>
      </c>
      <c r="D624" s="37">
        <f t="shared" si="18"/>
        <v>-4.6472088410314154E-3</v>
      </c>
      <c r="E624" s="37">
        <f t="shared" si="19"/>
        <v>2.8803067161324099E-3</v>
      </c>
    </row>
    <row r="625" spans="1:5" x14ac:dyDescent="0.35">
      <c r="A625" s="33">
        <v>44393</v>
      </c>
      <c r="B625" s="34">
        <v>174.61</v>
      </c>
      <c r="C625" s="34">
        <v>47834.33</v>
      </c>
      <c r="D625" s="37">
        <f t="shared" si="18"/>
        <v>-5.8076638387518182E-3</v>
      </c>
      <c r="E625" s="37">
        <f t="shared" si="19"/>
        <v>4.3266329695856977E-3</v>
      </c>
    </row>
    <row r="626" spans="1:5" x14ac:dyDescent="0.35">
      <c r="A626" s="35">
        <v>44396</v>
      </c>
      <c r="B626" s="36">
        <v>173.23</v>
      </c>
      <c r="C626" s="36">
        <v>47873.26</v>
      </c>
      <c r="D626" s="37">
        <f t="shared" si="18"/>
        <v>-7.9033274153829901E-3</v>
      </c>
      <c r="E626" s="37">
        <f t="shared" si="19"/>
        <v>8.1385063823409445E-4</v>
      </c>
    </row>
    <row r="627" spans="1:5" x14ac:dyDescent="0.35">
      <c r="A627" s="33">
        <v>44400</v>
      </c>
      <c r="B627" s="34">
        <v>171.36</v>
      </c>
      <c r="C627" s="34">
        <v>47793.07</v>
      </c>
      <c r="D627" s="37">
        <f t="shared" si="18"/>
        <v>-1.079489695780163E-2</v>
      </c>
      <c r="E627" s="37">
        <f t="shared" si="19"/>
        <v>-1.6750478241925101E-3</v>
      </c>
    </row>
    <row r="628" spans="1:5" x14ac:dyDescent="0.35">
      <c r="A628" s="35">
        <v>44403</v>
      </c>
      <c r="B628" s="36">
        <v>171.19</v>
      </c>
      <c r="C628" s="36">
        <v>47672.68</v>
      </c>
      <c r="D628" s="37">
        <f t="shared" si="18"/>
        <v>-9.9206349206358482E-4</v>
      </c>
      <c r="E628" s="37">
        <f t="shared" si="19"/>
        <v>-2.5189844469082948E-3</v>
      </c>
    </row>
    <row r="629" spans="1:5" x14ac:dyDescent="0.35">
      <c r="A629" s="33">
        <v>44404</v>
      </c>
      <c r="B629" s="34">
        <v>170.71</v>
      </c>
      <c r="C629" s="34">
        <v>47686.99</v>
      </c>
      <c r="D629" s="37">
        <f t="shared" si="18"/>
        <v>-2.8039020970850505E-3</v>
      </c>
      <c r="E629" s="37">
        <f t="shared" si="19"/>
        <v>3.0017192236722737E-4</v>
      </c>
    </row>
    <row r="630" spans="1:5" x14ac:dyDescent="0.35">
      <c r="A630" s="35">
        <v>44405</v>
      </c>
      <c r="B630" s="36">
        <v>172.17</v>
      </c>
      <c r="C630" s="36">
        <v>47318.03</v>
      </c>
      <c r="D630" s="37">
        <f t="shared" si="18"/>
        <v>8.5525159627437147E-3</v>
      </c>
      <c r="E630" s="37">
        <f t="shared" si="19"/>
        <v>-7.7371207534801239E-3</v>
      </c>
    </row>
    <row r="631" spans="1:5" x14ac:dyDescent="0.35">
      <c r="A631" s="33">
        <v>44406</v>
      </c>
      <c r="B631" s="34">
        <v>177.26</v>
      </c>
      <c r="C631" s="34">
        <v>47312.33</v>
      </c>
      <c r="D631" s="37">
        <f t="shared" si="18"/>
        <v>2.9563803217749922E-2</v>
      </c>
      <c r="E631" s="37">
        <f t="shared" si="19"/>
        <v>-1.2046148159585447E-4</v>
      </c>
    </row>
    <row r="632" spans="1:5" x14ac:dyDescent="0.35">
      <c r="A632" s="35">
        <v>44407</v>
      </c>
      <c r="B632" s="36">
        <v>179.56</v>
      </c>
      <c r="C632" s="36">
        <v>47055.29</v>
      </c>
      <c r="D632" s="37">
        <f t="shared" si="18"/>
        <v>1.2975290533679407E-2</v>
      </c>
      <c r="E632" s="37">
        <f t="shared" si="19"/>
        <v>-5.4328332593216368E-3</v>
      </c>
    </row>
    <row r="633" spans="1:5" x14ac:dyDescent="0.35">
      <c r="A633" s="33">
        <v>44410</v>
      </c>
      <c r="B633" s="34">
        <v>184.12</v>
      </c>
      <c r="C633" s="34">
        <v>47453.25</v>
      </c>
      <c r="D633" s="37">
        <f t="shared" si="18"/>
        <v>2.5395411004678115E-2</v>
      </c>
      <c r="E633" s="37">
        <f t="shared" si="19"/>
        <v>8.4572850363901515E-3</v>
      </c>
    </row>
    <row r="634" spans="1:5" x14ac:dyDescent="0.35">
      <c r="A634" s="35">
        <v>44411</v>
      </c>
      <c r="B634" s="36">
        <v>179.61</v>
      </c>
      <c r="C634" s="36">
        <v>47758.32</v>
      </c>
      <c r="D634" s="37">
        <f t="shared" si="18"/>
        <v>-2.4494894633934342E-2</v>
      </c>
      <c r="E634" s="37">
        <f t="shared" si="19"/>
        <v>6.428853661234999E-3</v>
      </c>
    </row>
    <row r="635" spans="1:5" x14ac:dyDescent="0.35">
      <c r="A635" s="33">
        <v>44412</v>
      </c>
      <c r="B635" s="34">
        <v>179.59</v>
      </c>
      <c r="C635" s="34">
        <v>47789.88</v>
      </c>
      <c r="D635" s="37">
        <f t="shared" si="18"/>
        <v>-1.1135237458944507E-4</v>
      </c>
      <c r="E635" s="37">
        <f t="shared" si="19"/>
        <v>6.6082726528063948E-4</v>
      </c>
    </row>
    <row r="636" spans="1:5" x14ac:dyDescent="0.35">
      <c r="A636" s="35">
        <v>44413</v>
      </c>
      <c r="B636" s="36">
        <v>175.42</v>
      </c>
      <c r="C636" s="36">
        <v>47640.88</v>
      </c>
      <c r="D636" s="37">
        <f t="shared" si="18"/>
        <v>-2.3219555654546555E-2</v>
      </c>
      <c r="E636" s="37">
        <f t="shared" si="19"/>
        <v>-3.1178149013975347E-3</v>
      </c>
    </row>
    <row r="637" spans="1:5" x14ac:dyDescent="0.35">
      <c r="A637" s="33">
        <v>44414</v>
      </c>
      <c r="B637" s="34">
        <v>177.06</v>
      </c>
      <c r="C637" s="34">
        <v>47489.95</v>
      </c>
      <c r="D637" s="37">
        <f t="shared" si="18"/>
        <v>9.3489909930453471E-3</v>
      </c>
      <c r="E637" s="37">
        <f t="shared" si="19"/>
        <v>-3.1680774998278853E-3</v>
      </c>
    </row>
    <row r="638" spans="1:5" x14ac:dyDescent="0.35">
      <c r="A638" s="35">
        <v>44417</v>
      </c>
      <c r="B638" s="36">
        <v>176.26</v>
      </c>
      <c r="C638" s="36">
        <v>47123.62</v>
      </c>
      <c r="D638" s="37">
        <f t="shared" si="18"/>
        <v>-4.518242403705023E-3</v>
      </c>
      <c r="E638" s="37">
        <f t="shared" si="19"/>
        <v>-7.7138426130159013E-3</v>
      </c>
    </row>
    <row r="639" spans="1:5" x14ac:dyDescent="0.35">
      <c r="A639" s="33">
        <v>44418</v>
      </c>
      <c r="B639" s="34">
        <v>176.67</v>
      </c>
      <c r="C639" s="34">
        <v>47135.48</v>
      </c>
      <c r="D639" s="37">
        <f t="shared" si="18"/>
        <v>2.3261091569272475E-3</v>
      </c>
      <c r="E639" s="37">
        <f t="shared" si="19"/>
        <v>2.5167845763972676E-4</v>
      </c>
    </row>
    <row r="640" spans="1:5" x14ac:dyDescent="0.35">
      <c r="A640" s="35">
        <v>44419</v>
      </c>
      <c r="B640" s="36">
        <v>176</v>
      </c>
      <c r="C640" s="36">
        <v>47377.38</v>
      </c>
      <c r="D640" s="37">
        <f t="shared" si="18"/>
        <v>-3.7923812758249137E-3</v>
      </c>
      <c r="E640" s="37">
        <f t="shared" si="19"/>
        <v>5.1320152038335908E-3</v>
      </c>
    </row>
    <row r="641" spans="1:5" x14ac:dyDescent="0.35">
      <c r="A641" s="33">
        <v>44420</v>
      </c>
      <c r="B641" s="34">
        <v>175.91</v>
      </c>
      <c r="C641" s="34">
        <v>47270.76</v>
      </c>
      <c r="D641" s="37">
        <f t="shared" si="18"/>
        <v>-5.113636363636557E-4</v>
      </c>
      <c r="E641" s="37">
        <f t="shared" si="19"/>
        <v>-2.2504410332524795E-3</v>
      </c>
    </row>
    <row r="642" spans="1:5" x14ac:dyDescent="0.35">
      <c r="A642" s="35">
        <v>44421</v>
      </c>
      <c r="B642" s="36">
        <v>174.09</v>
      </c>
      <c r="C642" s="36">
        <v>47169.84</v>
      </c>
      <c r="D642" s="37">
        <f t="shared" si="18"/>
        <v>-1.0346199761241506E-2</v>
      </c>
      <c r="E642" s="37">
        <f t="shared" si="19"/>
        <v>-2.1349349999874243E-3</v>
      </c>
    </row>
    <row r="643" spans="1:5" x14ac:dyDescent="0.35">
      <c r="A643" s="33">
        <v>44424</v>
      </c>
      <c r="B643" s="34">
        <v>174.16</v>
      </c>
      <c r="C643" s="34">
        <v>46912.79</v>
      </c>
      <c r="D643" s="37">
        <f t="shared" si="18"/>
        <v>4.020908725371542E-4</v>
      </c>
      <c r="E643" s="37">
        <f t="shared" si="19"/>
        <v>-5.4494566867302422E-3</v>
      </c>
    </row>
    <row r="644" spans="1:5" x14ac:dyDescent="0.35">
      <c r="A644" s="35">
        <v>44425</v>
      </c>
      <c r="B644" s="36">
        <v>172.95</v>
      </c>
      <c r="C644" s="36">
        <v>47258.45</v>
      </c>
      <c r="D644" s="37">
        <f t="shared" si="18"/>
        <v>-6.9476343592099676E-3</v>
      </c>
      <c r="E644" s="37">
        <f t="shared" si="19"/>
        <v>7.3681399038512995E-3</v>
      </c>
    </row>
    <row r="645" spans="1:5" x14ac:dyDescent="0.35">
      <c r="A645" s="33">
        <v>44428</v>
      </c>
      <c r="B645" s="34">
        <v>170.99</v>
      </c>
      <c r="C645" s="34">
        <v>47599.82</v>
      </c>
      <c r="D645" s="37">
        <f t="shared" ref="D645:D708" si="20">(B645-B644)/B644</f>
        <v>-1.133275513154079E-2</v>
      </c>
      <c r="E645" s="37">
        <f t="shared" ref="E645:E708" si="21">(C645-C644)/C644</f>
        <v>7.2234700884181062E-3</v>
      </c>
    </row>
    <row r="646" spans="1:5" x14ac:dyDescent="0.35">
      <c r="A646" s="35">
        <v>44431</v>
      </c>
      <c r="B646" s="36">
        <v>169.52</v>
      </c>
      <c r="C646" s="36">
        <v>48112.21</v>
      </c>
      <c r="D646" s="37">
        <f t="shared" si="20"/>
        <v>-8.5969939762559136E-3</v>
      </c>
      <c r="E646" s="37">
        <f t="shared" si="21"/>
        <v>1.0764536504549794E-2</v>
      </c>
    </row>
    <row r="647" spans="1:5" x14ac:dyDescent="0.35">
      <c r="A647" s="33">
        <v>44432</v>
      </c>
      <c r="B647" s="34">
        <v>169.97</v>
      </c>
      <c r="C647" s="34">
        <v>47828.71</v>
      </c>
      <c r="D647" s="37">
        <f t="shared" si="20"/>
        <v>2.654554034922066E-3</v>
      </c>
      <c r="E647" s="37">
        <f t="shared" si="21"/>
        <v>-5.8924751118271225E-3</v>
      </c>
    </row>
    <row r="648" spans="1:5" x14ac:dyDescent="0.35">
      <c r="A648" s="35">
        <v>44433</v>
      </c>
      <c r="B648" s="36">
        <v>169.87</v>
      </c>
      <c r="C648" s="36">
        <v>47635.9</v>
      </c>
      <c r="D648" s="37">
        <f t="shared" si="20"/>
        <v>-5.8833911866796684E-4</v>
      </c>
      <c r="E648" s="37">
        <f t="shared" si="21"/>
        <v>-4.0312607218550879E-3</v>
      </c>
    </row>
    <row r="649" spans="1:5" x14ac:dyDescent="0.35">
      <c r="A649" s="33">
        <v>44434</v>
      </c>
      <c r="B649" s="34">
        <v>169.93</v>
      </c>
      <c r="C649" s="34">
        <v>47363.27</v>
      </c>
      <c r="D649" s="37">
        <f t="shared" si="20"/>
        <v>3.5321127921352961E-4</v>
      </c>
      <c r="E649" s="37">
        <f t="shared" si="21"/>
        <v>-5.7232045579070547E-3</v>
      </c>
    </row>
    <row r="650" spans="1:5" x14ac:dyDescent="0.35">
      <c r="A650" s="35">
        <v>44435</v>
      </c>
      <c r="B650" s="36">
        <v>168.5</v>
      </c>
      <c r="C650" s="36">
        <v>47136.53</v>
      </c>
      <c r="D650" s="37">
        <f t="shared" si="20"/>
        <v>-8.4152298005061299E-3</v>
      </c>
      <c r="E650" s="37">
        <f t="shared" si="21"/>
        <v>-4.7872539206013009E-3</v>
      </c>
    </row>
    <row r="651" spans="1:5" x14ac:dyDescent="0.35">
      <c r="A651" s="33">
        <v>44438</v>
      </c>
      <c r="B651" s="34">
        <v>168.4</v>
      </c>
      <c r="C651" s="34">
        <v>47365.7</v>
      </c>
      <c r="D651" s="37">
        <f t="shared" si="20"/>
        <v>-5.9347181008898703E-4</v>
      </c>
      <c r="E651" s="37">
        <f t="shared" si="21"/>
        <v>4.8618343352809009E-3</v>
      </c>
    </row>
    <row r="652" spans="1:5" x14ac:dyDescent="0.35">
      <c r="A652" s="35">
        <v>44439</v>
      </c>
      <c r="B652" s="36">
        <v>167.57</v>
      </c>
      <c r="C652" s="36">
        <v>47419.74</v>
      </c>
      <c r="D652" s="37">
        <f t="shared" si="20"/>
        <v>-4.9287410926366539E-3</v>
      </c>
      <c r="E652" s="37">
        <f t="shared" si="21"/>
        <v>1.1409099833846197E-3</v>
      </c>
    </row>
    <row r="653" spans="1:5" x14ac:dyDescent="0.35">
      <c r="A653" s="33">
        <v>44440</v>
      </c>
      <c r="B653" s="34">
        <v>166</v>
      </c>
      <c r="C653" s="34">
        <v>47413.46</v>
      </c>
      <c r="D653" s="37">
        <f t="shared" si="20"/>
        <v>-9.3692188339201121E-3</v>
      </c>
      <c r="E653" s="37">
        <f t="shared" si="21"/>
        <v>-1.3243429845880293E-4</v>
      </c>
    </row>
    <row r="654" spans="1:5" x14ac:dyDescent="0.35">
      <c r="A654" s="35">
        <v>44441</v>
      </c>
      <c r="B654" s="36">
        <v>164.27</v>
      </c>
      <c r="C654" s="36">
        <v>46903.06</v>
      </c>
      <c r="D654" s="37">
        <f t="shared" si="20"/>
        <v>-1.0421686746987889E-2</v>
      </c>
      <c r="E654" s="37">
        <f t="shared" si="21"/>
        <v>-1.0764875628144445E-2</v>
      </c>
    </row>
    <row r="655" spans="1:5" x14ac:dyDescent="0.35">
      <c r="A655" s="33">
        <v>44442</v>
      </c>
      <c r="B655" s="34">
        <v>165.3</v>
      </c>
      <c r="C655" s="34">
        <v>46957.47</v>
      </c>
      <c r="D655" s="37">
        <f t="shared" si="20"/>
        <v>6.2701649723017052E-3</v>
      </c>
      <c r="E655" s="37">
        <f t="shared" si="21"/>
        <v>1.1600522439261637E-3</v>
      </c>
    </row>
    <row r="656" spans="1:5" x14ac:dyDescent="0.35">
      <c r="A656" s="35">
        <v>44445</v>
      </c>
      <c r="B656" s="36">
        <v>164.97</v>
      </c>
      <c r="C656" s="36">
        <v>46918.52</v>
      </c>
      <c r="D656" s="37">
        <f t="shared" si="20"/>
        <v>-1.99637023593474E-3</v>
      </c>
      <c r="E656" s="37">
        <f t="shared" si="21"/>
        <v>-8.2947398997442509E-4</v>
      </c>
    </row>
    <row r="657" spans="1:5" x14ac:dyDescent="0.35">
      <c r="A657" s="33">
        <v>44446</v>
      </c>
      <c r="B657" s="34">
        <v>162</v>
      </c>
      <c r="C657" s="34">
        <v>46729.96</v>
      </c>
      <c r="D657" s="37">
        <f t="shared" si="20"/>
        <v>-1.8003273322422252E-2</v>
      </c>
      <c r="E657" s="37">
        <f t="shared" si="21"/>
        <v>-4.018882096025145E-3</v>
      </c>
    </row>
    <row r="658" spans="1:5" x14ac:dyDescent="0.35">
      <c r="A658" s="35">
        <v>44447</v>
      </c>
      <c r="B658" s="36">
        <v>161.09</v>
      </c>
      <c r="C658" s="36">
        <v>46396.71</v>
      </c>
      <c r="D658" s="37">
        <f t="shared" si="20"/>
        <v>-5.6172839506172627E-3</v>
      </c>
      <c r="E658" s="37">
        <f t="shared" si="21"/>
        <v>-7.1313992136950262E-3</v>
      </c>
    </row>
    <row r="659" spans="1:5" x14ac:dyDescent="0.35">
      <c r="A659" s="33">
        <v>44448</v>
      </c>
      <c r="B659" s="34">
        <v>161.52000000000001</v>
      </c>
      <c r="C659" s="34">
        <v>46625.120000000003</v>
      </c>
      <c r="D659" s="37">
        <f t="shared" si="20"/>
        <v>2.6693152895897127E-3</v>
      </c>
      <c r="E659" s="37">
        <f t="shared" si="21"/>
        <v>4.9229783749753699E-3</v>
      </c>
    </row>
    <row r="660" spans="1:5" x14ac:dyDescent="0.35">
      <c r="A660" s="35">
        <v>44449</v>
      </c>
      <c r="B660" s="36">
        <v>161.97999999999999</v>
      </c>
      <c r="C660" s="36">
        <v>47198.29</v>
      </c>
      <c r="D660" s="37">
        <f t="shared" si="20"/>
        <v>2.8479445269934344E-3</v>
      </c>
      <c r="E660" s="37">
        <f t="shared" si="21"/>
        <v>1.2293158709296582E-2</v>
      </c>
    </row>
    <row r="661" spans="1:5" x14ac:dyDescent="0.35">
      <c r="A661" s="33">
        <v>44452</v>
      </c>
      <c r="B661" s="34">
        <v>162</v>
      </c>
      <c r="C661" s="34">
        <v>47270.46</v>
      </c>
      <c r="D661" s="37">
        <f t="shared" si="20"/>
        <v>1.234720335844563E-4</v>
      </c>
      <c r="E661" s="37">
        <f t="shared" si="21"/>
        <v>1.5290808205127399E-3</v>
      </c>
    </row>
    <row r="662" spans="1:5" x14ac:dyDescent="0.35">
      <c r="A662" s="35">
        <v>44453</v>
      </c>
      <c r="B662" s="36">
        <v>160</v>
      </c>
      <c r="C662" s="36">
        <v>46891.34</v>
      </c>
      <c r="D662" s="37">
        <f t="shared" si="20"/>
        <v>-1.2345679012345678E-2</v>
      </c>
      <c r="E662" s="37">
        <f t="shared" si="21"/>
        <v>-8.0202308164549832E-3</v>
      </c>
    </row>
    <row r="663" spans="1:5" x14ac:dyDescent="0.35">
      <c r="A663" s="33">
        <v>44454</v>
      </c>
      <c r="B663" s="34">
        <v>159.21</v>
      </c>
      <c r="C663" s="34">
        <v>46716.72</v>
      </c>
      <c r="D663" s="37">
        <f t="shared" si="20"/>
        <v>-4.9374999999999506E-3</v>
      </c>
      <c r="E663" s="37">
        <f t="shared" si="21"/>
        <v>-3.7239285548247365E-3</v>
      </c>
    </row>
    <row r="664" spans="1:5" x14ac:dyDescent="0.35">
      <c r="A664" s="35">
        <v>44455</v>
      </c>
      <c r="B664" s="36">
        <v>159.61000000000001</v>
      </c>
      <c r="C664" s="36">
        <v>46920.46</v>
      </c>
      <c r="D664" s="37">
        <f t="shared" si="20"/>
        <v>2.5124049996859848E-3</v>
      </c>
      <c r="E664" s="37">
        <f t="shared" si="21"/>
        <v>4.3611794663666022E-3</v>
      </c>
    </row>
    <row r="665" spans="1:5" x14ac:dyDescent="0.35">
      <c r="A665" s="33">
        <v>44456</v>
      </c>
      <c r="B665" s="34">
        <v>159.87</v>
      </c>
      <c r="C665" s="34">
        <v>46636.08</v>
      </c>
      <c r="D665" s="37">
        <f t="shared" si="20"/>
        <v>1.6289706158761411E-3</v>
      </c>
      <c r="E665" s="37">
        <f t="shared" si="21"/>
        <v>-6.0608953961661374E-3</v>
      </c>
    </row>
    <row r="666" spans="1:5" x14ac:dyDescent="0.35">
      <c r="A666" s="35">
        <v>44459</v>
      </c>
      <c r="B666" s="36">
        <v>159.97999999999999</v>
      </c>
      <c r="C666" s="36">
        <v>46528.21</v>
      </c>
      <c r="D666" s="37">
        <f t="shared" si="20"/>
        <v>6.8805904797638847E-4</v>
      </c>
      <c r="E666" s="37">
        <f t="shared" si="21"/>
        <v>-2.3130160167836281E-3</v>
      </c>
    </row>
    <row r="667" spans="1:5" x14ac:dyDescent="0.35">
      <c r="A667" s="33">
        <v>44460</v>
      </c>
      <c r="B667" s="34">
        <v>156.5</v>
      </c>
      <c r="C667" s="34">
        <v>46008.85</v>
      </c>
      <c r="D667" s="37">
        <f t="shared" si="20"/>
        <v>-2.1752719089886172E-2</v>
      </c>
      <c r="E667" s="37">
        <f t="shared" si="21"/>
        <v>-1.1162260486702595E-2</v>
      </c>
    </row>
    <row r="668" spans="1:5" x14ac:dyDescent="0.35">
      <c r="A668" s="35">
        <v>44461</v>
      </c>
      <c r="B668" s="36">
        <v>156.54</v>
      </c>
      <c r="C668" s="36">
        <v>45597.24</v>
      </c>
      <c r="D668" s="37">
        <f t="shared" si="20"/>
        <v>2.555910543130482E-4</v>
      </c>
      <c r="E668" s="37">
        <f t="shared" si="21"/>
        <v>-8.9463222836476154E-3</v>
      </c>
    </row>
    <row r="669" spans="1:5" x14ac:dyDescent="0.35">
      <c r="A669" s="33">
        <v>44462</v>
      </c>
      <c r="B669" s="34">
        <v>158.55000000000001</v>
      </c>
      <c r="C669" s="34">
        <v>45296.88</v>
      </c>
      <c r="D669" s="37">
        <f t="shared" si="20"/>
        <v>1.2840168646991309E-2</v>
      </c>
      <c r="E669" s="37">
        <f t="shared" si="21"/>
        <v>-6.5872408066804172E-3</v>
      </c>
    </row>
    <row r="670" spans="1:5" x14ac:dyDescent="0.35">
      <c r="A670" s="35">
        <v>44463</v>
      </c>
      <c r="B670" s="36">
        <v>159.19</v>
      </c>
      <c r="C670" s="36">
        <v>45073.52</v>
      </c>
      <c r="D670" s="37">
        <f t="shared" si="20"/>
        <v>4.0365815200251419E-3</v>
      </c>
      <c r="E670" s="37">
        <f t="shared" si="21"/>
        <v>-4.9310239469031996E-3</v>
      </c>
    </row>
    <row r="671" spans="1:5" x14ac:dyDescent="0.35">
      <c r="A671" s="33">
        <v>44466</v>
      </c>
      <c r="B671" s="34">
        <v>158.91999999999999</v>
      </c>
      <c r="C671" s="34">
        <v>44817.760000000002</v>
      </c>
      <c r="D671" s="37">
        <f t="shared" si="20"/>
        <v>-1.6960864375903653E-3</v>
      </c>
      <c r="E671" s="37">
        <f t="shared" si="21"/>
        <v>-5.6742850347608698E-3</v>
      </c>
    </row>
    <row r="672" spans="1:5" x14ac:dyDescent="0.35">
      <c r="A672" s="35">
        <v>44467</v>
      </c>
      <c r="B672" s="36">
        <v>161.08000000000001</v>
      </c>
      <c r="C672" s="36">
        <v>45274.93</v>
      </c>
      <c r="D672" s="37">
        <f t="shared" si="20"/>
        <v>1.3591744273848636E-2</v>
      </c>
      <c r="E672" s="37">
        <f t="shared" si="21"/>
        <v>1.0200643673400862E-2</v>
      </c>
    </row>
    <row r="673" spans="1:5" x14ac:dyDescent="0.35">
      <c r="A673" s="33">
        <v>44468</v>
      </c>
      <c r="B673" s="34">
        <v>156.22999999999999</v>
      </c>
      <c r="C673" s="34">
        <v>44366.74</v>
      </c>
      <c r="D673" s="37">
        <f t="shared" si="20"/>
        <v>-3.0109262478271805E-2</v>
      </c>
      <c r="E673" s="37">
        <f t="shared" si="21"/>
        <v>-2.0059445702069606E-2</v>
      </c>
    </row>
    <row r="674" spans="1:5" x14ac:dyDescent="0.35">
      <c r="A674" s="35">
        <v>44469</v>
      </c>
      <c r="B674" s="36">
        <v>158.71</v>
      </c>
      <c r="C674" s="36">
        <v>44899.6</v>
      </c>
      <c r="D674" s="37">
        <f t="shared" si="20"/>
        <v>1.5874031876080257E-2</v>
      </c>
      <c r="E674" s="37">
        <f t="shared" si="21"/>
        <v>1.2010348292437096E-2</v>
      </c>
    </row>
    <row r="675" spans="1:5" x14ac:dyDescent="0.35">
      <c r="A675" s="33">
        <v>44470</v>
      </c>
      <c r="B675" s="34">
        <v>158.6</v>
      </c>
      <c r="C675" s="34">
        <v>44871.7</v>
      </c>
      <c r="D675" s="37">
        <f t="shared" si="20"/>
        <v>-6.9308802217890261E-4</v>
      </c>
      <c r="E675" s="37">
        <f t="shared" si="21"/>
        <v>-6.2138638206134255E-4</v>
      </c>
    </row>
    <row r="676" spans="1:5" x14ac:dyDescent="0.35">
      <c r="A676" s="35">
        <v>44473</v>
      </c>
      <c r="B676" s="36">
        <v>156.24</v>
      </c>
      <c r="C676" s="36">
        <v>45044.5</v>
      </c>
      <c r="D676" s="37">
        <f t="shared" si="20"/>
        <v>-1.4880201765447574E-2</v>
      </c>
      <c r="E676" s="37">
        <f t="shared" si="21"/>
        <v>3.8509795706425857E-3</v>
      </c>
    </row>
    <row r="677" spans="1:5" x14ac:dyDescent="0.35">
      <c r="A677" s="33">
        <v>44474</v>
      </c>
      <c r="B677" s="34">
        <v>155</v>
      </c>
      <c r="C677" s="34">
        <v>44666.57</v>
      </c>
      <c r="D677" s="37">
        <f t="shared" si="20"/>
        <v>-7.936507936507995E-3</v>
      </c>
      <c r="E677" s="37">
        <f t="shared" si="21"/>
        <v>-8.3901475207850077E-3</v>
      </c>
    </row>
    <row r="678" spans="1:5" x14ac:dyDescent="0.35">
      <c r="A678" s="35">
        <v>44475</v>
      </c>
      <c r="B678" s="36">
        <v>151.4</v>
      </c>
      <c r="C678" s="36">
        <v>44373.23</v>
      </c>
      <c r="D678" s="37">
        <f t="shared" si="20"/>
        <v>-2.3225806451612867E-2</v>
      </c>
      <c r="E678" s="37">
        <f t="shared" si="21"/>
        <v>-6.5673276457090058E-3</v>
      </c>
    </row>
    <row r="679" spans="1:5" x14ac:dyDescent="0.35">
      <c r="A679" s="33">
        <v>44476</v>
      </c>
      <c r="B679" s="34">
        <v>153.02000000000001</v>
      </c>
      <c r="C679" s="34">
        <v>44586.04</v>
      </c>
      <c r="D679" s="37">
        <f t="shared" si="20"/>
        <v>1.0700132100396331E-2</v>
      </c>
      <c r="E679" s="37">
        <f t="shared" si="21"/>
        <v>4.7959096058591555E-3</v>
      </c>
    </row>
    <row r="680" spans="1:5" x14ac:dyDescent="0.35">
      <c r="A680" s="35">
        <v>44477</v>
      </c>
      <c r="B680" s="36">
        <v>154.08000000000001</v>
      </c>
      <c r="C680" s="36">
        <v>44477.23</v>
      </c>
      <c r="D680" s="37">
        <f t="shared" si="20"/>
        <v>6.927199058946557E-3</v>
      </c>
      <c r="E680" s="37">
        <f t="shared" si="21"/>
        <v>-2.4404499704391257E-3</v>
      </c>
    </row>
    <row r="681" spans="1:5" x14ac:dyDescent="0.35">
      <c r="A681" s="33">
        <v>44480</v>
      </c>
      <c r="B681" s="34">
        <v>154.86000000000001</v>
      </c>
      <c r="C681" s="34">
        <v>43829.35</v>
      </c>
      <c r="D681" s="37">
        <f t="shared" si="20"/>
        <v>5.0623052959501624E-3</v>
      </c>
      <c r="E681" s="37">
        <f t="shared" si="21"/>
        <v>-1.4566554616823138E-2</v>
      </c>
    </row>
    <row r="682" spans="1:5" x14ac:dyDescent="0.35">
      <c r="A682" s="35">
        <v>44481</v>
      </c>
      <c r="B682" s="36">
        <v>155.94</v>
      </c>
      <c r="C682" s="36">
        <v>43883.08</v>
      </c>
      <c r="D682" s="37">
        <f t="shared" si="20"/>
        <v>6.9740410693528605E-3</v>
      </c>
      <c r="E682" s="37">
        <f t="shared" si="21"/>
        <v>1.2258908699308386E-3</v>
      </c>
    </row>
    <row r="683" spans="1:5" x14ac:dyDescent="0.35">
      <c r="A683" s="33">
        <v>44482</v>
      </c>
      <c r="B683" s="34">
        <v>154.75</v>
      </c>
      <c r="C683" s="34">
        <v>43221.78</v>
      </c>
      <c r="D683" s="37">
        <f t="shared" si="20"/>
        <v>-7.6311401821213144E-3</v>
      </c>
      <c r="E683" s="37">
        <f t="shared" si="21"/>
        <v>-1.5069589463638443E-2</v>
      </c>
    </row>
    <row r="684" spans="1:5" x14ac:dyDescent="0.35">
      <c r="A684" s="35">
        <v>44483</v>
      </c>
      <c r="B684" s="36">
        <v>154.46</v>
      </c>
      <c r="C684" s="36">
        <v>44333.68</v>
      </c>
      <c r="D684" s="37">
        <f t="shared" si="20"/>
        <v>-1.8739903069466368E-3</v>
      </c>
      <c r="E684" s="37">
        <f t="shared" si="21"/>
        <v>2.5725456008521663E-2</v>
      </c>
    </row>
    <row r="685" spans="1:5" x14ac:dyDescent="0.35">
      <c r="A685" s="33">
        <v>44484</v>
      </c>
      <c r="B685" s="34">
        <v>154.29</v>
      </c>
      <c r="C685" s="34">
        <v>44821.53</v>
      </c>
      <c r="D685" s="37">
        <f t="shared" si="20"/>
        <v>-1.1006085717986268E-3</v>
      </c>
      <c r="E685" s="37">
        <f t="shared" si="21"/>
        <v>1.1004049291644604E-2</v>
      </c>
    </row>
    <row r="686" spans="1:5" x14ac:dyDescent="0.35">
      <c r="A686" s="35">
        <v>44487</v>
      </c>
      <c r="B686" s="36">
        <v>151.99</v>
      </c>
      <c r="C686" s="36">
        <v>44629.45</v>
      </c>
      <c r="D686" s="37">
        <f t="shared" si="20"/>
        <v>-1.4906993324259401E-2</v>
      </c>
      <c r="E686" s="37">
        <f t="shared" si="21"/>
        <v>-4.2854405014733261E-3</v>
      </c>
    </row>
    <row r="687" spans="1:5" x14ac:dyDescent="0.35">
      <c r="A687" s="33">
        <v>44489</v>
      </c>
      <c r="B687" s="34">
        <v>156.38999999999999</v>
      </c>
      <c r="C687" s="34">
        <v>45499.46</v>
      </c>
      <c r="D687" s="37">
        <f t="shared" si="20"/>
        <v>2.8949272978485277E-2</v>
      </c>
      <c r="E687" s="37">
        <f t="shared" si="21"/>
        <v>1.9494078461643648E-2</v>
      </c>
    </row>
    <row r="688" spans="1:5" x14ac:dyDescent="0.35">
      <c r="A688" s="35">
        <v>44490</v>
      </c>
      <c r="B688" s="36">
        <v>156.62</v>
      </c>
      <c r="C688" s="36">
        <v>45821.4</v>
      </c>
      <c r="D688" s="37">
        <f t="shared" si="20"/>
        <v>1.4706822686873728E-3</v>
      </c>
      <c r="E688" s="37">
        <f t="shared" si="21"/>
        <v>7.0756883708070891E-3</v>
      </c>
    </row>
    <row r="689" spans="1:5" x14ac:dyDescent="0.35">
      <c r="A689" s="33">
        <v>44491</v>
      </c>
      <c r="B689" s="34">
        <v>159.44</v>
      </c>
      <c r="C689" s="34">
        <v>45578.36</v>
      </c>
      <c r="D689" s="37">
        <f t="shared" si="20"/>
        <v>1.8005363299706253E-2</v>
      </c>
      <c r="E689" s="37">
        <f t="shared" si="21"/>
        <v>-5.3040718965374446E-3</v>
      </c>
    </row>
    <row r="690" spans="1:5" x14ac:dyDescent="0.35">
      <c r="A690" s="35">
        <v>44494</v>
      </c>
      <c r="B690" s="36">
        <v>160</v>
      </c>
      <c r="C690" s="36">
        <v>45429.22</v>
      </c>
      <c r="D690" s="37">
        <f t="shared" si="20"/>
        <v>3.5122930255895779E-3</v>
      </c>
      <c r="E690" s="37">
        <f t="shared" si="21"/>
        <v>-3.2721668791944121E-3</v>
      </c>
    </row>
    <row r="691" spans="1:5" x14ac:dyDescent="0.35">
      <c r="A691" s="33">
        <v>44495</v>
      </c>
      <c r="B691" s="34">
        <v>160.5</v>
      </c>
      <c r="C691" s="34">
        <v>45255.98</v>
      </c>
      <c r="D691" s="37">
        <f t="shared" si="20"/>
        <v>3.1250000000000002E-3</v>
      </c>
      <c r="E691" s="37">
        <f t="shared" si="21"/>
        <v>-3.8134046765495415E-3</v>
      </c>
    </row>
    <row r="692" spans="1:5" x14ac:dyDescent="0.35">
      <c r="A692" s="35">
        <v>44496</v>
      </c>
      <c r="B692" s="36">
        <v>161.96</v>
      </c>
      <c r="C692" s="36">
        <v>45851.040000000001</v>
      </c>
      <c r="D692" s="37">
        <f t="shared" si="20"/>
        <v>9.0965732087227909E-3</v>
      </c>
      <c r="E692" s="37">
        <f t="shared" si="21"/>
        <v>1.3148759567243878E-2</v>
      </c>
    </row>
    <row r="693" spans="1:5" x14ac:dyDescent="0.35">
      <c r="A693" s="33">
        <v>44497</v>
      </c>
      <c r="B693" s="34">
        <v>160.6</v>
      </c>
      <c r="C693" s="34">
        <v>45990.73</v>
      </c>
      <c r="D693" s="37">
        <f t="shared" si="20"/>
        <v>-8.3971350950852904E-3</v>
      </c>
      <c r="E693" s="37">
        <f t="shared" si="21"/>
        <v>3.0466048316461812E-3</v>
      </c>
    </row>
    <row r="694" spans="1:5" x14ac:dyDescent="0.35">
      <c r="A694" s="35">
        <v>44498</v>
      </c>
      <c r="B694" s="36">
        <v>160.69999999999999</v>
      </c>
      <c r="C694" s="36">
        <v>46218.93</v>
      </c>
      <c r="D694" s="37">
        <f t="shared" si="20"/>
        <v>6.2266500622661471E-4</v>
      </c>
      <c r="E694" s="37">
        <f t="shared" si="21"/>
        <v>4.9618694897862478E-3</v>
      </c>
    </row>
    <row r="695" spans="1:5" x14ac:dyDescent="0.35">
      <c r="A695" s="33">
        <v>44501</v>
      </c>
      <c r="B695" s="34">
        <v>162.29</v>
      </c>
      <c r="C695" s="34">
        <v>46946.21</v>
      </c>
      <c r="D695" s="37">
        <f t="shared" si="20"/>
        <v>9.8942128189172598E-3</v>
      </c>
      <c r="E695" s="37">
        <f t="shared" si="21"/>
        <v>1.5735543856164536E-2</v>
      </c>
    </row>
    <row r="696" spans="1:5" x14ac:dyDescent="0.35">
      <c r="A696" s="35">
        <v>44502</v>
      </c>
      <c r="B696" s="36">
        <v>162.38</v>
      </c>
      <c r="C696" s="36">
        <v>47112.92</v>
      </c>
      <c r="D696" s="37">
        <f t="shared" si="20"/>
        <v>5.5456281964386849E-4</v>
      </c>
      <c r="E696" s="37">
        <f t="shared" si="21"/>
        <v>3.5510853804811746E-3</v>
      </c>
    </row>
    <row r="697" spans="1:5" x14ac:dyDescent="0.35">
      <c r="A697" s="33">
        <v>44503</v>
      </c>
      <c r="B697" s="34">
        <v>162.04</v>
      </c>
      <c r="C697" s="34">
        <v>47032.44</v>
      </c>
      <c r="D697" s="37">
        <f t="shared" si="20"/>
        <v>-2.0938539228969296E-3</v>
      </c>
      <c r="E697" s="37">
        <f t="shared" si="21"/>
        <v>-1.7082362969647377E-3</v>
      </c>
    </row>
    <row r="698" spans="1:5" x14ac:dyDescent="0.35">
      <c r="A698" s="35">
        <v>44504</v>
      </c>
      <c r="B698" s="36">
        <v>161.99</v>
      </c>
      <c r="C698" s="36">
        <v>47219.18</v>
      </c>
      <c r="D698" s="37">
        <f t="shared" si="20"/>
        <v>-3.0856578622551808E-4</v>
      </c>
      <c r="E698" s="37">
        <f t="shared" si="21"/>
        <v>3.9704510333718164E-3</v>
      </c>
    </row>
    <row r="699" spans="1:5" x14ac:dyDescent="0.35">
      <c r="A699" s="33">
        <v>44505</v>
      </c>
      <c r="B699" s="34">
        <v>161.37</v>
      </c>
      <c r="C699" s="34">
        <v>47295.8</v>
      </c>
      <c r="D699" s="37">
        <f t="shared" si="20"/>
        <v>-3.8273967528860086E-3</v>
      </c>
      <c r="E699" s="37">
        <f t="shared" si="21"/>
        <v>1.6226457130344622E-3</v>
      </c>
    </row>
    <row r="700" spans="1:5" x14ac:dyDescent="0.35">
      <c r="A700" s="35">
        <v>44508</v>
      </c>
      <c r="B700" s="36">
        <v>159.69</v>
      </c>
      <c r="C700" s="36">
        <v>47115.040000000001</v>
      </c>
      <c r="D700" s="37">
        <f t="shared" si="20"/>
        <v>-1.0410857036623949E-2</v>
      </c>
      <c r="E700" s="37">
        <f t="shared" si="21"/>
        <v>-3.8219038476989928E-3</v>
      </c>
    </row>
    <row r="701" spans="1:5" x14ac:dyDescent="0.35">
      <c r="A701" s="33">
        <v>44509</v>
      </c>
      <c r="B701" s="34">
        <v>157</v>
      </c>
      <c r="C701" s="34">
        <v>46399.91</v>
      </c>
      <c r="D701" s="37">
        <f t="shared" si="20"/>
        <v>-1.6845137453816755E-2</v>
      </c>
      <c r="E701" s="37">
        <f t="shared" si="21"/>
        <v>-1.5178380406766022E-2</v>
      </c>
    </row>
    <row r="702" spans="1:5" x14ac:dyDescent="0.35">
      <c r="A702" s="35">
        <v>44511</v>
      </c>
      <c r="B702" s="36">
        <v>154.59</v>
      </c>
      <c r="C702" s="36">
        <v>46348.18</v>
      </c>
      <c r="D702" s="37">
        <f t="shared" si="20"/>
        <v>-1.5350318471337557E-2</v>
      </c>
      <c r="E702" s="37">
        <f t="shared" si="21"/>
        <v>-1.1148728521241356E-3</v>
      </c>
    </row>
    <row r="703" spans="1:5" x14ac:dyDescent="0.35">
      <c r="A703" s="33">
        <v>44512</v>
      </c>
      <c r="B703" s="34">
        <v>153.72</v>
      </c>
      <c r="C703" s="34">
        <v>45749.15</v>
      </c>
      <c r="D703" s="37">
        <f t="shared" si="20"/>
        <v>-5.6277896371046288E-3</v>
      </c>
      <c r="E703" s="37">
        <f t="shared" si="21"/>
        <v>-1.2924563596671948E-2</v>
      </c>
    </row>
    <row r="704" spans="1:5" x14ac:dyDescent="0.35">
      <c r="A704" s="35">
        <v>44515</v>
      </c>
      <c r="B704" s="36">
        <v>155.86000000000001</v>
      </c>
      <c r="C704" s="36">
        <v>45736.26</v>
      </c>
      <c r="D704" s="37">
        <f t="shared" si="20"/>
        <v>1.3921415560759919E-2</v>
      </c>
      <c r="E704" s="37">
        <f t="shared" si="21"/>
        <v>-2.8175386865109884E-4</v>
      </c>
    </row>
    <row r="705" spans="1:5" x14ac:dyDescent="0.35">
      <c r="A705" s="33">
        <v>44516</v>
      </c>
      <c r="B705" s="34">
        <v>156.46</v>
      </c>
      <c r="C705" s="34">
        <v>46542.91</v>
      </c>
      <c r="D705" s="37">
        <f t="shared" si="20"/>
        <v>3.8496086231232791E-3</v>
      </c>
      <c r="E705" s="37">
        <f t="shared" si="21"/>
        <v>1.7636990868951711E-2</v>
      </c>
    </row>
    <row r="706" spans="1:5" x14ac:dyDescent="0.35">
      <c r="A706" s="35">
        <v>44517</v>
      </c>
      <c r="B706" s="36">
        <v>154.5</v>
      </c>
      <c r="C706" s="36">
        <v>46194.42</v>
      </c>
      <c r="D706" s="37">
        <f t="shared" si="20"/>
        <v>-1.2527163492266444E-2</v>
      </c>
      <c r="E706" s="37">
        <f t="shared" si="21"/>
        <v>-7.4874991701207594E-3</v>
      </c>
    </row>
    <row r="707" spans="1:5" x14ac:dyDescent="0.35">
      <c r="A707" s="33">
        <v>44518</v>
      </c>
      <c r="B707" s="34">
        <v>153.35</v>
      </c>
      <c r="C707" s="34">
        <v>46110.5</v>
      </c>
      <c r="D707" s="37">
        <f t="shared" si="20"/>
        <v>-7.4433656957929167E-3</v>
      </c>
      <c r="E707" s="37">
        <f t="shared" si="21"/>
        <v>-1.8166696323927924E-3</v>
      </c>
    </row>
    <row r="708" spans="1:5" x14ac:dyDescent="0.35">
      <c r="A708" s="35">
        <v>44519</v>
      </c>
      <c r="B708" s="36">
        <v>153.4</v>
      </c>
      <c r="C708" s="36">
        <v>46489.41</v>
      </c>
      <c r="D708" s="37">
        <f t="shared" si="20"/>
        <v>3.260515161396242E-4</v>
      </c>
      <c r="E708" s="37">
        <f t="shared" si="21"/>
        <v>8.2174342069594453E-3</v>
      </c>
    </row>
    <row r="709" spans="1:5" x14ac:dyDescent="0.35">
      <c r="A709" s="33">
        <v>44522</v>
      </c>
      <c r="B709" s="34">
        <v>150.63</v>
      </c>
      <c r="C709" s="34">
        <v>45745</v>
      </c>
      <c r="D709" s="37">
        <f t="shared" ref="D709:D772" si="22">(B709-B708)/B708</f>
        <v>-1.8057366362451175E-2</v>
      </c>
      <c r="E709" s="37">
        <f t="shared" ref="E709:E772" si="23">(C709-C708)/C708</f>
        <v>-1.601246391382475E-2</v>
      </c>
    </row>
    <row r="710" spans="1:5" x14ac:dyDescent="0.35">
      <c r="A710" s="35">
        <v>44523</v>
      </c>
      <c r="B710" s="36">
        <v>148.01</v>
      </c>
      <c r="C710" s="36">
        <v>44948.52</v>
      </c>
      <c r="D710" s="37">
        <f t="shared" si="22"/>
        <v>-1.7393613490008661E-2</v>
      </c>
      <c r="E710" s="37">
        <f t="shared" si="23"/>
        <v>-1.7411301781615547E-2</v>
      </c>
    </row>
    <row r="711" spans="1:5" x14ac:dyDescent="0.35">
      <c r="A711" s="33">
        <v>44524</v>
      </c>
      <c r="B711" s="34">
        <v>146.94999999999999</v>
      </c>
      <c r="C711" s="34">
        <v>44363.7</v>
      </c>
      <c r="D711" s="37">
        <f t="shared" si="22"/>
        <v>-7.1616782649821112E-3</v>
      </c>
      <c r="E711" s="37">
        <f t="shared" si="23"/>
        <v>-1.3010884451812869E-2</v>
      </c>
    </row>
    <row r="712" spans="1:5" x14ac:dyDescent="0.35">
      <c r="A712" s="35">
        <v>44525</v>
      </c>
      <c r="B712" s="36">
        <v>142.16999999999999</v>
      </c>
      <c r="C712" s="36">
        <v>43935.75</v>
      </c>
      <c r="D712" s="37">
        <f t="shared" si="22"/>
        <v>-3.2528070772371562E-2</v>
      </c>
      <c r="E712" s="37">
        <f t="shared" si="23"/>
        <v>-9.6464000973768439E-3</v>
      </c>
    </row>
    <row r="713" spans="1:5" x14ac:dyDescent="0.35">
      <c r="A713" s="33">
        <v>44526</v>
      </c>
      <c r="B713" s="34">
        <v>141.83000000000001</v>
      </c>
      <c r="C713" s="34">
        <v>44114.16</v>
      </c>
      <c r="D713" s="37">
        <f t="shared" si="22"/>
        <v>-2.3915031300553915E-3</v>
      </c>
      <c r="E713" s="37">
        <f t="shared" si="23"/>
        <v>4.060702275481891E-3</v>
      </c>
    </row>
    <row r="714" spans="1:5" x14ac:dyDescent="0.35">
      <c r="A714" s="35">
        <v>44529</v>
      </c>
      <c r="B714" s="36">
        <v>150.18</v>
      </c>
      <c r="C714" s="36">
        <v>45330.05</v>
      </c>
      <c r="D714" s="37">
        <f t="shared" si="22"/>
        <v>5.8873299019953418E-2</v>
      </c>
      <c r="E714" s="37">
        <f t="shared" si="23"/>
        <v>2.7562351861624462E-2</v>
      </c>
    </row>
    <row r="715" spans="1:5" x14ac:dyDescent="0.35">
      <c r="A715" s="33">
        <v>44530</v>
      </c>
      <c r="B715" s="34">
        <v>154.38</v>
      </c>
      <c r="C715" s="34">
        <v>45072.38</v>
      </c>
      <c r="D715" s="37">
        <f t="shared" si="22"/>
        <v>2.7966440271673915E-2</v>
      </c>
      <c r="E715" s="37">
        <f t="shared" si="23"/>
        <v>-5.6843087532443826E-3</v>
      </c>
    </row>
    <row r="716" spans="1:5" x14ac:dyDescent="0.35">
      <c r="A716" s="35">
        <v>44531</v>
      </c>
      <c r="B716" s="36">
        <v>154.88</v>
      </c>
      <c r="C716" s="36">
        <v>45369.14</v>
      </c>
      <c r="D716" s="37">
        <f t="shared" si="22"/>
        <v>3.2387614976033168E-3</v>
      </c>
      <c r="E716" s="37">
        <f t="shared" si="23"/>
        <v>6.5840765453255862E-3</v>
      </c>
    </row>
    <row r="717" spans="1:5" x14ac:dyDescent="0.35">
      <c r="A717" s="33">
        <v>44532</v>
      </c>
      <c r="B717" s="34">
        <v>146.93</v>
      </c>
      <c r="C717" s="34">
        <v>43234.15</v>
      </c>
      <c r="D717" s="37">
        <f t="shared" si="22"/>
        <v>-5.1330061983471002E-2</v>
      </c>
      <c r="E717" s="37">
        <f t="shared" si="23"/>
        <v>-4.7058198590495613E-2</v>
      </c>
    </row>
    <row r="718" spans="1:5" x14ac:dyDescent="0.35">
      <c r="A718" s="35">
        <v>44533</v>
      </c>
      <c r="B718" s="36">
        <v>144.18</v>
      </c>
      <c r="C718" s="36">
        <v>43232.83</v>
      </c>
      <c r="D718" s="37">
        <f t="shared" si="22"/>
        <v>-1.8716395562512759E-2</v>
      </c>
      <c r="E718" s="37">
        <f t="shared" si="23"/>
        <v>-3.0531420185194089E-5</v>
      </c>
    </row>
    <row r="719" spans="1:5" x14ac:dyDescent="0.35">
      <c r="A719" s="33">
        <v>44536</v>
      </c>
      <c r="B719" s="34">
        <v>144.65</v>
      </c>
      <c r="C719" s="34">
        <v>43280.77</v>
      </c>
      <c r="D719" s="37">
        <f t="shared" si="22"/>
        <v>3.2598141212373342E-3</v>
      </c>
      <c r="E719" s="37">
        <f t="shared" si="23"/>
        <v>1.1088795251200316E-3</v>
      </c>
    </row>
    <row r="720" spans="1:5" x14ac:dyDescent="0.35">
      <c r="A720" s="35">
        <v>44537</v>
      </c>
      <c r="B720" s="36">
        <v>152.05000000000001</v>
      </c>
      <c r="C720" s="36">
        <v>43853.49</v>
      </c>
      <c r="D720" s="37">
        <f t="shared" si="22"/>
        <v>5.115796750777743E-2</v>
      </c>
      <c r="E720" s="37">
        <f t="shared" si="23"/>
        <v>1.3232666609212388E-2</v>
      </c>
    </row>
    <row r="721" spans="1:5" x14ac:dyDescent="0.35">
      <c r="A721" s="33">
        <v>44538</v>
      </c>
      <c r="B721" s="34">
        <v>153.93</v>
      </c>
      <c r="C721" s="34">
        <v>43846.87</v>
      </c>
      <c r="D721" s="37">
        <f t="shared" si="22"/>
        <v>1.2364353830976622E-2</v>
      </c>
      <c r="E721" s="37">
        <f t="shared" si="23"/>
        <v>-1.5095719861738129E-4</v>
      </c>
    </row>
    <row r="722" spans="1:5" x14ac:dyDescent="0.35">
      <c r="A722" s="35">
        <v>44539</v>
      </c>
      <c r="B722" s="36">
        <v>152.49</v>
      </c>
      <c r="C722" s="36">
        <v>43518.84</v>
      </c>
      <c r="D722" s="37">
        <f t="shared" si="22"/>
        <v>-9.3549015786396263E-3</v>
      </c>
      <c r="E722" s="37">
        <f t="shared" si="23"/>
        <v>-7.4812637709374945E-3</v>
      </c>
    </row>
    <row r="723" spans="1:5" x14ac:dyDescent="0.35">
      <c r="A723" s="33">
        <v>44540</v>
      </c>
      <c r="B723" s="34">
        <v>149.5</v>
      </c>
      <c r="C723" s="34">
        <v>43395.78</v>
      </c>
      <c r="D723" s="37">
        <f t="shared" si="22"/>
        <v>-1.9607843137254961E-2</v>
      </c>
      <c r="E723" s="37">
        <f t="shared" si="23"/>
        <v>-2.8277408129444093E-3</v>
      </c>
    </row>
    <row r="724" spans="1:5" x14ac:dyDescent="0.35">
      <c r="A724" s="35">
        <v>44544</v>
      </c>
      <c r="B724" s="36">
        <v>148.62</v>
      </c>
      <c r="C724" s="36">
        <v>43246.71</v>
      </c>
      <c r="D724" s="37">
        <f t="shared" si="22"/>
        <v>-5.8862876254180295E-3</v>
      </c>
      <c r="E724" s="37">
        <f t="shared" si="23"/>
        <v>-3.4351266413462258E-3</v>
      </c>
    </row>
    <row r="725" spans="1:5" x14ac:dyDescent="0.35">
      <c r="A725" s="33">
        <v>44545</v>
      </c>
      <c r="B725" s="34">
        <v>152.75</v>
      </c>
      <c r="C725" s="34">
        <v>44366.86</v>
      </c>
      <c r="D725" s="37">
        <f t="shared" si="22"/>
        <v>2.778899206028795E-2</v>
      </c>
      <c r="E725" s="37">
        <f t="shared" si="23"/>
        <v>2.5901392267758668E-2</v>
      </c>
    </row>
    <row r="726" spans="1:5" x14ac:dyDescent="0.35">
      <c r="A726" s="35">
        <v>44546</v>
      </c>
      <c r="B726" s="36">
        <v>150.97999999999999</v>
      </c>
      <c r="C726" s="36">
        <v>43731.199999999997</v>
      </c>
      <c r="D726" s="37">
        <f t="shared" si="22"/>
        <v>-1.1587561374795484E-2</v>
      </c>
      <c r="E726" s="37">
        <f t="shared" si="23"/>
        <v>-1.4327360556956329E-2</v>
      </c>
    </row>
    <row r="727" spans="1:5" x14ac:dyDescent="0.35">
      <c r="A727" s="33">
        <v>44547</v>
      </c>
      <c r="B727" s="34">
        <v>151.08000000000001</v>
      </c>
      <c r="C727" s="34">
        <v>43900.68</v>
      </c>
      <c r="D727" s="37">
        <f t="shared" si="22"/>
        <v>6.6233938269984595E-4</v>
      </c>
      <c r="E727" s="37">
        <f t="shared" si="23"/>
        <v>3.8754939265330749E-3</v>
      </c>
    </row>
    <row r="728" spans="1:5" x14ac:dyDescent="0.35">
      <c r="A728" s="35">
        <v>44550</v>
      </c>
      <c r="B728" s="36">
        <v>151.51</v>
      </c>
      <c r="C728" s="36">
        <v>44339.95</v>
      </c>
      <c r="D728" s="37">
        <f t="shared" si="22"/>
        <v>2.8461742123376912E-3</v>
      </c>
      <c r="E728" s="37">
        <f t="shared" si="23"/>
        <v>1.0005995351324782E-2</v>
      </c>
    </row>
    <row r="729" spans="1:5" x14ac:dyDescent="0.35">
      <c r="A729" s="33">
        <v>44551</v>
      </c>
      <c r="B729" s="34">
        <v>152.49</v>
      </c>
      <c r="C729" s="34">
        <v>44177.07</v>
      </c>
      <c r="D729" s="37">
        <f t="shared" si="22"/>
        <v>6.468219919477383E-3</v>
      </c>
      <c r="E729" s="37">
        <f t="shared" si="23"/>
        <v>-3.6734367088821118E-3</v>
      </c>
    </row>
    <row r="730" spans="1:5" x14ac:dyDescent="0.35">
      <c r="A730" s="35">
        <v>44552</v>
      </c>
      <c r="B730" s="36">
        <v>152.59</v>
      </c>
      <c r="C730" s="36">
        <v>44174.97</v>
      </c>
      <c r="D730" s="37">
        <f t="shared" si="22"/>
        <v>6.5578070693156473E-4</v>
      </c>
      <c r="E730" s="37">
        <f t="shared" si="23"/>
        <v>-4.7535972847419367E-5</v>
      </c>
    </row>
    <row r="731" spans="1:5" x14ac:dyDescent="0.35">
      <c r="A731" s="33">
        <v>44553</v>
      </c>
      <c r="B731" s="34">
        <v>152.80000000000001</v>
      </c>
      <c r="C731" s="34">
        <v>44266.9</v>
      </c>
      <c r="D731" s="37">
        <f t="shared" si="22"/>
        <v>1.376236974900111E-3</v>
      </c>
      <c r="E731" s="37">
        <f t="shared" si="23"/>
        <v>2.081042726231626E-3</v>
      </c>
    </row>
    <row r="732" spans="1:5" x14ac:dyDescent="0.35">
      <c r="A732" s="35">
        <v>44554</v>
      </c>
      <c r="B732" s="36">
        <v>150.94999999999999</v>
      </c>
      <c r="C732" s="36">
        <v>44118.39</v>
      </c>
      <c r="D732" s="37">
        <f t="shared" si="22"/>
        <v>-1.2107329842932085E-2</v>
      </c>
      <c r="E732" s="37">
        <f t="shared" si="23"/>
        <v>-3.3548768944742465E-3</v>
      </c>
    </row>
    <row r="733" spans="1:5" x14ac:dyDescent="0.35">
      <c r="A733" s="33">
        <v>44557</v>
      </c>
      <c r="B733" s="34">
        <v>150</v>
      </c>
      <c r="C733" s="34">
        <v>43913.440000000002</v>
      </c>
      <c r="D733" s="37">
        <f t="shared" si="22"/>
        <v>-6.2934746604835293E-3</v>
      </c>
      <c r="E733" s="37">
        <f t="shared" si="23"/>
        <v>-4.6454551038693183E-3</v>
      </c>
    </row>
    <row r="734" spans="1:5" x14ac:dyDescent="0.35">
      <c r="A734" s="35">
        <v>44558</v>
      </c>
      <c r="B734" s="36">
        <v>150.80000000000001</v>
      </c>
      <c r="C734" s="36">
        <v>44043.74</v>
      </c>
      <c r="D734" s="37">
        <f t="shared" si="22"/>
        <v>5.3333333333334095E-3</v>
      </c>
      <c r="E734" s="37">
        <f t="shared" si="23"/>
        <v>2.9672009298291283E-3</v>
      </c>
    </row>
    <row r="735" spans="1:5" x14ac:dyDescent="0.35">
      <c r="A735" s="33">
        <v>44559</v>
      </c>
      <c r="B735" s="34">
        <v>152.91</v>
      </c>
      <c r="C735" s="34">
        <v>44260.11</v>
      </c>
      <c r="D735" s="37">
        <f t="shared" si="22"/>
        <v>1.3992042440318203E-2</v>
      </c>
      <c r="E735" s="37">
        <f t="shared" si="23"/>
        <v>4.9126164126843596E-3</v>
      </c>
    </row>
    <row r="736" spans="1:5" x14ac:dyDescent="0.35">
      <c r="A736" s="35">
        <v>44560</v>
      </c>
      <c r="B736" s="36">
        <v>151.27000000000001</v>
      </c>
      <c r="C736" s="36">
        <v>44416.2</v>
      </c>
      <c r="D736" s="37">
        <f t="shared" si="22"/>
        <v>-1.0725263226734592E-2</v>
      </c>
      <c r="E736" s="37">
        <f t="shared" si="23"/>
        <v>3.5266518768253515E-3</v>
      </c>
    </row>
    <row r="737" spans="1:5" x14ac:dyDescent="0.35">
      <c r="A737" s="33">
        <v>44561</v>
      </c>
      <c r="B737" s="34">
        <v>152.16999999999999</v>
      </c>
      <c r="C737" s="34">
        <v>44596.07</v>
      </c>
      <c r="D737" s="37">
        <f t="shared" si="22"/>
        <v>5.9496264956698432E-3</v>
      </c>
      <c r="E737" s="37">
        <f t="shared" si="23"/>
        <v>4.0496485516546355E-3</v>
      </c>
    </row>
    <row r="738" spans="1:5" x14ac:dyDescent="0.35">
      <c r="A738" s="35">
        <v>44564</v>
      </c>
      <c r="B738" s="36">
        <v>150.38999999999999</v>
      </c>
      <c r="C738" s="36">
        <v>44886.89</v>
      </c>
      <c r="D738" s="37">
        <f t="shared" si="22"/>
        <v>-1.1697443648550972E-2</v>
      </c>
      <c r="E738" s="37">
        <f t="shared" si="23"/>
        <v>6.5212024288238786E-3</v>
      </c>
    </row>
    <row r="739" spans="1:5" x14ac:dyDescent="0.35">
      <c r="A739" s="33">
        <v>44565</v>
      </c>
      <c r="B739" s="34">
        <v>154.84</v>
      </c>
      <c r="C739" s="34">
        <v>45390.84</v>
      </c>
      <c r="D739" s="37">
        <f t="shared" si="22"/>
        <v>2.9589733359930964E-2</v>
      </c>
      <c r="E739" s="37">
        <f t="shared" si="23"/>
        <v>1.1227108850713362E-2</v>
      </c>
    </row>
    <row r="740" spans="1:5" x14ac:dyDescent="0.35">
      <c r="A740" s="35">
        <v>44566</v>
      </c>
      <c r="B740" s="36">
        <v>155.11000000000001</v>
      </c>
      <c r="C740" s="36">
        <v>45407.89</v>
      </c>
      <c r="D740" s="37">
        <f t="shared" si="22"/>
        <v>1.7437354688711589E-3</v>
      </c>
      <c r="E740" s="37">
        <f t="shared" si="23"/>
        <v>3.7562644797943621E-4</v>
      </c>
    </row>
    <row r="741" spans="1:5" x14ac:dyDescent="0.35">
      <c r="A741" s="33">
        <v>44567</v>
      </c>
      <c r="B741" s="34">
        <v>153.22</v>
      </c>
      <c r="C741" s="34">
        <v>45082.3</v>
      </c>
      <c r="D741" s="37">
        <f t="shared" si="22"/>
        <v>-1.2184901037973145E-2</v>
      </c>
      <c r="E741" s="37">
        <f t="shared" si="23"/>
        <v>-7.1703397801570722E-3</v>
      </c>
    </row>
    <row r="742" spans="1:5" x14ac:dyDescent="0.35">
      <c r="A742" s="35">
        <v>44568</v>
      </c>
      <c r="B742" s="36">
        <v>154</v>
      </c>
      <c r="C742" s="36">
        <v>45345.65</v>
      </c>
      <c r="D742" s="37">
        <f t="shared" si="22"/>
        <v>5.090719227254935E-3</v>
      </c>
      <c r="E742" s="37">
        <f t="shared" si="23"/>
        <v>5.8415386970052221E-3</v>
      </c>
    </row>
    <row r="743" spans="1:5" x14ac:dyDescent="0.35">
      <c r="A743" s="33">
        <v>44571</v>
      </c>
      <c r="B743" s="34">
        <v>153.69</v>
      </c>
      <c r="C743" s="34">
        <v>45887.63</v>
      </c>
      <c r="D743" s="37">
        <f t="shared" si="22"/>
        <v>-2.0129870129870276E-3</v>
      </c>
      <c r="E743" s="37">
        <f t="shared" si="23"/>
        <v>1.1952193870856321E-2</v>
      </c>
    </row>
    <row r="744" spans="1:5" x14ac:dyDescent="0.35">
      <c r="A744" s="35">
        <v>44572</v>
      </c>
      <c r="B744" s="36">
        <v>153.69999999999999</v>
      </c>
      <c r="C744" s="36">
        <v>45881.13</v>
      </c>
      <c r="D744" s="37">
        <f t="shared" si="22"/>
        <v>6.5066042032603977E-5</v>
      </c>
      <c r="E744" s="37">
        <f t="shared" si="23"/>
        <v>-1.4165037505750461E-4</v>
      </c>
    </row>
    <row r="745" spans="1:5" x14ac:dyDescent="0.35">
      <c r="A745" s="33">
        <v>44573</v>
      </c>
      <c r="B745" s="34">
        <v>152.19999999999999</v>
      </c>
      <c r="C745" s="34">
        <v>45916.25</v>
      </c>
      <c r="D745" s="37">
        <f t="shared" si="22"/>
        <v>-9.7592713077423558E-3</v>
      </c>
      <c r="E745" s="37">
        <f t="shared" si="23"/>
        <v>7.6545629979040666E-4</v>
      </c>
    </row>
    <row r="746" spans="1:5" x14ac:dyDescent="0.35">
      <c r="A746" s="35">
        <v>44574</v>
      </c>
      <c r="B746" s="36">
        <v>151.24</v>
      </c>
      <c r="C746" s="36">
        <v>45763.199999999997</v>
      </c>
      <c r="D746" s="37">
        <f t="shared" si="22"/>
        <v>-6.3074901445465152E-3</v>
      </c>
      <c r="E746" s="37">
        <f t="shared" si="23"/>
        <v>-3.3332425884083066E-3</v>
      </c>
    </row>
    <row r="747" spans="1:5" x14ac:dyDescent="0.35">
      <c r="A747" s="33">
        <v>44575</v>
      </c>
      <c r="B747" s="34">
        <v>151.97</v>
      </c>
      <c r="C747" s="34">
        <v>45763.45</v>
      </c>
      <c r="D747" s="37">
        <f t="shared" si="22"/>
        <v>4.826765405977187E-3</v>
      </c>
      <c r="E747" s="37">
        <f t="shared" si="23"/>
        <v>5.4629046919795826E-6</v>
      </c>
    </row>
    <row r="748" spans="1:5" x14ac:dyDescent="0.35">
      <c r="A748" s="35">
        <v>44578</v>
      </c>
      <c r="B748" s="36">
        <v>151.78</v>
      </c>
      <c r="C748" s="36">
        <v>45612.2</v>
      </c>
      <c r="D748" s="37">
        <f t="shared" si="22"/>
        <v>-1.2502467592287801E-3</v>
      </c>
      <c r="E748" s="37">
        <f t="shared" si="23"/>
        <v>-3.3050392835330378E-3</v>
      </c>
    </row>
    <row r="749" spans="1:5" x14ac:dyDescent="0.35">
      <c r="A749" s="33">
        <v>44579</v>
      </c>
      <c r="B749" s="34">
        <v>151.80000000000001</v>
      </c>
      <c r="C749" s="34">
        <v>45507.41</v>
      </c>
      <c r="D749" s="37">
        <f t="shared" si="22"/>
        <v>1.3176966662281086E-4</v>
      </c>
      <c r="E749" s="37">
        <f t="shared" si="23"/>
        <v>-2.2974116574073079E-3</v>
      </c>
    </row>
    <row r="750" spans="1:5" x14ac:dyDescent="0.35">
      <c r="A750" s="35">
        <v>44580</v>
      </c>
      <c r="B750" s="36">
        <v>152.19999999999999</v>
      </c>
      <c r="C750" s="36">
        <v>44833.43</v>
      </c>
      <c r="D750" s="37">
        <f t="shared" si="22"/>
        <v>2.6350461133068329E-3</v>
      </c>
      <c r="E750" s="37">
        <f t="shared" si="23"/>
        <v>-1.4810335283858236E-2</v>
      </c>
    </row>
    <row r="751" spans="1:5" x14ac:dyDescent="0.35">
      <c r="A751" s="33">
        <v>44582</v>
      </c>
      <c r="B751" s="34">
        <v>149.62</v>
      </c>
      <c r="C751" s="34">
        <v>45018.28</v>
      </c>
      <c r="D751" s="37">
        <f t="shared" si="22"/>
        <v>-1.6951379763469016E-2</v>
      </c>
      <c r="E751" s="37">
        <f t="shared" si="23"/>
        <v>4.1230394373127045E-3</v>
      </c>
    </row>
    <row r="752" spans="1:5" x14ac:dyDescent="0.35">
      <c r="A752" s="35">
        <v>44585</v>
      </c>
      <c r="B752" s="36">
        <v>149.35</v>
      </c>
      <c r="C752" s="36">
        <v>44923.91</v>
      </c>
      <c r="D752" s="37">
        <f t="shared" si="22"/>
        <v>-1.8045715813394614E-3</v>
      </c>
      <c r="E752" s="37">
        <f t="shared" si="23"/>
        <v>-2.0962595638926084E-3</v>
      </c>
    </row>
    <row r="753" spans="1:5" x14ac:dyDescent="0.35">
      <c r="A753" s="33">
        <v>44586</v>
      </c>
      <c r="B753" s="34">
        <v>147.41999999999999</v>
      </c>
      <c r="C753" s="34">
        <v>44887.77</v>
      </c>
      <c r="D753" s="37">
        <f t="shared" si="22"/>
        <v>-1.2922664881151704E-2</v>
      </c>
      <c r="E753" s="37">
        <f t="shared" si="23"/>
        <v>-8.0447138283392273E-4</v>
      </c>
    </row>
    <row r="754" spans="1:5" x14ac:dyDescent="0.35">
      <c r="A754" s="35">
        <v>44587</v>
      </c>
      <c r="B754" s="36">
        <v>147.43</v>
      </c>
      <c r="C754" s="36">
        <v>44955.05</v>
      </c>
      <c r="D754" s="37">
        <f t="shared" si="22"/>
        <v>6.7833401166865609E-5</v>
      </c>
      <c r="E754" s="37">
        <f t="shared" si="23"/>
        <v>1.4988492411185969E-3</v>
      </c>
    </row>
    <row r="755" spans="1:5" x14ac:dyDescent="0.35">
      <c r="A755" s="33">
        <v>44588</v>
      </c>
      <c r="B755" s="34">
        <v>151.4</v>
      </c>
      <c r="C755" s="34">
        <v>45083.040000000001</v>
      </c>
      <c r="D755" s="37">
        <f t="shared" si="22"/>
        <v>2.6928033643084846E-2</v>
      </c>
      <c r="E755" s="37">
        <f t="shared" si="23"/>
        <v>2.8470661249403117E-3</v>
      </c>
    </row>
    <row r="756" spans="1:5" x14ac:dyDescent="0.35">
      <c r="A756" s="35">
        <v>44589</v>
      </c>
      <c r="B756" s="36">
        <v>152.13999999999999</v>
      </c>
      <c r="C756" s="36">
        <v>45077.91</v>
      </c>
      <c r="D756" s="37">
        <f t="shared" si="22"/>
        <v>4.8877146631438615E-3</v>
      </c>
      <c r="E756" s="37">
        <f t="shared" si="23"/>
        <v>-1.1379001948398733E-4</v>
      </c>
    </row>
    <row r="757" spans="1:5" x14ac:dyDescent="0.35">
      <c r="A757" s="33">
        <v>44592</v>
      </c>
      <c r="B757" s="34">
        <v>153.02000000000001</v>
      </c>
      <c r="C757" s="34">
        <v>45374.68</v>
      </c>
      <c r="D757" s="37">
        <f t="shared" si="22"/>
        <v>5.7841461811490996E-3</v>
      </c>
      <c r="E757" s="37">
        <f t="shared" si="23"/>
        <v>6.5834906720386279E-3</v>
      </c>
    </row>
    <row r="758" spans="1:5" x14ac:dyDescent="0.35">
      <c r="A758" s="35">
        <v>44593</v>
      </c>
      <c r="B758" s="36">
        <v>154.12</v>
      </c>
      <c r="C758" s="36">
        <v>45674.5</v>
      </c>
      <c r="D758" s="37">
        <f t="shared" si="22"/>
        <v>7.1886027970199601E-3</v>
      </c>
      <c r="E758" s="37">
        <f t="shared" si="23"/>
        <v>6.607649905189408E-3</v>
      </c>
    </row>
    <row r="759" spans="1:5" x14ac:dyDescent="0.35">
      <c r="A759" s="33">
        <v>44594</v>
      </c>
      <c r="B759" s="34">
        <v>155.18</v>
      </c>
      <c r="C759" s="34">
        <v>46119.15</v>
      </c>
      <c r="D759" s="37">
        <f t="shared" si="22"/>
        <v>6.8777575914871674E-3</v>
      </c>
      <c r="E759" s="37">
        <f t="shared" si="23"/>
        <v>9.7351914087729797E-3</v>
      </c>
    </row>
    <row r="760" spans="1:5" x14ac:dyDescent="0.35">
      <c r="A760" s="35">
        <v>44595</v>
      </c>
      <c r="B760" s="36">
        <v>155.4</v>
      </c>
      <c r="C760" s="36">
        <v>45862.93</v>
      </c>
      <c r="D760" s="37">
        <f t="shared" si="22"/>
        <v>1.4177084675860217E-3</v>
      </c>
      <c r="E760" s="37">
        <f t="shared" si="23"/>
        <v>-5.5556097629726733E-3</v>
      </c>
    </row>
    <row r="761" spans="1:5" x14ac:dyDescent="0.35">
      <c r="A761" s="33">
        <v>44596</v>
      </c>
      <c r="B761" s="34">
        <v>155.99</v>
      </c>
      <c r="C761" s="34">
        <v>45909.65</v>
      </c>
      <c r="D761" s="37">
        <f t="shared" si="22"/>
        <v>3.7966537966538185E-3</v>
      </c>
      <c r="E761" s="37">
        <f t="shared" si="23"/>
        <v>1.0186876416312949E-3</v>
      </c>
    </row>
    <row r="762" spans="1:5" x14ac:dyDescent="0.35">
      <c r="A762" s="35">
        <v>44599</v>
      </c>
      <c r="B762" s="36">
        <v>152.15</v>
      </c>
      <c r="C762" s="36">
        <v>45841.25</v>
      </c>
      <c r="D762" s="37">
        <f t="shared" si="22"/>
        <v>-2.4616962625809369E-2</v>
      </c>
      <c r="E762" s="37">
        <f t="shared" si="23"/>
        <v>-1.4898828459812142E-3</v>
      </c>
    </row>
    <row r="763" spans="1:5" x14ac:dyDescent="0.35">
      <c r="A763" s="33">
        <v>44600</v>
      </c>
      <c r="B763" s="34">
        <v>153.44</v>
      </c>
      <c r="C763" s="34">
        <v>45947.95</v>
      </c>
      <c r="D763" s="37">
        <f t="shared" si="22"/>
        <v>8.4784751889582129E-3</v>
      </c>
      <c r="E763" s="37">
        <f t="shared" si="23"/>
        <v>2.3275979603522394E-3</v>
      </c>
    </row>
    <row r="764" spans="1:5" x14ac:dyDescent="0.35">
      <c r="A764" s="35">
        <v>44601</v>
      </c>
      <c r="B764" s="36">
        <v>153.96</v>
      </c>
      <c r="C764" s="36">
        <v>46339.76</v>
      </c>
      <c r="D764" s="37">
        <f t="shared" si="22"/>
        <v>3.3889468196038205E-3</v>
      </c>
      <c r="E764" s="37">
        <f t="shared" si="23"/>
        <v>8.5272574728579836E-3</v>
      </c>
    </row>
    <row r="765" spans="1:5" x14ac:dyDescent="0.35">
      <c r="A765" s="33">
        <v>44602</v>
      </c>
      <c r="B765" s="34">
        <v>154</v>
      </c>
      <c r="C765" s="34">
        <v>45940.04</v>
      </c>
      <c r="D765" s="37">
        <f t="shared" si="22"/>
        <v>2.5980774227066797E-4</v>
      </c>
      <c r="E765" s="37">
        <f t="shared" si="23"/>
        <v>-8.6258539103353394E-3</v>
      </c>
    </row>
    <row r="766" spans="1:5" x14ac:dyDescent="0.35">
      <c r="A766" s="35">
        <v>44603</v>
      </c>
      <c r="B766" s="36">
        <v>154</v>
      </c>
      <c r="C766" s="36">
        <v>46079.37</v>
      </c>
      <c r="D766" s="37">
        <f t="shared" si="22"/>
        <v>0</v>
      </c>
      <c r="E766" s="37">
        <f t="shared" si="23"/>
        <v>3.032866318792969E-3</v>
      </c>
    </row>
    <row r="767" spans="1:5" x14ac:dyDescent="0.35">
      <c r="A767" s="33">
        <v>44606</v>
      </c>
      <c r="B767" s="34">
        <v>154.19999999999999</v>
      </c>
      <c r="C767" s="34">
        <v>45644.09</v>
      </c>
      <c r="D767" s="37">
        <f t="shared" si="22"/>
        <v>1.298701298701225E-3</v>
      </c>
      <c r="E767" s="37">
        <f t="shared" si="23"/>
        <v>-9.446309704321176E-3</v>
      </c>
    </row>
    <row r="768" spans="1:5" x14ac:dyDescent="0.35">
      <c r="A768" s="35">
        <v>44607</v>
      </c>
      <c r="B768" s="36">
        <v>155</v>
      </c>
      <c r="C768" s="36">
        <v>45731.7</v>
      </c>
      <c r="D768" s="37">
        <f t="shared" si="22"/>
        <v>5.1880674448768578E-3</v>
      </c>
      <c r="E768" s="37">
        <f t="shared" si="23"/>
        <v>1.9194160733624131E-3</v>
      </c>
    </row>
    <row r="769" spans="1:5" x14ac:dyDescent="0.35">
      <c r="A769" s="33">
        <v>44609</v>
      </c>
      <c r="B769" s="34">
        <v>154</v>
      </c>
      <c r="C769" s="34">
        <v>45441.1</v>
      </c>
      <c r="D769" s="37">
        <f t="shared" si="22"/>
        <v>-6.4516129032258064E-3</v>
      </c>
      <c r="E769" s="37">
        <f t="shared" si="23"/>
        <v>-6.3544543500459981E-3</v>
      </c>
    </row>
    <row r="770" spans="1:5" x14ac:dyDescent="0.35">
      <c r="A770" s="35">
        <v>44610</v>
      </c>
      <c r="B770" s="36">
        <v>154</v>
      </c>
      <c r="C770" s="36">
        <v>45675.87</v>
      </c>
      <c r="D770" s="37">
        <f t="shared" si="22"/>
        <v>0</v>
      </c>
      <c r="E770" s="37">
        <f t="shared" si="23"/>
        <v>5.1664682413058681E-3</v>
      </c>
    </row>
    <row r="771" spans="1:5" x14ac:dyDescent="0.35">
      <c r="A771" s="33">
        <v>44613</v>
      </c>
      <c r="B771" s="34">
        <v>153</v>
      </c>
      <c r="C771" s="34">
        <v>45362.85</v>
      </c>
      <c r="D771" s="37">
        <f t="shared" si="22"/>
        <v>-6.4935064935064939E-3</v>
      </c>
      <c r="E771" s="37">
        <f t="shared" si="23"/>
        <v>-6.853071435749424E-3</v>
      </c>
    </row>
    <row r="772" spans="1:5" x14ac:dyDescent="0.35">
      <c r="A772" s="35">
        <v>44614</v>
      </c>
      <c r="B772" s="36">
        <v>154</v>
      </c>
      <c r="C772" s="36">
        <v>45012.18</v>
      </c>
      <c r="D772" s="37">
        <f t="shared" si="22"/>
        <v>6.5359477124183009E-3</v>
      </c>
      <c r="E772" s="37">
        <f t="shared" si="23"/>
        <v>-7.730334403592329E-3</v>
      </c>
    </row>
    <row r="773" spans="1:5" x14ac:dyDescent="0.35">
      <c r="A773" s="33">
        <v>44615</v>
      </c>
      <c r="B773" s="34">
        <v>153.34</v>
      </c>
      <c r="C773" s="34">
        <v>45132.92</v>
      </c>
      <c r="D773" s="37">
        <f t="shared" ref="D773:D836" si="24">(B773-B772)/B772</f>
        <v>-4.2857142857142634E-3</v>
      </c>
      <c r="E773" s="37">
        <f t="shared" ref="E773:E836" si="25">(C773-C772)/C772</f>
        <v>2.6823850788830483E-3</v>
      </c>
    </row>
    <row r="774" spans="1:5" x14ac:dyDescent="0.35">
      <c r="A774" s="35">
        <v>44616</v>
      </c>
      <c r="B774" s="36">
        <v>149.25</v>
      </c>
      <c r="C774" s="36">
        <v>43830.51</v>
      </c>
      <c r="D774" s="37">
        <f t="shared" si="24"/>
        <v>-2.6672753358549649E-2</v>
      </c>
      <c r="E774" s="37">
        <f t="shared" si="25"/>
        <v>-2.885720666865774E-2</v>
      </c>
    </row>
    <row r="775" spans="1:5" x14ac:dyDescent="0.35">
      <c r="A775" s="33">
        <v>44617</v>
      </c>
      <c r="B775" s="34">
        <v>152</v>
      </c>
      <c r="C775" s="34">
        <v>43984.24</v>
      </c>
      <c r="D775" s="37">
        <f t="shared" si="24"/>
        <v>1.8425460636515914E-2</v>
      </c>
      <c r="E775" s="37">
        <f t="shared" si="25"/>
        <v>3.5073742012127151E-3</v>
      </c>
    </row>
    <row r="776" spans="1:5" x14ac:dyDescent="0.35">
      <c r="A776" s="35">
        <v>44620</v>
      </c>
      <c r="B776" s="36">
        <v>153.44</v>
      </c>
      <c r="C776" s="36">
        <v>44461.01</v>
      </c>
      <c r="D776" s="37">
        <f t="shared" si="24"/>
        <v>9.4736842105263008E-3</v>
      </c>
      <c r="E776" s="37">
        <f t="shared" si="25"/>
        <v>1.0839564353050186E-2</v>
      </c>
    </row>
    <row r="777" spans="1:5" x14ac:dyDescent="0.35">
      <c r="A777" s="33">
        <v>44621</v>
      </c>
      <c r="B777" s="34">
        <v>154.16999999999999</v>
      </c>
      <c r="C777" s="34">
        <v>44803.58</v>
      </c>
      <c r="D777" s="37">
        <f t="shared" si="24"/>
        <v>4.7575599582898188E-3</v>
      </c>
      <c r="E777" s="37">
        <f t="shared" si="25"/>
        <v>7.7049531713292091E-3</v>
      </c>
    </row>
    <row r="778" spans="1:5" x14ac:dyDescent="0.35">
      <c r="A778" s="35">
        <v>44622</v>
      </c>
      <c r="B778" s="36">
        <v>150.86000000000001</v>
      </c>
      <c r="C778" s="36">
        <v>44514.12</v>
      </c>
      <c r="D778" s="37">
        <f t="shared" si="24"/>
        <v>-2.1469806058247221E-2</v>
      </c>
      <c r="E778" s="37">
        <f t="shared" si="25"/>
        <v>-6.4606444395737825E-3</v>
      </c>
    </row>
    <row r="779" spans="1:5" x14ac:dyDescent="0.35">
      <c r="A779" s="33">
        <v>44627</v>
      </c>
      <c r="B779" s="34">
        <v>147</v>
      </c>
      <c r="C779" s="34">
        <v>43266.97</v>
      </c>
      <c r="D779" s="37">
        <f t="shared" si="24"/>
        <v>-2.5586636616730832E-2</v>
      </c>
      <c r="E779" s="37">
        <f t="shared" si="25"/>
        <v>-2.801695282305932E-2</v>
      </c>
    </row>
    <row r="780" spans="1:5" x14ac:dyDescent="0.35">
      <c r="A780" s="35">
        <v>44628</v>
      </c>
      <c r="B780" s="36">
        <v>147</v>
      </c>
      <c r="C780" s="36">
        <v>42878.35</v>
      </c>
      <c r="D780" s="37">
        <f t="shared" si="24"/>
        <v>0</v>
      </c>
      <c r="E780" s="37">
        <f t="shared" si="25"/>
        <v>-8.9819092947808141E-3</v>
      </c>
    </row>
    <row r="781" spans="1:5" x14ac:dyDescent="0.35">
      <c r="A781" s="33">
        <v>44629</v>
      </c>
      <c r="B781" s="34">
        <v>150.01</v>
      </c>
      <c r="C781" s="34">
        <v>43042.96</v>
      </c>
      <c r="D781" s="37">
        <f t="shared" si="24"/>
        <v>2.0476190476190415E-2</v>
      </c>
      <c r="E781" s="37">
        <f t="shared" si="25"/>
        <v>3.8390003346677423E-3</v>
      </c>
    </row>
    <row r="782" spans="1:5" x14ac:dyDescent="0.35">
      <c r="A782" s="35">
        <v>44630</v>
      </c>
      <c r="B782" s="36">
        <v>153.6</v>
      </c>
      <c r="C782" s="36">
        <v>43853.62</v>
      </c>
      <c r="D782" s="37">
        <f t="shared" si="24"/>
        <v>2.3931737884141081E-2</v>
      </c>
      <c r="E782" s="37">
        <f t="shared" si="25"/>
        <v>1.8833741917377512E-2</v>
      </c>
    </row>
    <row r="783" spans="1:5" x14ac:dyDescent="0.35">
      <c r="A783" s="33">
        <v>44631</v>
      </c>
      <c r="B783" s="34">
        <v>154</v>
      </c>
      <c r="C783" s="34">
        <v>43653.33</v>
      </c>
      <c r="D783" s="37">
        <f t="shared" si="24"/>
        <v>2.6041666666667038E-3</v>
      </c>
      <c r="E783" s="37">
        <f t="shared" si="25"/>
        <v>-4.567239831056156E-3</v>
      </c>
    </row>
    <row r="784" spans="1:5" x14ac:dyDescent="0.35">
      <c r="A784" s="35">
        <v>44634</v>
      </c>
      <c r="B784" s="36">
        <v>153.97999999999999</v>
      </c>
      <c r="C784" s="36">
        <v>43366.89</v>
      </c>
      <c r="D784" s="37">
        <f t="shared" si="24"/>
        <v>-1.298701298701963E-4</v>
      </c>
      <c r="E784" s="37">
        <f t="shared" si="25"/>
        <v>-6.5616987295127847E-3</v>
      </c>
    </row>
    <row r="785" spans="1:5" x14ac:dyDescent="0.35">
      <c r="A785" s="33">
        <v>44635</v>
      </c>
      <c r="B785" s="34">
        <v>152.13</v>
      </c>
      <c r="C785" s="34">
        <v>43719.82</v>
      </c>
      <c r="D785" s="37">
        <f t="shared" si="24"/>
        <v>-1.2014547343810848E-2</v>
      </c>
      <c r="E785" s="37">
        <f t="shared" si="25"/>
        <v>8.1382363365231011E-3</v>
      </c>
    </row>
    <row r="786" spans="1:5" x14ac:dyDescent="0.35">
      <c r="A786" s="35">
        <v>44636</v>
      </c>
      <c r="B786" s="36">
        <v>150.6</v>
      </c>
      <c r="C786" s="36">
        <v>43975.69</v>
      </c>
      <c r="D786" s="37">
        <f t="shared" si="24"/>
        <v>-1.005718793137449E-2</v>
      </c>
      <c r="E786" s="37">
        <f t="shared" si="25"/>
        <v>5.8524943606813257E-3</v>
      </c>
    </row>
    <row r="787" spans="1:5" x14ac:dyDescent="0.35">
      <c r="A787" s="33">
        <v>44638</v>
      </c>
      <c r="B787" s="34">
        <v>149.02000000000001</v>
      </c>
      <c r="C787" s="34">
        <v>43029.97</v>
      </c>
      <c r="D787" s="37">
        <f t="shared" si="24"/>
        <v>-1.0491367861885684E-2</v>
      </c>
      <c r="E787" s="37">
        <f t="shared" si="25"/>
        <v>-2.1505518162421126E-2</v>
      </c>
    </row>
    <row r="788" spans="1:5" x14ac:dyDescent="0.35">
      <c r="A788" s="35">
        <v>44641</v>
      </c>
      <c r="B788" s="36">
        <v>151.19999999999999</v>
      </c>
      <c r="C788" s="36">
        <v>43230.22</v>
      </c>
      <c r="D788" s="37">
        <f t="shared" si="24"/>
        <v>1.4628908871292298E-2</v>
      </c>
      <c r="E788" s="37">
        <f t="shared" si="25"/>
        <v>4.6537332003717411E-3</v>
      </c>
    </row>
    <row r="789" spans="1:5" x14ac:dyDescent="0.35">
      <c r="A789" s="33">
        <v>44642</v>
      </c>
      <c r="B789" s="34">
        <v>148.02000000000001</v>
      </c>
      <c r="C789" s="34">
        <v>43203.79</v>
      </c>
      <c r="D789" s="37">
        <f t="shared" si="24"/>
        <v>-2.1031746031745891E-2</v>
      </c>
      <c r="E789" s="37">
        <f t="shared" si="25"/>
        <v>-6.1137787408901208E-4</v>
      </c>
    </row>
    <row r="790" spans="1:5" x14ac:dyDescent="0.35">
      <c r="A790" s="35">
        <v>44644</v>
      </c>
      <c r="B790" s="36">
        <v>150.80000000000001</v>
      </c>
      <c r="C790" s="36">
        <v>43522.55</v>
      </c>
      <c r="D790" s="37">
        <f t="shared" si="24"/>
        <v>1.8781245777597627E-2</v>
      </c>
      <c r="E790" s="37">
        <f t="shared" si="25"/>
        <v>7.3780564158839315E-3</v>
      </c>
    </row>
    <row r="791" spans="1:5" x14ac:dyDescent="0.35">
      <c r="A791" s="33">
        <v>44645</v>
      </c>
      <c r="B791" s="34">
        <v>150.86000000000001</v>
      </c>
      <c r="C791" s="34">
        <v>43551.14</v>
      </c>
      <c r="D791" s="37">
        <f t="shared" si="24"/>
        <v>3.978779840848957E-4</v>
      </c>
      <c r="E791" s="37">
        <f t="shared" si="25"/>
        <v>6.5690084795115415E-4</v>
      </c>
    </row>
    <row r="792" spans="1:5" x14ac:dyDescent="0.35">
      <c r="A792" s="35">
        <v>44648</v>
      </c>
      <c r="B792" s="36">
        <v>150.74</v>
      </c>
      <c r="C792" s="36">
        <v>43933.56</v>
      </c>
      <c r="D792" s="37">
        <f t="shared" si="24"/>
        <v>-7.9543948031290295E-4</v>
      </c>
      <c r="E792" s="37">
        <f t="shared" si="25"/>
        <v>8.7809412107237202E-3</v>
      </c>
    </row>
    <row r="793" spans="1:5" x14ac:dyDescent="0.35">
      <c r="A793" s="33">
        <v>44649</v>
      </c>
      <c r="B793" s="34">
        <v>155.53</v>
      </c>
      <c r="C793" s="34">
        <v>44438.7</v>
      </c>
      <c r="D793" s="37">
        <f t="shared" si="24"/>
        <v>3.1776568926628578E-2</v>
      </c>
      <c r="E793" s="37">
        <f t="shared" si="25"/>
        <v>1.1497816247988997E-2</v>
      </c>
    </row>
    <row r="794" spans="1:5" x14ac:dyDescent="0.35">
      <c r="A794" s="35">
        <v>44650</v>
      </c>
      <c r="B794" s="36">
        <v>154.71</v>
      </c>
      <c r="C794" s="36">
        <v>44337.56</v>
      </c>
      <c r="D794" s="37">
        <f t="shared" si="24"/>
        <v>-5.2722947341348496E-3</v>
      </c>
      <c r="E794" s="37">
        <f t="shared" si="25"/>
        <v>-2.2759441657834146E-3</v>
      </c>
    </row>
    <row r="795" spans="1:5" x14ac:dyDescent="0.35">
      <c r="A795" s="33">
        <v>44651</v>
      </c>
      <c r="B795" s="34">
        <v>155.75</v>
      </c>
      <c r="C795" s="34">
        <v>44928.83</v>
      </c>
      <c r="D795" s="37">
        <f t="shared" si="24"/>
        <v>6.7222545407536168E-3</v>
      </c>
      <c r="E795" s="37">
        <f t="shared" si="25"/>
        <v>1.3335645894812526E-2</v>
      </c>
    </row>
    <row r="796" spans="1:5" x14ac:dyDescent="0.35">
      <c r="A796" s="35">
        <v>44652</v>
      </c>
      <c r="B796" s="36">
        <v>156.08000000000001</v>
      </c>
      <c r="C796" s="36">
        <v>45152.11</v>
      </c>
      <c r="D796" s="37">
        <f t="shared" si="24"/>
        <v>2.1187800963082663E-3</v>
      </c>
      <c r="E796" s="37">
        <f t="shared" si="25"/>
        <v>4.9696375356313265E-3</v>
      </c>
    </row>
    <row r="797" spans="1:5" x14ac:dyDescent="0.35">
      <c r="A797" s="33">
        <v>44655</v>
      </c>
      <c r="B797" s="34">
        <v>156.22999999999999</v>
      </c>
      <c r="C797" s="34">
        <v>43902.04</v>
      </c>
      <c r="D797" s="37">
        <f t="shared" si="24"/>
        <v>9.6104561763183782E-4</v>
      </c>
      <c r="E797" s="37">
        <f t="shared" si="25"/>
        <v>-2.7685749348147843E-2</v>
      </c>
    </row>
    <row r="798" spans="1:5" x14ac:dyDescent="0.35">
      <c r="A798" s="35">
        <v>44656</v>
      </c>
      <c r="B798" s="36">
        <v>154.53</v>
      </c>
      <c r="C798" s="36">
        <v>43928.08</v>
      </c>
      <c r="D798" s="37">
        <f t="shared" si="24"/>
        <v>-1.0881392818280667E-2</v>
      </c>
      <c r="E798" s="37">
        <f t="shared" si="25"/>
        <v>5.9313872430531408E-4</v>
      </c>
    </row>
    <row r="799" spans="1:5" x14ac:dyDescent="0.35">
      <c r="A799" s="33">
        <v>44657</v>
      </c>
      <c r="B799" s="34">
        <v>154.53</v>
      </c>
      <c r="C799" s="34">
        <v>44111.1</v>
      </c>
      <c r="D799" s="37">
        <f t="shared" si="24"/>
        <v>0</v>
      </c>
      <c r="E799" s="37">
        <f t="shared" si="25"/>
        <v>4.1663555520750463E-3</v>
      </c>
    </row>
    <row r="800" spans="1:5" x14ac:dyDescent="0.35">
      <c r="A800" s="35">
        <v>44659</v>
      </c>
      <c r="B800" s="36">
        <v>156</v>
      </c>
      <c r="C800" s="36">
        <v>44444.58</v>
      </c>
      <c r="D800" s="37">
        <f t="shared" si="24"/>
        <v>9.5127159774800931E-3</v>
      </c>
      <c r="E800" s="37">
        <f t="shared" si="25"/>
        <v>7.5600019042826681E-3</v>
      </c>
    </row>
    <row r="801" spans="1:5" x14ac:dyDescent="0.35">
      <c r="A801" s="33">
        <v>44662</v>
      </c>
      <c r="B801" s="34">
        <v>157.02000000000001</v>
      </c>
      <c r="C801" s="34">
        <v>46144.959999999999</v>
      </c>
      <c r="D801" s="37">
        <f t="shared" si="24"/>
        <v>6.5384615384616041E-3</v>
      </c>
      <c r="E801" s="37">
        <f t="shared" si="25"/>
        <v>3.8258433311778341E-2</v>
      </c>
    </row>
    <row r="802" spans="1:5" x14ac:dyDescent="0.35">
      <c r="A802" s="35">
        <v>44664</v>
      </c>
      <c r="B802" s="36">
        <v>159.63</v>
      </c>
      <c r="C802" s="36">
        <v>46165.5</v>
      </c>
      <c r="D802" s="37">
        <f t="shared" si="24"/>
        <v>1.6622086358425582E-2</v>
      </c>
      <c r="E802" s="37">
        <f t="shared" si="25"/>
        <v>4.4511903358461844E-4</v>
      </c>
    </row>
    <row r="803" spans="1:5" x14ac:dyDescent="0.35">
      <c r="A803" s="33">
        <v>44665</v>
      </c>
      <c r="B803" s="34">
        <v>165.18</v>
      </c>
      <c r="C803" s="34">
        <v>46484.43</v>
      </c>
      <c r="D803" s="37">
        <f t="shared" si="24"/>
        <v>3.4767900770531927E-2</v>
      </c>
      <c r="E803" s="37">
        <f t="shared" si="25"/>
        <v>6.9084056275790428E-3</v>
      </c>
    </row>
    <row r="804" spans="1:5" x14ac:dyDescent="0.35">
      <c r="A804" s="35">
        <v>44666</v>
      </c>
      <c r="B804" s="36">
        <v>165.69</v>
      </c>
      <c r="C804" s="36">
        <v>46601.54</v>
      </c>
      <c r="D804" s="37">
        <f t="shared" si="24"/>
        <v>3.0875408645113867E-3</v>
      </c>
      <c r="E804" s="37">
        <f t="shared" si="25"/>
        <v>2.5193381956065846E-3</v>
      </c>
    </row>
    <row r="805" spans="1:5" x14ac:dyDescent="0.35">
      <c r="A805" s="33">
        <v>44669</v>
      </c>
      <c r="B805" s="34">
        <v>163.86</v>
      </c>
      <c r="C805" s="34">
        <v>46539.59</v>
      </c>
      <c r="D805" s="37">
        <f t="shared" si="24"/>
        <v>-1.1044722071337946E-2</v>
      </c>
      <c r="E805" s="37">
        <f t="shared" si="25"/>
        <v>-1.3293552101498012E-3</v>
      </c>
    </row>
    <row r="806" spans="1:5" x14ac:dyDescent="0.35">
      <c r="A806" s="35">
        <v>44670</v>
      </c>
      <c r="B806" s="36">
        <v>164.6</v>
      </c>
      <c r="C806" s="36">
        <v>46333.36</v>
      </c>
      <c r="D806" s="37">
        <f t="shared" si="24"/>
        <v>4.5160502868301028E-3</v>
      </c>
      <c r="E806" s="37">
        <f t="shared" si="25"/>
        <v>-4.4312809803437447E-3</v>
      </c>
    </row>
    <row r="807" spans="1:5" x14ac:dyDescent="0.35">
      <c r="A807" s="33">
        <v>44671</v>
      </c>
      <c r="B807" s="34">
        <v>160</v>
      </c>
      <c r="C807" s="34">
        <v>45943.16</v>
      </c>
      <c r="D807" s="37">
        <f t="shared" si="24"/>
        <v>-2.7946537059538239E-2</v>
      </c>
      <c r="E807" s="37">
        <f t="shared" si="25"/>
        <v>-8.4215778868615854E-3</v>
      </c>
    </row>
    <row r="808" spans="1:5" x14ac:dyDescent="0.35">
      <c r="A808" s="35">
        <v>44672</v>
      </c>
      <c r="B808" s="36">
        <v>157.97999999999999</v>
      </c>
      <c r="C808" s="36">
        <v>45652.62</v>
      </c>
      <c r="D808" s="37">
        <f t="shared" si="24"/>
        <v>-1.2625000000000063E-2</v>
      </c>
      <c r="E808" s="37">
        <f t="shared" si="25"/>
        <v>-6.32390109866193E-3</v>
      </c>
    </row>
    <row r="809" spans="1:5" x14ac:dyDescent="0.35">
      <c r="A809" s="33">
        <v>44673</v>
      </c>
      <c r="B809" s="34">
        <v>157.33000000000001</v>
      </c>
      <c r="C809" s="34">
        <v>45553.02</v>
      </c>
      <c r="D809" s="37">
        <f t="shared" si="24"/>
        <v>-4.1144448664386457E-3</v>
      </c>
      <c r="E809" s="37">
        <f t="shared" si="25"/>
        <v>-2.181692967457417E-3</v>
      </c>
    </row>
    <row r="810" spans="1:5" x14ac:dyDescent="0.35">
      <c r="A810" s="35">
        <v>44676</v>
      </c>
      <c r="B810" s="36">
        <v>155.91999999999999</v>
      </c>
      <c r="C810" s="36">
        <v>46073.25</v>
      </c>
      <c r="D810" s="37">
        <f t="shared" si="24"/>
        <v>-8.9620542808111926E-3</v>
      </c>
      <c r="E810" s="37">
        <f t="shared" si="25"/>
        <v>1.1420318565048009E-2</v>
      </c>
    </row>
    <row r="811" spans="1:5" x14ac:dyDescent="0.35">
      <c r="A811" s="33">
        <v>44679</v>
      </c>
      <c r="B811" s="34">
        <v>152.88999999999999</v>
      </c>
      <c r="C811" s="34">
        <v>45249.41</v>
      </c>
      <c r="D811" s="37">
        <f t="shared" si="24"/>
        <v>-1.9433042585941519E-2</v>
      </c>
      <c r="E811" s="37">
        <f t="shared" si="25"/>
        <v>-1.7881091522738174E-2</v>
      </c>
    </row>
    <row r="812" spans="1:5" x14ac:dyDescent="0.35">
      <c r="A812" s="35">
        <v>44690</v>
      </c>
      <c r="B812" s="36">
        <v>149.58000000000001</v>
      </c>
      <c r="C812" s="36">
        <v>43393.14</v>
      </c>
      <c r="D812" s="37">
        <f t="shared" si="24"/>
        <v>-2.1649551965465197E-2</v>
      </c>
      <c r="E812" s="37">
        <f t="shared" si="25"/>
        <v>-4.1023076322984187E-2</v>
      </c>
    </row>
    <row r="813" spans="1:5" x14ac:dyDescent="0.35">
      <c r="A813" s="33">
        <v>44691</v>
      </c>
      <c r="B813" s="34">
        <v>150.5</v>
      </c>
      <c r="C813" s="34">
        <v>43504.36</v>
      </c>
      <c r="D813" s="37">
        <f t="shared" si="24"/>
        <v>6.1505548870168965E-3</v>
      </c>
      <c r="E813" s="37">
        <f t="shared" si="25"/>
        <v>2.563077942734754E-3</v>
      </c>
    </row>
    <row r="814" spans="1:5" x14ac:dyDescent="0.35">
      <c r="A814" s="35">
        <v>44692</v>
      </c>
      <c r="B814" s="36">
        <v>149.55000000000001</v>
      </c>
      <c r="C814" s="36">
        <v>42863.15</v>
      </c>
      <c r="D814" s="37">
        <f t="shared" si="24"/>
        <v>-6.3122923588039108E-3</v>
      </c>
      <c r="E814" s="37">
        <f t="shared" si="25"/>
        <v>-1.4738982483594728E-2</v>
      </c>
    </row>
    <row r="815" spans="1:5" x14ac:dyDescent="0.35">
      <c r="A815" s="33">
        <v>44693</v>
      </c>
      <c r="B815" s="34">
        <v>149.99</v>
      </c>
      <c r="C815" s="34">
        <v>42898.44</v>
      </c>
      <c r="D815" s="37">
        <f t="shared" si="24"/>
        <v>2.9421598127716327E-3</v>
      </c>
      <c r="E815" s="37">
        <f t="shared" si="25"/>
        <v>8.2331793160327397E-4</v>
      </c>
    </row>
    <row r="816" spans="1:5" x14ac:dyDescent="0.35">
      <c r="A816" s="35">
        <v>44694</v>
      </c>
      <c r="B816" s="36">
        <v>149.94999999999999</v>
      </c>
      <c r="C816" s="36">
        <v>43486.46</v>
      </c>
      <c r="D816" s="37">
        <f t="shared" si="24"/>
        <v>-2.6668444562984509E-4</v>
      </c>
      <c r="E816" s="37">
        <f t="shared" si="25"/>
        <v>1.3707258352518105E-2</v>
      </c>
    </row>
    <row r="817" spans="1:5" x14ac:dyDescent="0.35">
      <c r="A817" s="33">
        <v>44697</v>
      </c>
      <c r="B817" s="34">
        <v>149.53</v>
      </c>
      <c r="C817" s="34">
        <v>42667.32</v>
      </c>
      <c r="D817" s="37">
        <f t="shared" si="24"/>
        <v>-2.8009336445480996E-3</v>
      </c>
      <c r="E817" s="37">
        <f t="shared" si="25"/>
        <v>-1.8836667781189809E-2</v>
      </c>
    </row>
    <row r="818" spans="1:5" x14ac:dyDescent="0.35">
      <c r="A818" s="35">
        <v>44698</v>
      </c>
      <c r="B818" s="36">
        <v>148.62</v>
      </c>
      <c r="C818" s="36">
        <v>42726.06</v>
      </c>
      <c r="D818" s="37">
        <f t="shared" si="24"/>
        <v>-6.0857353039523616E-3</v>
      </c>
      <c r="E818" s="37">
        <f t="shared" si="25"/>
        <v>1.3766976693168908E-3</v>
      </c>
    </row>
    <row r="819" spans="1:5" x14ac:dyDescent="0.35">
      <c r="A819" s="33">
        <v>44701</v>
      </c>
      <c r="B819" s="34">
        <v>147.94999999999999</v>
      </c>
      <c r="C819" s="34">
        <v>43100.7</v>
      </c>
      <c r="D819" s="37">
        <f t="shared" si="24"/>
        <v>-4.5081415691025162E-3</v>
      </c>
      <c r="E819" s="37">
        <f t="shared" si="25"/>
        <v>8.7684190866183179E-3</v>
      </c>
    </row>
    <row r="820" spans="1:5" x14ac:dyDescent="0.35">
      <c r="A820" s="35">
        <v>44705</v>
      </c>
      <c r="B820" s="36">
        <v>142.43</v>
      </c>
      <c r="C820" s="36">
        <v>41950.32</v>
      </c>
      <c r="D820" s="37">
        <f t="shared" si="24"/>
        <v>-3.7309901993916747E-2</v>
      </c>
      <c r="E820" s="37">
        <f t="shared" si="25"/>
        <v>-2.6690517787414065E-2</v>
      </c>
    </row>
    <row r="821" spans="1:5" x14ac:dyDescent="0.35">
      <c r="A821" s="33">
        <v>44706</v>
      </c>
      <c r="B821" s="34">
        <v>143.28</v>
      </c>
      <c r="C821" s="34">
        <v>42012.66</v>
      </c>
      <c r="D821" s="37">
        <f t="shared" si="24"/>
        <v>5.9678438531207915E-3</v>
      </c>
      <c r="E821" s="37">
        <f t="shared" si="25"/>
        <v>1.4860434914442556E-3</v>
      </c>
    </row>
    <row r="822" spans="1:5" x14ac:dyDescent="0.35">
      <c r="A822" s="35">
        <v>44707</v>
      </c>
      <c r="B822" s="36">
        <v>143.80000000000001</v>
      </c>
      <c r="C822" s="36">
        <v>42541.71</v>
      </c>
      <c r="D822" s="37">
        <f t="shared" si="24"/>
        <v>3.6292573981016904E-3</v>
      </c>
      <c r="E822" s="37">
        <f t="shared" si="25"/>
        <v>1.2592632792115414E-2</v>
      </c>
    </row>
    <row r="823" spans="1:5" x14ac:dyDescent="0.35">
      <c r="A823" s="33">
        <v>44708</v>
      </c>
      <c r="B823" s="34">
        <v>145</v>
      </c>
      <c r="C823" s="34">
        <v>42861.45</v>
      </c>
      <c r="D823" s="37">
        <f t="shared" si="24"/>
        <v>8.3449235048677923E-3</v>
      </c>
      <c r="E823" s="37">
        <f t="shared" si="25"/>
        <v>7.5159179073901348E-3</v>
      </c>
    </row>
    <row r="824" spans="1:5" x14ac:dyDescent="0.35">
      <c r="A824" s="35">
        <v>44711</v>
      </c>
      <c r="B824" s="36">
        <v>146.38</v>
      </c>
      <c r="C824" s="36">
        <v>43040.14</v>
      </c>
      <c r="D824" s="37">
        <f t="shared" si="24"/>
        <v>9.5172413793103133E-3</v>
      </c>
      <c r="E824" s="37">
        <f t="shared" si="25"/>
        <v>4.1690143473914754E-3</v>
      </c>
    </row>
    <row r="825" spans="1:5" x14ac:dyDescent="0.35">
      <c r="A825" s="33">
        <v>44712</v>
      </c>
      <c r="B825" s="34">
        <v>142.47</v>
      </c>
      <c r="C825" s="34">
        <v>43078.14</v>
      </c>
      <c r="D825" s="37">
        <f t="shared" si="24"/>
        <v>-2.6711299357835748E-2</v>
      </c>
      <c r="E825" s="37">
        <f t="shared" si="25"/>
        <v>8.8289675637672187E-4</v>
      </c>
    </row>
    <row r="826" spans="1:5" x14ac:dyDescent="0.35">
      <c r="A826" s="35">
        <v>44713</v>
      </c>
      <c r="B826" s="36">
        <v>140.21</v>
      </c>
      <c r="C826" s="36">
        <v>42756.04</v>
      </c>
      <c r="D826" s="37">
        <f t="shared" si="24"/>
        <v>-1.5862988699375243E-2</v>
      </c>
      <c r="E826" s="37">
        <f t="shared" si="25"/>
        <v>-7.4771102002082392E-3</v>
      </c>
    </row>
    <row r="827" spans="1:5" x14ac:dyDescent="0.35">
      <c r="A827" s="33">
        <v>44714</v>
      </c>
      <c r="B827" s="34">
        <v>137</v>
      </c>
      <c r="C827" s="34">
        <v>42237.91</v>
      </c>
      <c r="D827" s="37">
        <f t="shared" si="24"/>
        <v>-2.2894230083446314E-2</v>
      </c>
      <c r="E827" s="37">
        <f t="shared" si="25"/>
        <v>-1.21182878489214E-2</v>
      </c>
    </row>
    <row r="828" spans="1:5" x14ac:dyDescent="0.35">
      <c r="A828" s="35">
        <v>44715</v>
      </c>
      <c r="B828" s="36">
        <v>135.80000000000001</v>
      </c>
      <c r="C828" s="36">
        <v>41314.879999999997</v>
      </c>
      <c r="D828" s="37">
        <f t="shared" si="24"/>
        <v>-8.7591240875911584E-3</v>
      </c>
      <c r="E828" s="37">
        <f t="shared" si="25"/>
        <v>-2.1853117258879666E-2</v>
      </c>
    </row>
    <row r="829" spans="1:5" x14ac:dyDescent="0.35">
      <c r="A829" s="33">
        <v>44718</v>
      </c>
      <c r="B829" s="34">
        <v>138.21</v>
      </c>
      <c r="C829" s="34">
        <v>41577.21</v>
      </c>
      <c r="D829" s="37">
        <f t="shared" si="24"/>
        <v>1.7746686303387309E-2</v>
      </c>
      <c r="E829" s="37">
        <f t="shared" si="25"/>
        <v>6.3495283055403223E-3</v>
      </c>
    </row>
    <row r="830" spans="1:5" x14ac:dyDescent="0.35">
      <c r="A830" s="35">
        <v>44719</v>
      </c>
      <c r="B830" s="36">
        <v>138.35</v>
      </c>
      <c r="C830" s="36">
        <v>41568.410000000003</v>
      </c>
      <c r="D830" s="37">
        <f t="shared" si="24"/>
        <v>1.0129513059835493E-3</v>
      </c>
      <c r="E830" s="37">
        <f t="shared" si="25"/>
        <v>-2.1165441355963121E-4</v>
      </c>
    </row>
    <row r="831" spans="1:5" x14ac:dyDescent="0.35">
      <c r="A831" s="33">
        <v>44720</v>
      </c>
      <c r="B831" s="34">
        <v>142.68</v>
      </c>
      <c r="C831" s="34">
        <v>41553.160000000003</v>
      </c>
      <c r="D831" s="37">
        <f t="shared" si="24"/>
        <v>3.1297434044091167E-2</v>
      </c>
      <c r="E831" s="37">
        <f t="shared" si="25"/>
        <v>-3.6686512666710125E-4</v>
      </c>
    </row>
    <row r="832" spans="1:5" x14ac:dyDescent="0.35">
      <c r="A832" s="35">
        <v>44721</v>
      </c>
      <c r="B832" s="36">
        <v>147.13999999999999</v>
      </c>
      <c r="C832" s="36">
        <v>41735.96</v>
      </c>
      <c r="D832" s="37">
        <f t="shared" si="24"/>
        <v>3.1258760863470555E-2</v>
      </c>
      <c r="E832" s="37">
        <f t="shared" si="25"/>
        <v>4.399184081306828E-3</v>
      </c>
    </row>
    <row r="833" spans="1:5" x14ac:dyDescent="0.35">
      <c r="A833" s="33">
        <v>44722</v>
      </c>
      <c r="B833" s="34">
        <v>148.08000000000001</v>
      </c>
      <c r="C833" s="34">
        <v>42014.73</v>
      </c>
      <c r="D833" s="37">
        <f t="shared" si="24"/>
        <v>6.3884735625936266E-3</v>
      </c>
      <c r="E833" s="37">
        <f t="shared" si="25"/>
        <v>6.6793719372935014E-3</v>
      </c>
    </row>
    <row r="834" spans="1:5" x14ac:dyDescent="0.35">
      <c r="A834" s="35">
        <v>44725</v>
      </c>
      <c r="B834" s="36">
        <v>139.18</v>
      </c>
      <c r="C834" s="36">
        <v>40879.93</v>
      </c>
      <c r="D834" s="37">
        <f t="shared" si="24"/>
        <v>-6.0102647217720184E-2</v>
      </c>
      <c r="E834" s="37">
        <f t="shared" si="25"/>
        <v>-2.7009574975252793E-2</v>
      </c>
    </row>
    <row r="835" spans="1:5" x14ac:dyDescent="0.35">
      <c r="A835" s="33">
        <v>44727</v>
      </c>
      <c r="B835" s="34">
        <v>144.55000000000001</v>
      </c>
      <c r="C835" s="34">
        <v>41438.79</v>
      </c>
      <c r="D835" s="37">
        <f t="shared" si="24"/>
        <v>3.8583129760023024E-2</v>
      </c>
      <c r="E835" s="37">
        <f t="shared" si="25"/>
        <v>1.3670767048769423E-2</v>
      </c>
    </row>
    <row r="836" spans="1:5" x14ac:dyDescent="0.35">
      <c r="A836" s="35">
        <v>44728</v>
      </c>
      <c r="B836" s="36">
        <v>144.85</v>
      </c>
      <c r="C836" s="36">
        <v>41730.160000000003</v>
      </c>
      <c r="D836" s="37">
        <f t="shared" si="24"/>
        <v>2.0754064337598264E-3</v>
      </c>
      <c r="E836" s="37">
        <f t="shared" si="25"/>
        <v>7.0313346504567971E-3</v>
      </c>
    </row>
    <row r="837" spans="1:5" x14ac:dyDescent="0.35">
      <c r="A837" s="33">
        <v>44729</v>
      </c>
      <c r="B837" s="34">
        <v>145.01</v>
      </c>
      <c r="C837" s="34">
        <v>42140.76</v>
      </c>
      <c r="D837" s="37">
        <f t="shared" ref="D837:D900" si="26">(B837-B836)/B836</f>
        <v>1.1045909561615229E-3</v>
      </c>
      <c r="E837" s="37">
        <f t="shared" ref="E837:E900" si="27">(C837-C836)/C836</f>
        <v>9.8394063190747061E-3</v>
      </c>
    </row>
    <row r="838" spans="1:5" x14ac:dyDescent="0.35">
      <c r="A838" s="35">
        <v>44734</v>
      </c>
      <c r="B838" s="36">
        <v>147.72999999999999</v>
      </c>
      <c r="C838" s="36">
        <v>42458.14</v>
      </c>
      <c r="D838" s="37">
        <f t="shared" si="26"/>
        <v>1.8757327080890965E-2</v>
      </c>
      <c r="E838" s="37">
        <f t="shared" si="27"/>
        <v>7.5314256316211994E-3</v>
      </c>
    </row>
    <row r="839" spans="1:5" x14ac:dyDescent="0.35">
      <c r="A839" s="33">
        <v>44735</v>
      </c>
      <c r="B839" s="34">
        <v>145.24</v>
      </c>
      <c r="C839" s="34">
        <v>42716.97</v>
      </c>
      <c r="D839" s="37">
        <f t="shared" si="26"/>
        <v>-1.6855073444797811E-2</v>
      </c>
      <c r="E839" s="37">
        <f t="shared" si="27"/>
        <v>6.0961219686025284E-3</v>
      </c>
    </row>
    <row r="840" spans="1:5" x14ac:dyDescent="0.35">
      <c r="A840" s="35">
        <v>44736</v>
      </c>
      <c r="B840" s="36">
        <v>145.26</v>
      </c>
      <c r="C840" s="36">
        <v>41051.79</v>
      </c>
      <c r="D840" s="37">
        <f t="shared" si="26"/>
        <v>1.37703112090208E-4</v>
      </c>
      <c r="E840" s="37">
        <f t="shared" si="27"/>
        <v>-3.8981697437809854E-2</v>
      </c>
    </row>
    <row r="841" spans="1:5" x14ac:dyDescent="0.35">
      <c r="A841" s="33">
        <v>44739</v>
      </c>
      <c r="B841" s="34">
        <v>148.51</v>
      </c>
      <c r="C841" s="34">
        <v>41878.57</v>
      </c>
      <c r="D841" s="37">
        <f t="shared" si="26"/>
        <v>2.2373674790031668E-2</v>
      </c>
      <c r="E841" s="37">
        <f t="shared" si="27"/>
        <v>2.0139925688989417E-2</v>
      </c>
    </row>
    <row r="842" spans="1:5" x14ac:dyDescent="0.35">
      <c r="A842" s="35">
        <v>44740</v>
      </c>
      <c r="B842" s="36">
        <v>148.47999999999999</v>
      </c>
      <c r="C842" s="36">
        <v>41765.620000000003</v>
      </c>
      <c r="D842" s="37">
        <f t="shared" si="26"/>
        <v>-2.0200659888223782E-4</v>
      </c>
      <c r="E842" s="37">
        <f t="shared" si="27"/>
        <v>-2.6970834964039386E-3</v>
      </c>
    </row>
    <row r="843" spans="1:5" x14ac:dyDescent="0.35">
      <c r="A843" s="33">
        <v>44741</v>
      </c>
      <c r="B843" s="34">
        <v>147.12</v>
      </c>
      <c r="C843" s="34">
        <v>41297.730000000003</v>
      </c>
      <c r="D843" s="37">
        <f t="shared" si="26"/>
        <v>-9.15948275862059E-3</v>
      </c>
      <c r="E843" s="37">
        <f t="shared" si="27"/>
        <v>-1.120275480167658E-2</v>
      </c>
    </row>
    <row r="844" spans="1:5" x14ac:dyDescent="0.35">
      <c r="A844" s="35">
        <v>44742</v>
      </c>
      <c r="B844" s="36">
        <v>144.91</v>
      </c>
      <c r="C844" s="36">
        <v>41540.83</v>
      </c>
      <c r="D844" s="37">
        <f t="shared" si="26"/>
        <v>-1.5021750951604186E-2</v>
      </c>
      <c r="E844" s="37">
        <f t="shared" si="27"/>
        <v>5.8865220921343261E-3</v>
      </c>
    </row>
    <row r="845" spans="1:5" x14ac:dyDescent="0.35">
      <c r="A845" s="33">
        <v>44743</v>
      </c>
      <c r="B845" s="34">
        <v>145</v>
      </c>
      <c r="C845" s="34">
        <v>41630.35</v>
      </c>
      <c r="D845" s="37">
        <f t="shared" si="26"/>
        <v>6.2107515009318486E-4</v>
      </c>
      <c r="E845" s="37">
        <f t="shared" si="27"/>
        <v>2.1549882368743427E-3</v>
      </c>
    </row>
    <row r="846" spans="1:5" x14ac:dyDescent="0.35">
      <c r="A846" s="35">
        <v>44746</v>
      </c>
      <c r="B846" s="36">
        <v>146.19999999999999</v>
      </c>
      <c r="C846" s="36">
        <v>41348.19</v>
      </c>
      <c r="D846" s="37">
        <f t="shared" si="26"/>
        <v>8.2758620689654394E-3</v>
      </c>
      <c r="E846" s="37">
        <f t="shared" si="27"/>
        <v>-6.7777474847075803E-3</v>
      </c>
    </row>
    <row r="847" spans="1:5" x14ac:dyDescent="0.35">
      <c r="A847" s="33">
        <v>44747</v>
      </c>
      <c r="B847" s="34">
        <v>148.96</v>
      </c>
      <c r="C847" s="34">
        <v>41102.57</v>
      </c>
      <c r="D847" s="37">
        <f t="shared" si="26"/>
        <v>1.8878248974008343E-2</v>
      </c>
      <c r="E847" s="37">
        <f t="shared" si="27"/>
        <v>-5.9402842059108904E-3</v>
      </c>
    </row>
    <row r="848" spans="1:5" x14ac:dyDescent="0.35">
      <c r="A848" s="35">
        <v>44748</v>
      </c>
      <c r="B848" s="36">
        <v>149.27000000000001</v>
      </c>
      <c r="C848" s="36">
        <v>41159.79</v>
      </c>
      <c r="D848" s="37">
        <f t="shared" si="26"/>
        <v>2.0810955961332051E-3</v>
      </c>
      <c r="E848" s="37">
        <f t="shared" si="27"/>
        <v>1.392127061641186E-3</v>
      </c>
    </row>
    <row r="849" spans="1:5" x14ac:dyDescent="0.35">
      <c r="A849" s="33">
        <v>44755</v>
      </c>
      <c r="B849" s="34">
        <v>149.65</v>
      </c>
      <c r="C849" s="34">
        <v>41862.769999999997</v>
      </c>
      <c r="D849" s="37">
        <f t="shared" si="26"/>
        <v>2.5457225162456984E-3</v>
      </c>
      <c r="E849" s="37">
        <f t="shared" si="27"/>
        <v>1.7079290249051221E-2</v>
      </c>
    </row>
    <row r="850" spans="1:5" x14ac:dyDescent="0.35">
      <c r="A850" s="35">
        <v>44756</v>
      </c>
      <c r="B850" s="36">
        <v>152.88999999999999</v>
      </c>
      <c r="C850" s="36">
        <v>42348.91</v>
      </c>
      <c r="D850" s="37">
        <f t="shared" si="26"/>
        <v>2.1650517875041634E-2</v>
      </c>
      <c r="E850" s="37">
        <f t="shared" si="27"/>
        <v>1.1612705036002317E-2</v>
      </c>
    </row>
    <row r="851" spans="1:5" x14ac:dyDescent="0.35">
      <c r="A851" s="33">
        <v>44757</v>
      </c>
      <c r="B851" s="34">
        <v>153.52000000000001</v>
      </c>
      <c r="C851" s="34">
        <v>42074.91</v>
      </c>
      <c r="D851" s="37">
        <f t="shared" si="26"/>
        <v>4.1206095885932626E-3</v>
      </c>
      <c r="E851" s="37">
        <f t="shared" si="27"/>
        <v>-6.4700602683752662E-3</v>
      </c>
    </row>
    <row r="852" spans="1:5" x14ac:dyDescent="0.35">
      <c r="A852" s="35">
        <v>44760</v>
      </c>
      <c r="B852" s="36">
        <v>147.44999999999999</v>
      </c>
      <c r="C852" s="36">
        <v>41367.11</v>
      </c>
      <c r="D852" s="37">
        <f t="shared" si="26"/>
        <v>-3.9538822303283101E-2</v>
      </c>
      <c r="E852" s="37">
        <f t="shared" si="27"/>
        <v>-1.682237704132945E-2</v>
      </c>
    </row>
    <row r="853" spans="1:5" x14ac:dyDescent="0.35">
      <c r="A853" s="33">
        <v>44761</v>
      </c>
      <c r="B853" s="34">
        <v>147.26</v>
      </c>
      <c r="C853" s="34">
        <v>40389.07</v>
      </c>
      <c r="D853" s="37">
        <f t="shared" si="26"/>
        <v>-1.2885723974228398E-3</v>
      </c>
      <c r="E853" s="37">
        <f t="shared" si="27"/>
        <v>-2.3642937589790556E-2</v>
      </c>
    </row>
    <row r="854" spans="1:5" x14ac:dyDescent="0.35">
      <c r="A854" s="35">
        <v>44762</v>
      </c>
      <c r="B854" s="36">
        <v>148.34</v>
      </c>
      <c r="C854" s="36">
        <v>40459.699999999997</v>
      </c>
      <c r="D854" s="37">
        <f t="shared" si="26"/>
        <v>7.3339671329621936E-3</v>
      </c>
      <c r="E854" s="37">
        <f t="shared" si="27"/>
        <v>1.7487404389355185E-3</v>
      </c>
    </row>
    <row r="855" spans="1:5" x14ac:dyDescent="0.35">
      <c r="A855" s="33">
        <v>44764</v>
      </c>
      <c r="B855" s="34">
        <v>153.81</v>
      </c>
      <c r="C855" s="34">
        <v>40077.300000000003</v>
      </c>
      <c r="D855" s="37">
        <f t="shared" si="26"/>
        <v>3.6874747202372916E-2</v>
      </c>
      <c r="E855" s="37">
        <f t="shared" si="27"/>
        <v>-9.4513800151754517E-3</v>
      </c>
    </row>
    <row r="856" spans="1:5" x14ac:dyDescent="0.35">
      <c r="A856" s="35">
        <v>44767</v>
      </c>
      <c r="B856" s="36">
        <v>153.63</v>
      </c>
      <c r="C856" s="36">
        <v>39844.019999999997</v>
      </c>
      <c r="D856" s="37">
        <f t="shared" si="26"/>
        <v>-1.1702750146284819E-3</v>
      </c>
      <c r="E856" s="37">
        <f t="shared" si="27"/>
        <v>-5.8207513979236652E-3</v>
      </c>
    </row>
    <row r="857" spans="1:5" x14ac:dyDescent="0.35">
      <c r="A857" s="33">
        <v>44768</v>
      </c>
      <c r="B857" s="34">
        <v>152.99</v>
      </c>
      <c r="C857" s="34">
        <v>39894.050000000003</v>
      </c>
      <c r="D857" s="37">
        <f t="shared" si="26"/>
        <v>-4.1658530234979264E-3</v>
      </c>
      <c r="E857" s="37">
        <f t="shared" si="27"/>
        <v>1.2556463931100857E-3</v>
      </c>
    </row>
    <row r="858" spans="1:5" x14ac:dyDescent="0.35">
      <c r="A858" s="35">
        <v>44769</v>
      </c>
      <c r="B858" s="36">
        <v>153.27000000000001</v>
      </c>
      <c r="C858" s="36">
        <v>39972.639999999999</v>
      </c>
      <c r="D858" s="37">
        <f t="shared" si="26"/>
        <v>1.8301849794104263E-3</v>
      </c>
      <c r="E858" s="37">
        <f t="shared" si="27"/>
        <v>1.9699679526144001E-3</v>
      </c>
    </row>
    <row r="859" spans="1:5" x14ac:dyDescent="0.35">
      <c r="A859" s="33">
        <v>44770</v>
      </c>
      <c r="B859" s="34">
        <v>152.76</v>
      </c>
      <c r="C859" s="34">
        <v>40276.639999999999</v>
      </c>
      <c r="D859" s="37">
        <f t="shared" si="26"/>
        <v>-3.3274613427286444E-3</v>
      </c>
      <c r="E859" s="37">
        <f t="shared" si="27"/>
        <v>7.6052019581393671E-3</v>
      </c>
    </row>
    <row r="860" spans="1:5" x14ac:dyDescent="0.35">
      <c r="A860" s="35">
        <v>44771</v>
      </c>
      <c r="B860" s="36">
        <v>152</v>
      </c>
      <c r="C860" s="36">
        <v>40150.36</v>
      </c>
      <c r="D860" s="37">
        <f t="shared" si="26"/>
        <v>-4.9751243781093937E-3</v>
      </c>
      <c r="E860" s="37">
        <f t="shared" si="27"/>
        <v>-3.1353161534824862E-3</v>
      </c>
    </row>
    <row r="861" spans="1:5" x14ac:dyDescent="0.35">
      <c r="A861" s="33">
        <v>44774</v>
      </c>
      <c r="B861" s="34">
        <v>151.91</v>
      </c>
      <c r="C861" s="34">
        <v>40075.96</v>
      </c>
      <c r="D861" s="37">
        <f t="shared" si="26"/>
        <v>-5.9210526315791722E-4</v>
      </c>
      <c r="E861" s="37">
        <f t="shared" si="27"/>
        <v>-1.8530344435268189E-3</v>
      </c>
    </row>
    <row r="862" spans="1:5" x14ac:dyDescent="0.35">
      <c r="A862" s="35">
        <v>44775</v>
      </c>
      <c r="B862" s="36">
        <v>149.22</v>
      </c>
      <c r="C862" s="36">
        <v>40191.61</v>
      </c>
      <c r="D862" s="37">
        <f t="shared" si="26"/>
        <v>-1.7707853334211033E-2</v>
      </c>
      <c r="E862" s="37">
        <f t="shared" si="27"/>
        <v>2.885769922916418E-3</v>
      </c>
    </row>
    <row r="863" spans="1:5" x14ac:dyDescent="0.35">
      <c r="A863" s="33">
        <v>44776</v>
      </c>
      <c r="B863" s="34">
        <v>150.66</v>
      </c>
      <c r="C863" s="34">
        <v>41068.870000000003</v>
      </c>
      <c r="D863" s="37">
        <f t="shared" si="26"/>
        <v>9.6501809408926272E-3</v>
      </c>
      <c r="E863" s="37">
        <f t="shared" si="27"/>
        <v>2.1826943483975934E-2</v>
      </c>
    </row>
    <row r="864" spans="1:5" x14ac:dyDescent="0.35">
      <c r="A864" s="35">
        <v>44777</v>
      </c>
      <c r="B864" s="36">
        <v>151.97999999999999</v>
      </c>
      <c r="C864" s="36">
        <v>41425.370000000003</v>
      </c>
      <c r="D864" s="37">
        <f t="shared" si="26"/>
        <v>8.7614496216646305E-3</v>
      </c>
      <c r="E864" s="37">
        <f t="shared" si="27"/>
        <v>8.6805407599478621E-3</v>
      </c>
    </row>
    <row r="865" spans="1:5" x14ac:dyDescent="0.35">
      <c r="A865" s="33">
        <v>44778</v>
      </c>
      <c r="B865" s="34">
        <v>150.33000000000001</v>
      </c>
      <c r="C865" s="34">
        <v>42096.24</v>
      </c>
      <c r="D865" s="37">
        <f t="shared" si="26"/>
        <v>-1.0856691669956424E-2</v>
      </c>
      <c r="E865" s="37">
        <f t="shared" si="27"/>
        <v>1.6194665249821435E-2</v>
      </c>
    </row>
    <row r="866" spans="1:5" x14ac:dyDescent="0.35">
      <c r="A866" s="35">
        <v>44783</v>
      </c>
      <c r="B866" s="36">
        <v>148.22999999999999</v>
      </c>
      <c r="C866" s="36">
        <v>42494.85</v>
      </c>
      <c r="D866" s="37">
        <f t="shared" si="26"/>
        <v>-1.3969267611255389E-2</v>
      </c>
      <c r="E866" s="37">
        <f t="shared" si="27"/>
        <v>9.4690167102810269E-3</v>
      </c>
    </row>
    <row r="867" spans="1:5" x14ac:dyDescent="0.35">
      <c r="A867" s="33">
        <v>44784</v>
      </c>
      <c r="B867" s="34">
        <v>150.94</v>
      </c>
      <c r="C867" s="34">
        <v>42243.33</v>
      </c>
      <c r="D867" s="37">
        <f t="shared" si="26"/>
        <v>1.8282398974566606E-2</v>
      </c>
      <c r="E867" s="37">
        <f t="shared" si="27"/>
        <v>-5.9188348705783598E-3</v>
      </c>
    </row>
    <row r="868" spans="1:5" x14ac:dyDescent="0.35">
      <c r="A868" s="35">
        <v>44785</v>
      </c>
      <c r="B868" s="36">
        <v>149.08000000000001</v>
      </c>
      <c r="C868" s="36">
        <v>42857.57</v>
      </c>
      <c r="D868" s="37">
        <f t="shared" si="26"/>
        <v>-1.2322777262488309E-2</v>
      </c>
      <c r="E868" s="37">
        <f t="shared" si="27"/>
        <v>1.454052036143926E-2</v>
      </c>
    </row>
    <row r="869" spans="1:5" x14ac:dyDescent="0.35">
      <c r="A869" s="33">
        <v>44788</v>
      </c>
      <c r="B869" s="34">
        <v>151.99</v>
      </c>
      <c r="C869" s="34">
        <v>43621.82</v>
      </c>
      <c r="D869" s="37">
        <f t="shared" si="26"/>
        <v>1.9519720955191819E-2</v>
      </c>
      <c r="E869" s="37">
        <f t="shared" si="27"/>
        <v>1.7832322271188032E-2</v>
      </c>
    </row>
    <row r="870" spans="1:5" x14ac:dyDescent="0.35">
      <c r="A870" s="35">
        <v>44789</v>
      </c>
      <c r="B870" s="36">
        <v>152</v>
      </c>
      <c r="C870" s="36">
        <v>43436.480000000003</v>
      </c>
      <c r="D870" s="37">
        <f t="shared" si="26"/>
        <v>6.5793802223770674E-5</v>
      </c>
      <c r="E870" s="37">
        <f t="shared" si="27"/>
        <v>-4.2487910866625123E-3</v>
      </c>
    </row>
    <row r="871" spans="1:5" x14ac:dyDescent="0.35">
      <c r="A871" s="33">
        <v>44790</v>
      </c>
      <c r="B871" s="34">
        <v>152.24</v>
      </c>
      <c r="C871" s="34">
        <v>43676.56</v>
      </c>
      <c r="D871" s="37">
        <f t="shared" si="26"/>
        <v>1.5789473684211124E-3</v>
      </c>
      <c r="E871" s="37">
        <f t="shared" si="27"/>
        <v>5.5271513713817154E-3</v>
      </c>
    </row>
    <row r="872" spans="1:5" x14ac:dyDescent="0.35">
      <c r="A872" s="35">
        <v>44791</v>
      </c>
      <c r="B872" s="36">
        <v>153.43</v>
      </c>
      <c r="C872" s="36">
        <v>43481.5</v>
      </c>
      <c r="D872" s="37">
        <f t="shared" si="26"/>
        <v>7.8166053599579462E-3</v>
      </c>
      <c r="E872" s="37">
        <f t="shared" si="27"/>
        <v>-4.4660110594789901E-3</v>
      </c>
    </row>
    <row r="873" spans="1:5" x14ac:dyDescent="0.35">
      <c r="A873" s="33">
        <v>44792</v>
      </c>
      <c r="B873" s="34">
        <v>151.49</v>
      </c>
      <c r="C873" s="34">
        <v>43270.65</v>
      </c>
      <c r="D873" s="37">
        <f t="shared" si="26"/>
        <v>-1.2644202567946279E-2</v>
      </c>
      <c r="E873" s="37">
        <f t="shared" si="27"/>
        <v>-4.8491887354391765E-3</v>
      </c>
    </row>
    <row r="874" spans="1:5" x14ac:dyDescent="0.35">
      <c r="A874" s="35">
        <v>44795</v>
      </c>
      <c r="B874" s="36">
        <v>150</v>
      </c>
      <c r="C874" s="36">
        <v>42826.66</v>
      </c>
      <c r="D874" s="37">
        <f t="shared" si="26"/>
        <v>-9.8356327150307538E-3</v>
      </c>
      <c r="E874" s="37">
        <f t="shared" si="27"/>
        <v>-1.0260765669108229E-2</v>
      </c>
    </row>
    <row r="875" spans="1:5" x14ac:dyDescent="0.35">
      <c r="A875" s="33">
        <v>44796</v>
      </c>
      <c r="B875" s="34">
        <v>152.49</v>
      </c>
      <c r="C875" s="34">
        <v>43366.78</v>
      </c>
      <c r="D875" s="37">
        <f t="shared" si="26"/>
        <v>1.6600000000000059E-2</v>
      </c>
      <c r="E875" s="37">
        <f t="shared" si="27"/>
        <v>1.2611770331844588E-2</v>
      </c>
    </row>
    <row r="876" spans="1:5" x14ac:dyDescent="0.35">
      <c r="A876" s="35">
        <v>44797</v>
      </c>
      <c r="B876" s="36">
        <v>152.41999999999999</v>
      </c>
      <c r="C876" s="36">
        <v>43337.97</v>
      </c>
      <c r="D876" s="37">
        <f t="shared" si="26"/>
        <v>-4.5904649485226307E-4</v>
      </c>
      <c r="E876" s="37">
        <f t="shared" si="27"/>
        <v>-6.6433339067363713E-4</v>
      </c>
    </row>
    <row r="877" spans="1:5" x14ac:dyDescent="0.35">
      <c r="A877" s="33">
        <v>44798</v>
      </c>
      <c r="B877" s="34">
        <v>148.94</v>
      </c>
      <c r="C877" s="34">
        <v>43032.57</v>
      </c>
      <c r="D877" s="37">
        <f t="shared" si="26"/>
        <v>-2.2831649389843788E-2</v>
      </c>
      <c r="E877" s="37">
        <f t="shared" si="27"/>
        <v>-7.0469382852958147E-3</v>
      </c>
    </row>
    <row r="878" spans="1:5" x14ac:dyDescent="0.35">
      <c r="A878" s="35">
        <v>44799</v>
      </c>
      <c r="B878" s="36">
        <v>148</v>
      </c>
      <c r="C878" s="36">
        <v>42591.51</v>
      </c>
      <c r="D878" s="37">
        <f t="shared" si="26"/>
        <v>-6.3112662817241694E-3</v>
      </c>
      <c r="E878" s="37">
        <f t="shared" si="27"/>
        <v>-1.0249445942921783E-2</v>
      </c>
    </row>
    <row r="879" spans="1:5" x14ac:dyDescent="0.35">
      <c r="A879" s="33">
        <v>44802</v>
      </c>
      <c r="B879" s="34">
        <v>146.29</v>
      </c>
      <c r="C879" s="34">
        <v>42504.34</v>
      </c>
      <c r="D879" s="37">
        <f t="shared" si="26"/>
        <v>-1.1554054054054108E-2</v>
      </c>
      <c r="E879" s="37">
        <f t="shared" si="27"/>
        <v>-2.0466520205554002E-3</v>
      </c>
    </row>
    <row r="880" spans="1:5" x14ac:dyDescent="0.35">
      <c r="A880" s="35">
        <v>44803</v>
      </c>
      <c r="B880" s="36">
        <v>148</v>
      </c>
      <c r="C880" s="36">
        <v>42195.25</v>
      </c>
      <c r="D880" s="37">
        <f t="shared" si="26"/>
        <v>1.1689110670585878E-2</v>
      </c>
      <c r="E880" s="37">
        <f t="shared" si="27"/>
        <v>-7.2719632865725367E-3</v>
      </c>
    </row>
    <row r="881" spans="1:5" x14ac:dyDescent="0.35">
      <c r="A881" s="33">
        <v>44805</v>
      </c>
      <c r="B881" s="34">
        <v>147.25</v>
      </c>
      <c r="C881" s="34">
        <v>42460.08</v>
      </c>
      <c r="D881" s="37">
        <f t="shared" si="26"/>
        <v>-5.0675675675675678E-3</v>
      </c>
      <c r="E881" s="37">
        <f t="shared" si="27"/>
        <v>6.2762988725034632E-3</v>
      </c>
    </row>
    <row r="882" spans="1:5" x14ac:dyDescent="0.35">
      <c r="A882" s="35">
        <v>44806</v>
      </c>
      <c r="B882" s="36">
        <v>147.5</v>
      </c>
      <c r="C882" s="36">
        <v>42309.11</v>
      </c>
      <c r="D882" s="37">
        <f t="shared" si="26"/>
        <v>1.697792869269949E-3</v>
      </c>
      <c r="E882" s="37">
        <f t="shared" si="27"/>
        <v>-3.5555750248233435E-3</v>
      </c>
    </row>
    <row r="883" spans="1:5" x14ac:dyDescent="0.35">
      <c r="A883" s="33">
        <v>44809</v>
      </c>
      <c r="B883" s="34">
        <v>148.97</v>
      </c>
      <c r="C883" s="34">
        <v>41859.300000000003</v>
      </c>
      <c r="D883" s="37">
        <f t="shared" si="26"/>
        <v>9.9661016949152467E-3</v>
      </c>
      <c r="E883" s="37">
        <f t="shared" si="27"/>
        <v>-1.0631516474820616E-2</v>
      </c>
    </row>
    <row r="884" spans="1:5" x14ac:dyDescent="0.35">
      <c r="A884" s="35">
        <v>44810</v>
      </c>
      <c r="B884" s="36">
        <v>149.84</v>
      </c>
      <c r="C884" s="36">
        <v>41860.36</v>
      </c>
      <c r="D884" s="37">
        <f t="shared" si="26"/>
        <v>5.840102033966601E-3</v>
      </c>
      <c r="E884" s="37">
        <f t="shared" si="27"/>
        <v>2.5322927043635981E-5</v>
      </c>
    </row>
    <row r="885" spans="1:5" x14ac:dyDescent="0.35">
      <c r="A885" s="33">
        <v>44811</v>
      </c>
      <c r="B885" s="34">
        <v>148.80000000000001</v>
      </c>
      <c r="C885" s="34">
        <v>41766.050000000003</v>
      </c>
      <c r="D885" s="37">
        <f t="shared" si="26"/>
        <v>-6.9407367859049118E-3</v>
      </c>
      <c r="E885" s="37">
        <f t="shared" si="27"/>
        <v>-2.2529667685609409E-3</v>
      </c>
    </row>
    <row r="886" spans="1:5" x14ac:dyDescent="0.35">
      <c r="A886" s="35">
        <v>44812</v>
      </c>
      <c r="B886" s="36">
        <v>148.21</v>
      </c>
      <c r="C886" s="36">
        <v>41824.79</v>
      </c>
      <c r="D886" s="37">
        <f t="shared" si="26"/>
        <v>-3.9650537634408831E-3</v>
      </c>
      <c r="E886" s="37">
        <f t="shared" si="27"/>
        <v>1.406405441740312E-3</v>
      </c>
    </row>
    <row r="887" spans="1:5" x14ac:dyDescent="0.35">
      <c r="A887" s="33">
        <v>44813</v>
      </c>
      <c r="B887" s="34">
        <v>147</v>
      </c>
      <c r="C887" s="34">
        <v>41948.160000000003</v>
      </c>
      <c r="D887" s="37">
        <f t="shared" si="26"/>
        <v>-8.1640914918022257E-3</v>
      </c>
      <c r="E887" s="37">
        <f t="shared" si="27"/>
        <v>2.9496860593921123E-3</v>
      </c>
    </row>
    <row r="888" spans="1:5" x14ac:dyDescent="0.35">
      <c r="A888" s="35">
        <v>44816</v>
      </c>
      <c r="B888" s="36">
        <v>140.35</v>
      </c>
      <c r="C888" s="36">
        <v>41862.29</v>
      </c>
      <c r="D888" s="37">
        <f t="shared" si="26"/>
        <v>-4.5238095238095279E-2</v>
      </c>
      <c r="E888" s="37">
        <f t="shared" si="27"/>
        <v>-2.0470504546564764E-3</v>
      </c>
    </row>
    <row r="889" spans="1:5" x14ac:dyDescent="0.35">
      <c r="A889" s="33">
        <v>44817</v>
      </c>
      <c r="B889" s="34">
        <v>140.02000000000001</v>
      </c>
      <c r="C889" s="34">
        <v>42001.34</v>
      </c>
      <c r="D889" s="37">
        <f t="shared" si="26"/>
        <v>-2.3512646954042329E-3</v>
      </c>
      <c r="E889" s="37">
        <f t="shared" si="27"/>
        <v>3.3216051964666919E-3</v>
      </c>
    </row>
    <row r="890" spans="1:5" x14ac:dyDescent="0.35">
      <c r="A890" s="35">
        <v>44818</v>
      </c>
      <c r="B890" s="36">
        <v>139.24</v>
      </c>
      <c r="C890" s="36">
        <v>41937.620000000003</v>
      </c>
      <c r="D890" s="37">
        <f t="shared" si="26"/>
        <v>-5.5706327667476149E-3</v>
      </c>
      <c r="E890" s="37">
        <f t="shared" si="27"/>
        <v>-1.5170944546053506E-3</v>
      </c>
    </row>
    <row r="891" spans="1:5" x14ac:dyDescent="0.35">
      <c r="A891" s="33">
        <v>44819</v>
      </c>
      <c r="B891" s="34">
        <v>138.19999999999999</v>
      </c>
      <c r="C891" s="34">
        <v>41772.089999999997</v>
      </c>
      <c r="D891" s="37">
        <f t="shared" si="26"/>
        <v>-7.4691180695203993E-3</v>
      </c>
      <c r="E891" s="37">
        <f t="shared" si="27"/>
        <v>-3.9470527893572908E-3</v>
      </c>
    </row>
    <row r="892" spans="1:5" x14ac:dyDescent="0.35">
      <c r="A892" s="35">
        <v>44820</v>
      </c>
      <c r="B892" s="36">
        <v>136.69</v>
      </c>
      <c r="C892" s="36">
        <v>41679.49</v>
      </c>
      <c r="D892" s="37">
        <f t="shared" si="26"/>
        <v>-1.0926193921852323E-2</v>
      </c>
      <c r="E892" s="37">
        <f t="shared" si="27"/>
        <v>-2.2167911636692956E-3</v>
      </c>
    </row>
    <row r="893" spans="1:5" x14ac:dyDescent="0.35">
      <c r="A893" s="33">
        <v>44823</v>
      </c>
      <c r="B893" s="34">
        <v>134.61000000000001</v>
      </c>
      <c r="C893" s="34">
        <v>41520.589999999997</v>
      </c>
      <c r="D893" s="37">
        <f t="shared" si="26"/>
        <v>-1.5216914185382867E-2</v>
      </c>
      <c r="E893" s="37">
        <f t="shared" si="27"/>
        <v>-3.8124266875626707E-3</v>
      </c>
    </row>
    <row r="894" spans="1:5" x14ac:dyDescent="0.35">
      <c r="A894" s="35">
        <v>44824</v>
      </c>
      <c r="B894" s="36">
        <v>134</v>
      </c>
      <c r="C894" s="36">
        <v>41220.910000000003</v>
      </c>
      <c r="D894" s="37">
        <f t="shared" si="26"/>
        <v>-4.5316098358221049E-3</v>
      </c>
      <c r="E894" s="37">
        <f t="shared" si="27"/>
        <v>-7.2176238343432267E-3</v>
      </c>
    </row>
    <row r="895" spans="1:5" x14ac:dyDescent="0.35">
      <c r="A895" s="33">
        <v>44825</v>
      </c>
      <c r="B895" s="34">
        <v>133.82</v>
      </c>
      <c r="C895" s="34">
        <v>40965.58</v>
      </c>
      <c r="D895" s="37">
        <f t="shared" si="26"/>
        <v>-1.3432835820896031E-3</v>
      </c>
      <c r="E895" s="37">
        <f t="shared" si="27"/>
        <v>-6.1941863971465387E-3</v>
      </c>
    </row>
    <row r="896" spans="1:5" x14ac:dyDescent="0.35">
      <c r="A896" s="35">
        <v>44826</v>
      </c>
      <c r="B896" s="36">
        <v>134</v>
      </c>
      <c r="C896" s="36">
        <v>40927.949999999997</v>
      </c>
      <c r="D896" s="37">
        <f t="shared" si="26"/>
        <v>1.345090419967171E-3</v>
      </c>
      <c r="E896" s="37">
        <f t="shared" si="27"/>
        <v>-9.1857603383144225E-4</v>
      </c>
    </row>
    <row r="897" spans="1:5" x14ac:dyDescent="0.35">
      <c r="A897" s="33">
        <v>44827</v>
      </c>
      <c r="B897" s="34">
        <v>134</v>
      </c>
      <c r="C897" s="34">
        <v>40620.21</v>
      </c>
      <c r="D897" s="37">
        <f t="shared" si="26"/>
        <v>0</v>
      </c>
      <c r="E897" s="37">
        <f t="shared" si="27"/>
        <v>-7.5190670434262643E-3</v>
      </c>
    </row>
    <row r="898" spans="1:5" x14ac:dyDescent="0.35">
      <c r="A898" s="35">
        <v>44830</v>
      </c>
      <c r="B898" s="36">
        <v>136</v>
      </c>
      <c r="C898" s="36">
        <v>41151.54</v>
      </c>
      <c r="D898" s="37">
        <f t="shared" si="26"/>
        <v>1.4925373134328358E-2</v>
      </c>
      <c r="E898" s="37">
        <f t="shared" si="27"/>
        <v>1.3080434591549422E-2</v>
      </c>
    </row>
    <row r="899" spans="1:5" x14ac:dyDescent="0.35">
      <c r="A899" s="33">
        <v>44831</v>
      </c>
      <c r="B899" s="34">
        <v>136</v>
      </c>
      <c r="C899" s="34">
        <v>41518.230000000003</v>
      </c>
      <c r="D899" s="37">
        <f t="shared" si="26"/>
        <v>0</v>
      </c>
      <c r="E899" s="37">
        <f t="shared" si="27"/>
        <v>8.9107236327000718E-3</v>
      </c>
    </row>
    <row r="900" spans="1:5" x14ac:dyDescent="0.35">
      <c r="A900" s="35">
        <v>44832</v>
      </c>
      <c r="B900" s="36">
        <v>135.94</v>
      </c>
      <c r="C900" s="36">
        <v>41435.129999999997</v>
      </c>
      <c r="D900" s="37">
        <f t="shared" si="26"/>
        <v>-4.4117647058825201E-4</v>
      </c>
      <c r="E900" s="37">
        <f t="shared" si="27"/>
        <v>-2.001530412062504E-3</v>
      </c>
    </row>
    <row r="901" spans="1:5" x14ac:dyDescent="0.35">
      <c r="A901" s="33">
        <v>44833</v>
      </c>
      <c r="B901" s="34">
        <v>134.05000000000001</v>
      </c>
      <c r="C901" s="34">
        <v>41013.86</v>
      </c>
      <c r="D901" s="37">
        <f t="shared" ref="D901:D964" si="28">(B901-B900)/B900</f>
        <v>-1.3903192584963855E-2</v>
      </c>
      <c r="E901" s="37">
        <f t="shared" ref="E901:E964" si="29">(C901-C900)/C900</f>
        <v>-1.0166976669314102E-2</v>
      </c>
    </row>
    <row r="902" spans="1:5" x14ac:dyDescent="0.35">
      <c r="A902" s="35">
        <v>44834</v>
      </c>
      <c r="B902" s="36">
        <v>133.18</v>
      </c>
      <c r="C902" s="36">
        <v>41128.67</v>
      </c>
      <c r="D902" s="37">
        <f t="shared" si="28"/>
        <v>-6.4901156284968625E-3</v>
      </c>
      <c r="E902" s="37">
        <f t="shared" si="29"/>
        <v>2.7992976032979503E-3</v>
      </c>
    </row>
    <row r="903" spans="1:5" x14ac:dyDescent="0.35">
      <c r="A903" s="33">
        <v>44837</v>
      </c>
      <c r="B903" s="34">
        <v>132.37</v>
      </c>
      <c r="C903" s="34">
        <v>41211.699999999997</v>
      </c>
      <c r="D903" s="37">
        <f t="shared" si="28"/>
        <v>-6.0819942934374699E-3</v>
      </c>
      <c r="E903" s="37">
        <f t="shared" si="29"/>
        <v>2.018786408604967E-3</v>
      </c>
    </row>
    <row r="904" spans="1:5" x14ac:dyDescent="0.35">
      <c r="A904" s="35">
        <v>44838</v>
      </c>
      <c r="B904" s="36">
        <v>130.69</v>
      </c>
      <c r="C904" s="36">
        <v>41350.43</v>
      </c>
      <c r="D904" s="37">
        <f t="shared" si="28"/>
        <v>-1.269169751454262E-2</v>
      </c>
      <c r="E904" s="37">
        <f t="shared" si="29"/>
        <v>3.3662770523905398E-3</v>
      </c>
    </row>
    <row r="905" spans="1:5" x14ac:dyDescent="0.35">
      <c r="A905" s="33">
        <v>44839</v>
      </c>
      <c r="B905" s="34">
        <v>132.87</v>
      </c>
      <c r="C905" s="34">
        <v>41611.42</v>
      </c>
      <c r="D905" s="37">
        <f t="shared" si="28"/>
        <v>1.668069477389247E-2</v>
      </c>
      <c r="E905" s="37">
        <f t="shared" si="29"/>
        <v>6.3116635062802967E-3</v>
      </c>
    </row>
    <row r="906" spans="1:5" x14ac:dyDescent="0.35">
      <c r="A906" s="35">
        <v>44840</v>
      </c>
      <c r="B906" s="36">
        <v>132.58000000000001</v>
      </c>
      <c r="C906" s="36">
        <v>42160.57</v>
      </c>
      <c r="D906" s="37">
        <f t="shared" si="28"/>
        <v>-2.1825844810716643E-3</v>
      </c>
      <c r="E906" s="37">
        <f t="shared" si="29"/>
        <v>1.3197098296573428E-2</v>
      </c>
    </row>
    <row r="907" spans="1:5" x14ac:dyDescent="0.35">
      <c r="A907" s="33">
        <v>44841</v>
      </c>
      <c r="B907" s="34">
        <v>132.29</v>
      </c>
      <c r="C907" s="34">
        <v>42085.25</v>
      </c>
      <c r="D907" s="37">
        <f t="shared" si="28"/>
        <v>-2.187358575954295E-3</v>
      </c>
      <c r="E907" s="37">
        <f t="shared" si="29"/>
        <v>-1.7865033608416515E-3</v>
      </c>
    </row>
    <row r="908" spans="1:5" x14ac:dyDescent="0.35">
      <c r="A908" s="35">
        <v>44846</v>
      </c>
      <c r="B908" s="36">
        <v>133</v>
      </c>
      <c r="C908" s="36">
        <v>42007.14</v>
      </c>
      <c r="D908" s="37">
        <f t="shared" si="28"/>
        <v>5.3669967495654095E-3</v>
      </c>
      <c r="E908" s="37">
        <f t="shared" si="29"/>
        <v>-1.8559946774701489E-3</v>
      </c>
    </row>
    <row r="909" spans="1:5" x14ac:dyDescent="0.35">
      <c r="A909" s="33">
        <v>44847</v>
      </c>
      <c r="B909" s="34">
        <v>132.6</v>
      </c>
      <c r="C909" s="34">
        <v>42085.72</v>
      </c>
      <c r="D909" s="37">
        <f t="shared" si="28"/>
        <v>-3.0075187969925239E-3</v>
      </c>
      <c r="E909" s="37">
        <f t="shared" si="29"/>
        <v>1.8706343731089939E-3</v>
      </c>
    </row>
    <row r="910" spans="1:5" x14ac:dyDescent="0.35">
      <c r="A910" s="35">
        <v>44848</v>
      </c>
      <c r="B910" s="36">
        <v>132.96</v>
      </c>
      <c r="C910" s="36">
        <v>41948.5</v>
      </c>
      <c r="D910" s="37">
        <f t="shared" si="28"/>
        <v>2.7149321266969357E-3</v>
      </c>
      <c r="E910" s="37">
        <f t="shared" si="29"/>
        <v>-3.260488355670312E-3</v>
      </c>
    </row>
    <row r="911" spans="1:5" x14ac:dyDescent="0.35">
      <c r="A911" s="33">
        <v>44851</v>
      </c>
      <c r="B911" s="34">
        <v>132.96</v>
      </c>
      <c r="C911" s="34">
        <v>41755.449999999997</v>
      </c>
      <c r="D911" s="37">
        <f t="shared" si="28"/>
        <v>0</v>
      </c>
      <c r="E911" s="37">
        <f t="shared" si="29"/>
        <v>-4.6020715877803237E-3</v>
      </c>
    </row>
    <row r="912" spans="1:5" x14ac:dyDescent="0.35">
      <c r="A912" s="35">
        <v>44852</v>
      </c>
      <c r="B912" s="36">
        <v>134.1</v>
      </c>
      <c r="C912" s="36">
        <v>41839.26</v>
      </c>
      <c r="D912" s="37">
        <f t="shared" si="28"/>
        <v>8.5740072202165028E-3</v>
      </c>
      <c r="E912" s="37">
        <f t="shared" si="29"/>
        <v>2.0071631367882506E-3</v>
      </c>
    </row>
    <row r="913" spans="1:5" x14ac:dyDescent="0.35">
      <c r="A913" s="33">
        <v>44853</v>
      </c>
      <c r="B913" s="34">
        <v>137.63</v>
      </c>
      <c r="C913" s="34">
        <v>42226.05</v>
      </c>
      <c r="D913" s="37">
        <f t="shared" si="28"/>
        <v>2.6323639075316936E-2</v>
      </c>
      <c r="E913" s="37">
        <f t="shared" si="29"/>
        <v>9.2446663731624527E-3</v>
      </c>
    </row>
    <row r="914" spans="1:5" x14ac:dyDescent="0.35">
      <c r="A914" s="35">
        <v>44854</v>
      </c>
      <c r="B914" s="36">
        <v>134.82</v>
      </c>
      <c r="C914" s="36">
        <v>42137.04</v>
      </c>
      <c r="D914" s="37">
        <f t="shared" si="28"/>
        <v>-2.0417060233960636E-2</v>
      </c>
      <c r="E914" s="37">
        <f t="shared" si="29"/>
        <v>-2.1079404775014958E-3</v>
      </c>
    </row>
    <row r="915" spans="1:5" x14ac:dyDescent="0.35">
      <c r="A915" s="33">
        <v>44855</v>
      </c>
      <c r="B915" s="34">
        <v>135.81</v>
      </c>
      <c r="C915" s="34">
        <v>42213.48</v>
      </c>
      <c r="D915" s="37">
        <f t="shared" si="28"/>
        <v>7.3431241655541402E-3</v>
      </c>
      <c r="E915" s="37">
        <f t="shared" si="29"/>
        <v>1.8140809131349123E-3</v>
      </c>
    </row>
    <row r="916" spans="1:5" x14ac:dyDescent="0.35">
      <c r="A916" s="35">
        <v>44858</v>
      </c>
      <c r="B916" s="36">
        <v>133.75</v>
      </c>
      <c r="C916" s="36">
        <v>42347.23</v>
      </c>
      <c r="D916" s="37">
        <f t="shared" si="28"/>
        <v>-1.5168249760695106E-2</v>
      </c>
      <c r="E916" s="37">
        <f t="shared" si="29"/>
        <v>3.1684191874254385E-3</v>
      </c>
    </row>
    <row r="917" spans="1:5" x14ac:dyDescent="0.35">
      <c r="A917" s="33">
        <v>44859</v>
      </c>
      <c r="B917" s="34">
        <v>136.58000000000001</v>
      </c>
      <c r="C917" s="34">
        <v>42190.02</v>
      </c>
      <c r="D917" s="37">
        <f t="shared" si="28"/>
        <v>2.115887850467299E-2</v>
      </c>
      <c r="E917" s="37">
        <f t="shared" si="29"/>
        <v>-3.7124033850621727E-3</v>
      </c>
    </row>
    <row r="918" spans="1:5" x14ac:dyDescent="0.35">
      <c r="A918" s="35">
        <v>44860</v>
      </c>
      <c r="B918" s="36">
        <v>134.80000000000001</v>
      </c>
      <c r="C918" s="36">
        <v>41540.03</v>
      </c>
      <c r="D918" s="37">
        <f t="shared" si="28"/>
        <v>-1.3032654854297854E-2</v>
      </c>
      <c r="E918" s="37">
        <f t="shared" si="29"/>
        <v>-1.5406250103697462E-2</v>
      </c>
    </row>
    <row r="919" spans="1:5" x14ac:dyDescent="0.35">
      <c r="A919" s="33">
        <v>44861</v>
      </c>
      <c r="B919" s="34">
        <v>135.1</v>
      </c>
      <c r="C919" s="34">
        <v>41602.85</v>
      </c>
      <c r="D919" s="37">
        <f t="shared" si="28"/>
        <v>2.2255192878337013E-3</v>
      </c>
      <c r="E919" s="37">
        <f t="shared" si="29"/>
        <v>1.512276230903052E-3</v>
      </c>
    </row>
    <row r="920" spans="1:5" x14ac:dyDescent="0.35">
      <c r="A920" s="35">
        <v>44862</v>
      </c>
      <c r="B920" s="36">
        <v>135</v>
      </c>
      <c r="C920" s="36">
        <v>41140.33</v>
      </c>
      <c r="D920" s="37">
        <f t="shared" si="28"/>
        <v>-7.4019245003696763E-4</v>
      </c>
      <c r="E920" s="37">
        <f t="shared" si="29"/>
        <v>-1.1117507574601183E-2</v>
      </c>
    </row>
    <row r="921" spans="1:5" x14ac:dyDescent="0.35">
      <c r="A921" s="33">
        <v>44865</v>
      </c>
      <c r="B921" s="34">
        <v>137.63999999999999</v>
      </c>
      <c r="C921" s="34">
        <v>41264.660000000003</v>
      </c>
      <c r="D921" s="37">
        <f t="shared" si="28"/>
        <v>1.9555555555555455E-2</v>
      </c>
      <c r="E921" s="37">
        <f t="shared" si="29"/>
        <v>3.0220953502317978E-3</v>
      </c>
    </row>
    <row r="922" spans="1:5" x14ac:dyDescent="0.35">
      <c r="A922" s="35">
        <v>44866</v>
      </c>
      <c r="B922" s="36">
        <v>140.38</v>
      </c>
      <c r="C922" s="36">
        <v>41808.69</v>
      </c>
      <c r="D922" s="37">
        <f t="shared" si="28"/>
        <v>1.9907003777971589E-2</v>
      </c>
      <c r="E922" s="37">
        <f t="shared" si="29"/>
        <v>1.3183920575136177E-2</v>
      </c>
    </row>
    <row r="923" spans="1:5" x14ac:dyDescent="0.35">
      <c r="A923" s="33">
        <v>44867</v>
      </c>
      <c r="B923" s="34">
        <v>141.80000000000001</v>
      </c>
      <c r="C923" s="34">
        <v>41944.59</v>
      </c>
      <c r="D923" s="37">
        <f t="shared" si="28"/>
        <v>1.011540105428135E-2</v>
      </c>
      <c r="E923" s="37">
        <f t="shared" si="29"/>
        <v>3.2505204061642249E-3</v>
      </c>
    </row>
    <row r="924" spans="1:5" x14ac:dyDescent="0.35">
      <c r="A924" s="35">
        <v>44868</v>
      </c>
      <c r="B924" s="36">
        <v>141.07</v>
      </c>
      <c r="C924" s="36">
        <v>42090.71</v>
      </c>
      <c r="D924" s="37">
        <f t="shared" si="28"/>
        <v>-5.1480959097321448E-3</v>
      </c>
      <c r="E924" s="37">
        <f t="shared" si="29"/>
        <v>3.4836435402039365E-3</v>
      </c>
    </row>
    <row r="925" spans="1:5" x14ac:dyDescent="0.35">
      <c r="A925" s="33">
        <v>44869</v>
      </c>
      <c r="B925" s="34">
        <v>140</v>
      </c>
      <c r="C925" s="34">
        <v>41856.31</v>
      </c>
      <c r="D925" s="37">
        <f t="shared" si="28"/>
        <v>-7.5848869355638563E-3</v>
      </c>
      <c r="E925" s="37">
        <f t="shared" si="29"/>
        <v>-5.5689248292557069E-3</v>
      </c>
    </row>
    <row r="926" spans="1:5" x14ac:dyDescent="0.35">
      <c r="A926" s="35">
        <v>44872</v>
      </c>
      <c r="B926" s="36">
        <v>140</v>
      </c>
      <c r="C926" s="36">
        <v>42047.360000000001</v>
      </c>
      <c r="D926" s="37">
        <f t="shared" si="28"/>
        <v>0</v>
      </c>
      <c r="E926" s="37">
        <f t="shared" si="29"/>
        <v>4.5644252921483745E-3</v>
      </c>
    </row>
    <row r="927" spans="1:5" x14ac:dyDescent="0.35">
      <c r="A927" s="33">
        <v>44873</v>
      </c>
      <c r="B927" s="34">
        <v>140</v>
      </c>
      <c r="C927" s="34">
        <v>42265.36</v>
      </c>
      <c r="D927" s="37">
        <f t="shared" si="28"/>
        <v>0</v>
      </c>
      <c r="E927" s="37">
        <f t="shared" si="29"/>
        <v>5.1846299030426646E-3</v>
      </c>
    </row>
    <row r="928" spans="1:5" x14ac:dyDescent="0.35">
      <c r="A928" s="35">
        <v>44875</v>
      </c>
      <c r="B928" s="36">
        <v>139.94999999999999</v>
      </c>
      <c r="C928" s="36">
        <v>42901.27</v>
      </c>
      <c r="D928" s="37">
        <f t="shared" si="28"/>
        <v>-3.5714285714293835E-4</v>
      </c>
      <c r="E928" s="37">
        <f t="shared" si="29"/>
        <v>1.5045654408243446E-2</v>
      </c>
    </row>
    <row r="929" spans="1:5" x14ac:dyDescent="0.35">
      <c r="A929" s="33">
        <v>44876</v>
      </c>
      <c r="B929" s="34">
        <v>140</v>
      </c>
      <c r="C929" s="34">
        <v>43092.95</v>
      </c>
      <c r="D929" s="37">
        <f t="shared" si="28"/>
        <v>3.5727045373355748E-4</v>
      </c>
      <c r="E929" s="37">
        <f t="shared" si="29"/>
        <v>4.4679330005848381E-3</v>
      </c>
    </row>
    <row r="930" spans="1:5" x14ac:dyDescent="0.35">
      <c r="A930" s="35">
        <v>44879</v>
      </c>
      <c r="B930" s="36">
        <v>139.69</v>
      </c>
      <c r="C930" s="36">
        <v>42850.83</v>
      </c>
      <c r="D930" s="37">
        <f t="shared" si="28"/>
        <v>-2.2142857142857307E-3</v>
      </c>
      <c r="E930" s="37">
        <f t="shared" si="29"/>
        <v>-5.6185524546357437E-3</v>
      </c>
    </row>
    <row r="931" spans="1:5" x14ac:dyDescent="0.35">
      <c r="A931" s="33">
        <v>44880</v>
      </c>
      <c r="B931" s="34">
        <v>139.07</v>
      </c>
      <c r="C931" s="34">
        <v>42796.85</v>
      </c>
      <c r="D931" s="37">
        <f t="shared" si="28"/>
        <v>-4.43839931276401E-3</v>
      </c>
      <c r="E931" s="37">
        <f t="shared" si="29"/>
        <v>-1.259718889925894E-3</v>
      </c>
    </row>
    <row r="932" spans="1:5" x14ac:dyDescent="0.35">
      <c r="A932" s="35">
        <v>44881</v>
      </c>
      <c r="B932" s="36">
        <v>139</v>
      </c>
      <c r="C932" s="36">
        <v>42983.75</v>
      </c>
      <c r="D932" s="37">
        <f t="shared" si="28"/>
        <v>-5.0334363989352972E-4</v>
      </c>
      <c r="E932" s="37">
        <f t="shared" si="29"/>
        <v>4.3671438435305748E-3</v>
      </c>
    </row>
    <row r="933" spans="1:5" x14ac:dyDescent="0.35">
      <c r="A933" s="33">
        <v>44882</v>
      </c>
      <c r="B933" s="34">
        <v>139.6</v>
      </c>
      <c r="C933" s="34">
        <v>42819.72</v>
      </c>
      <c r="D933" s="37">
        <f t="shared" si="28"/>
        <v>4.3165467625898872E-3</v>
      </c>
      <c r="E933" s="37">
        <f t="shared" si="29"/>
        <v>-3.8160932910692724E-3</v>
      </c>
    </row>
    <row r="934" spans="1:5" x14ac:dyDescent="0.35">
      <c r="A934" s="35">
        <v>44886</v>
      </c>
      <c r="B934" s="36">
        <v>138.53</v>
      </c>
      <c r="C934" s="36">
        <v>42761.19</v>
      </c>
      <c r="D934" s="37">
        <f t="shared" si="28"/>
        <v>-7.6647564469913554E-3</v>
      </c>
      <c r="E934" s="37">
        <f t="shared" si="29"/>
        <v>-1.3668935714665775E-3</v>
      </c>
    </row>
    <row r="935" spans="1:5" x14ac:dyDescent="0.35">
      <c r="A935" s="33">
        <v>44887</v>
      </c>
      <c r="B935" s="34">
        <v>138.07</v>
      </c>
      <c r="C935" s="34">
        <v>42928.62</v>
      </c>
      <c r="D935" s="37">
        <f t="shared" si="28"/>
        <v>-3.320580379701205E-3</v>
      </c>
      <c r="E935" s="37">
        <f t="shared" si="29"/>
        <v>3.9154663375832221E-3</v>
      </c>
    </row>
    <row r="936" spans="1:5" x14ac:dyDescent="0.35">
      <c r="A936" s="35">
        <v>44888</v>
      </c>
      <c r="B936" s="36">
        <v>138.19999999999999</v>
      </c>
      <c r="C936" s="36">
        <v>42880.31</v>
      </c>
      <c r="D936" s="37">
        <f t="shared" si="28"/>
        <v>9.4155138697758713E-4</v>
      </c>
      <c r="E936" s="37">
        <f t="shared" si="29"/>
        <v>-1.1253564638230846E-3</v>
      </c>
    </row>
    <row r="937" spans="1:5" x14ac:dyDescent="0.35">
      <c r="A937" s="33">
        <v>44893</v>
      </c>
      <c r="B937" s="34">
        <v>138.19999999999999</v>
      </c>
      <c r="C937" s="34">
        <v>42071.34</v>
      </c>
      <c r="D937" s="37">
        <f t="shared" si="28"/>
        <v>0</v>
      </c>
      <c r="E937" s="37">
        <f t="shared" si="29"/>
        <v>-1.8865768461095576E-2</v>
      </c>
    </row>
    <row r="938" spans="1:5" x14ac:dyDescent="0.35">
      <c r="A938" s="35">
        <v>44895</v>
      </c>
      <c r="B938" s="36">
        <v>138.29</v>
      </c>
      <c r="C938" s="36">
        <v>42348.63</v>
      </c>
      <c r="D938" s="37">
        <f t="shared" si="28"/>
        <v>6.5123010130248488E-4</v>
      </c>
      <c r="E938" s="37">
        <f t="shared" si="29"/>
        <v>6.5909476617574073E-3</v>
      </c>
    </row>
    <row r="939" spans="1:5" x14ac:dyDescent="0.35">
      <c r="A939" s="33">
        <v>44896</v>
      </c>
      <c r="B939" s="34">
        <v>139</v>
      </c>
      <c r="C939" s="34">
        <v>42393.52</v>
      </c>
      <c r="D939" s="37">
        <f t="shared" si="28"/>
        <v>5.134138404801562E-3</v>
      </c>
      <c r="E939" s="37">
        <f t="shared" si="29"/>
        <v>1.0600106780313653E-3</v>
      </c>
    </row>
    <row r="940" spans="1:5" x14ac:dyDescent="0.35">
      <c r="A940" s="35">
        <v>44900</v>
      </c>
      <c r="B940" s="36">
        <v>137</v>
      </c>
      <c r="C940" s="36">
        <v>41612.67</v>
      </c>
      <c r="D940" s="37">
        <f t="shared" si="28"/>
        <v>-1.4388489208633094E-2</v>
      </c>
      <c r="E940" s="37">
        <f t="shared" si="29"/>
        <v>-1.8419088577688255E-2</v>
      </c>
    </row>
    <row r="941" spans="1:5" x14ac:dyDescent="0.35">
      <c r="A941" s="33">
        <v>44901</v>
      </c>
      <c r="B941" s="34">
        <v>135</v>
      </c>
      <c r="C941" s="34">
        <v>41539.94</v>
      </c>
      <c r="D941" s="37">
        <f t="shared" si="28"/>
        <v>-1.4598540145985401E-2</v>
      </c>
      <c r="E941" s="37">
        <f t="shared" si="29"/>
        <v>-1.7477849895235257E-3</v>
      </c>
    </row>
    <row r="942" spans="1:5" x14ac:dyDescent="0.35">
      <c r="A942" s="35">
        <v>44902</v>
      </c>
      <c r="B942" s="36">
        <v>135</v>
      </c>
      <c r="C942" s="36">
        <v>41819.29</v>
      </c>
      <c r="D942" s="37">
        <f t="shared" si="28"/>
        <v>0</v>
      </c>
      <c r="E942" s="37">
        <f t="shared" si="29"/>
        <v>6.7248532376310254E-3</v>
      </c>
    </row>
    <row r="943" spans="1:5" x14ac:dyDescent="0.35">
      <c r="A943" s="33">
        <v>44903</v>
      </c>
      <c r="B943" s="34">
        <v>133.04</v>
      </c>
      <c r="C943" s="34">
        <v>41651.61</v>
      </c>
      <c r="D943" s="37">
        <f t="shared" si="28"/>
        <v>-1.4518518518518578E-2</v>
      </c>
      <c r="E943" s="37">
        <f t="shared" si="29"/>
        <v>-4.0096328751635978E-3</v>
      </c>
    </row>
    <row r="944" spans="1:5" x14ac:dyDescent="0.35">
      <c r="A944" s="35">
        <v>44907</v>
      </c>
      <c r="B944" s="36">
        <v>132</v>
      </c>
      <c r="C944" s="36">
        <v>41540.550000000003</v>
      </c>
      <c r="D944" s="37">
        <f t="shared" si="28"/>
        <v>-7.8171978352374639E-3</v>
      </c>
      <c r="E944" s="37">
        <f t="shared" si="29"/>
        <v>-2.6664035315801158E-3</v>
      </c>
    </row>
    <row r="945" spans="1:5" x14ac:dyDescent="0.35">
      <c r="A945" s="33">
        <v>44908</v>
      </c>
      <c r="B945" s="34">
        <v>133.30000000000001</v>
      </c>
      <c r="C945" s="34">
        <v>41714.300000000003</v>
      </c>
      <c r="D945" s="37">
        <f t="shared" si="28"/>
        <v>9.8484848484849345E-3</v>
      </c>
      <c r="E945" s="37">
        <f t="shared" si="29"/>
        <v>4.1826600755165734E-3</v>
      </c>
    </row>
    <row r="946" spans="1:5" x14ac:dyDescent="0.35">
      <c r="A946" s="35">
        <v>44911</v>
      </c>
      <c r="B946" s="36">
        <v>129</v>
      </c>
      <c r="C946" s="36">
        <v>41301.480000000003</v>
      </c>
      <c r="D946" s="37">
        <f t="shared" si="28"/>
        <v>-3.2258064516129115E-2</v>
      </c>
      <c r="E946" s="37">
        <f t="shared" si="29"/>
        <v>-9.8963664738470902E-3</v>
      </c>
    </row>
    <row r="947" spans="1:5" x14ac:dyDescent="0.35">
      <c r="A947" s="33">
        <v>44914</v>
      </c>
      <c r="B947" s="34">
        <v>128.71</v>
      </c>
      <c r="C947" s="34">
        <v>40970.82</v>
      </c>
      <c r="D947" s="37">
        <f t="shared" si="28"/>
        <v>-2.2480620155038143E-3</v>
      </c>
      <c r="E947" s="37">
        <f t="shared" si="29"/>
        <v>-8.0060085013903496E-3</v>
      </c>
    </row>
    <row r="948" spans="1:5" x14ac:dyDescent="0.35">
      <c r="A948" s="35">
        <v>44915</v>
      </c>
      <c r="B948" s="36">
        <v>123.22</v>
      </c>
      <c r="C948" s="36">
        <v>39832.449999999997</v>
      </c>
      <c r="D948" s="37">
        <f t="shared" si="28"/>
        <v>-4.2654028436019023E-2</v>
      </c>
      <c r="E948" s="37">
        <f t="shared" si="29"/>
        <v>-2.7784896665480521E-2</v>
      </c>
    </row>
    <row r="949" spans="1:5" x14ac:dyDescent="0.35">
      <c r="A949" s="33">
        <v>44916</v>
      </c>
      <c r="B949" s="34">
        <v>120</v>
      </c>
      <c r="C949" s="34">
        <v>39342.89</v>
      </c>
      <c r="D949" s="37">
        <f t="shared" si="28"/>
        <v>-2.6132121408862188E-2</v>
      </c>
      <c r="E949" s="37">
        <f t="shared" si="29"/>
        <v>-1.2290481755453097E-2</v>
      </c>
    </row>
    <row r="950" spans="1:5" x14ac:dyDescent="0.35">
      <c r="A950" s="35">
        <v>44917</v>
      </c>
      <c r="B950" s="36">
        <v>123.37</v>
      </c>
      <c r="C950" s="36">
        <v>39838.33</v>
      </c>
      <c r="D950" s="37">
        <f t="shared" si="28"/>
        <v>2.808333333333337E-2</v>
      </c>
      <c r="E950" s="37">
        <f t="shared" si="29"/>
        <v>1.2592872562234302E-2</v>
      </c>
    </row>
    <row r="951" spans="1:5" x14ac:dyDescent="0.35">
      <c r="A951" s="33">
        <v>44918</v>
      </c>
      <c r="B951" s="34">
        <v>126</v>
      </c>
      <c r="C951" s="34">
        <v>39669.199999999997</v>
      </c>
      <c r="D951" s="37">
        <f t="shared" si="28"/>
        <v>2.1317986544540774E-2</v>
      </c>
      <c r="E951" s="37">
        <f t="shared" si="29"/>
        <v>-4.245408881346298E-3</v>
      </c>
    </row>
    <row r="952" spans="1:5" x14ac:dyDescent="0.35">
      <c r="A952" s="35">
        <v>44921</v>
      </c>
      <c r="B952" s="36">
        <v>127</v>
      </c>
      <c r="C952" s="36">
        <v>40155.160000000003</v>
      </c>
      <c r="D952" s="37">
        <f t="shared" si="28"/>
        <v>7.9365079365079361E-3</v>
      </c>
      <c r="E952" s="37">
        <f t="shared" si="29"/>
        <v>1.2250310064231355E-2</v>
      </c>
    </row>
    <row r="953" spans="1:5" x14ac:dyDescent="0.35">
      <c r="A953" s="33">
        <v>44922</v>
      </c>
      <c r="B953" s="34">
        <v>126</v>
      </c>
      <c r="C953" s="34">
        <v>39802.910000000003</v>
      </c>
      <c r="D953" s="37">
        <f t="shared" si="28"/>
        <v>-7.874015748031496E-3</v>
      </c>
      <c r="E953" s="37">
        <f t="shared" si="29"/>
        <v>-8.7722225487334628E-3</v>
      </c>
    </row>
    <row r="954" spans="1:5" x14ac:dyDescent="0.35">
      <c r="A954" s="35">
        <v>44923</v>
      </c>
      <c r="B954" s="36">
        <v>124.48</v>
      </c>
      <c r="C954" s="36">
        <v>39279.43</v>
      </c>
      <c r="D954" s="37">
        <f t="shared" si="28"/>
        <v>-1.2063492063492031E-2</v>
      </c>
      <c r="E954" s="37">
        <f t="shared" si="29"/>
        <v>-1.3151802217476138E-2</v>
      </c>
    </row>
    <row r="955" spans="1:5" x14ac:dyDescent="0.35">
      <c r="A955" s="33">
        <v>44924</v>
      </c>
      <c r="B955" s="34">
        <v>126.44</v>
      </c>
      <c r="C955" s="34">
        <v>39747.35</v>
      </c>
      <c r="D955" s="37">
        <f t="shared" si="28"/>
        <v>1.5745501285346995E-2</v>
      </c>
      <c r="E955" s="37">
        <f t="shared" si="29"/>
        <v>1.1912596491344152E-2</v>
      </c>
    </row>
    <row r="956" spans="1:5" x14ac:dyDescent="0.35">
      <c r="A956" s="35">
        <v>44925</v>
      </c>
      <c r="B956" s="36">
        <v>128.51</v>
      </c>
      <c r="C956" s="36">
        <v>40420.449999999997</v>
      </c>
      <c r="D956" s="37">
        <f t="shared" si="28"/>
        <v>1.6371401455235631E-2</v>
      </c>
      <c r="E956" s="37">
        <f t="shared" si="29"/>
        <v>1.6934462297486463E-2</v>
      </c>
    </row>
    <row r="957" spans="1:5" x14ac:dyDescent="0.35">
      <c r="A957" s="33">
        <v>44928</v>
      </c>
      <c r="B957" s="34">
        <v>126</v>
      </c>
      <c r="C957" s="34">
        <v>40815.9</v>
      </c>
      <c r="D957" s="37">
        <f t="shared" si="28"/>
        <v>-1.953155396467194E-2</v>
      </c>
      <c r="E957" s="37">
        <f t="shared" si="29"/>
        <v>9.783414088660675E-3</v>
      </c>
    </row>
    <row r="958" spans="1:5" x14ac:dyDescent="0.35">
      <c r="A958" s="35">
        <v>44930</v>
      </c>
      <c r="B958" s="36">
        <v>126.22</v>
      </c>
      <c r="C958" s="36">
        <v>40539.300000000003</v>
      </c>
      <c r="D958" s="37">
        <f t="shared" si="28"/>
        <v>1.7460317460317369E-3</v>
      </c>
      <c r="E958" s="37">
        <f t="shared" si="29"/>
        <v>-6.7767708172550047E-3</v>
      </c>
    </row>
    <row r="959" spans="1:5" x14ac:dyDescent="0.35">
      <c r="A959" s="33">
        <v>44931</v>
      </c>
      <c r="B959" s="34">
        <v>125</v>
      </c>
      <c r="C959" s="34">
        <v>40716.74</v>
      </c>
      <c r="D959" s="37">
        <f t="shared" si="28"/>
        <v>-9.665663127871961E-3</v>
      </c>
      <c r="E959" s="37">
        <f t="shared" si="29"/>
        <v>4.3769872691436472E-3</v>
      </c>
    </row>
    <row r="960" spans="1:5" x14ac:dyDescent="0.35">
      <c r="A960" s="35">
        <v>44932</v>
      </c>
      <c r="B960" s="36">
        <v>122.02</v>
      </c>
      <c r="C960" s="36">
        <v>41007.519999999997</v>
      </c>
      <c r="D960" s="37">
        <f t="shared" si="28"/>
        <v>-2.3840000000000031E-2</v>
      </c>
      <c r="E960" s="37">
        <f t="shared" si="29"/>
        <v>7.1415344155744999E-3</v>
      </c>
    </row>
    <row r="961" spans="1:5" x14ac:dyDescent="0.35">
      <c r="A961" s="33">
        <v>44935</v>
      </c>
      <c r="B961" s="34">
        <v>121.96</v>
      </c>
      <c r="C961" s="34">
        <v>40504.76</v>
      </c>
      <c r="D961" s="37">
        <f t="shared" si="28"/>
        <v>-4.9172266841503263E-4</v>
      </c>
      <c r="E961" s="37">
        <f t="shared" si="29"/>
        <v>-1.2260190326066896E-2</v>
      </c>
    </row>
    <row r="962" spans="1:5" x14ac:dyDescent="0.35">
      <c r="A962" s="35">
        <v>44936</v>
      </c>
      <c r="B962" s="36">
        <v>120.59</v>
      </c>
      <c r="C962" s="36">
        <v>40801.5</v>
      </c>
      <c r="D962" s="37">
        <f t="shared" si="28"/>
        <v>-1.1233191210232784E-2</v>
      </c>
      <c r="E962" s="37">
        <f t="shared" si="29"/>
        <v>7.3260525429603325E-3</v>
      </c>
    </row>
    <row r="963" spans="1:5" x14ac:dyDescent="0.35">
      <c r="A963" s="33">
        <v>44938</v>
      </c>
      <c r="B963" s="34">
        <v>118.31</v>
      </c>
      <c r="C963" s="34">
        <v>40803.89</v>
      </c>
      <c r="D963" s="37">
        <f t="shared" si="28"/>
        <v>-1.8907040384774865E-2</v>
      </c>
      <c r="E963" s="37">
        <f t="shared" si="29"/>
        <v>5.8576277832908545E-5</v>
      </c>
    </row>
    <row r="964" spans="1:5" x14ac:dyDescent="0.35">
      <c r="A964" s="35">
        <v>44939</v>
      </c>
      <c r="B964" s="36">
        <v>117.27</v>
      </c>
      <c r="C964" s="36">
        <v>40323.449999999997</v>
      </c>
      <c r="D964" s="37">
        <f t="shared" si="28"/>
        <v>-8.7904657256360937E-3</v>
      </c>
      <c r="E964" s="37">
        <f t="shared" si="29"/>
        <v>-1.1774367590933177E-2</v>
      </c>
    </row>
    <row r="965" spans="1:5" x14ac:dyDescent="0.35">
      <c r="A965" s="33">
        <v>44942</v>
      </c>
      <c r="B965" s="34">
        <v>116.88</v>
      </c>
      <c r="C965" s="34">
        <v>39720.75</v>
      </c>
      <c r="D965" s="37">
        <f t="shared" ref="D965:D1028" si="30">(B965-B964)/B964</f>
        <v>-3.3256587362496853E-3</v>
      </c>
      <c r="E965" s="37">
        <f t="shared" ref="E965:E1028" si="31">(C965-C964)/C964</f>
        <v>-1.4946637750490028E-2</v>
      </c>
    </row>
    <row r="966" spans="1:5" x14ac:dyDescent="0.35">
      <c r="A966" s="35">
        <v>44943</v>
      </c>
      <c r="B966" s="36">
        <v>113.86</v>
      </c>
      <c r="C966" s="36">
        <v>38342.21</v>
      </c>
      <c r="D966" s="37">
        <f t="shared" si="30"/>
        <v>-2.5838466803559171E-2</v>
      </c>
      <c r="E966" s="37">
        <f t="shared" si="31"/>
        <v>-3.4705789795006409E-2</v>
      </c>
    </row>
    <row r="967" spans="1:5" x14ac:dyDescent="0.35">
      <c r="A967" s="33">
        <v>44944</v>
      </c>
      <c r="B967" s="34">
        <v>113.4</v>
      </c>
      <c r="C967" s="34">
        <v>38791.089999999997</v>
      </c>
      <c r="D967" s="37">
        <f t="shared" si="30"/>
        <v>-4.0400491832073933E-3</v>
      </c>
      <c r="E967" s="37">
        <f t="shared" si="31"/>
        <v>1.1707202062687503E-2</v>
      </c>
    </row>
    <row r="968" spans="1:5" x14ac:dyDescent="0.35">
      <c r="A968" s="35">
        <v>44946</v>
      </c>
      <c r="B968" s="36">
        <v>109.53</v>
      </c>
      <c r="C968" s="36">
        <v>38407.980000000003</v>
      </c>
      <c r="D968" s="37">
        <f t="shared" si="30"/>
        <v>-3.4126984126984165E-2</v>
      </c>
      <c r="E968" s="37">
        <f t="shared" si="31"/>
        <v>-9.8762370430940036E-3</v>
      </c>
    </row>
    <row r="969" spans="1:5" x14ac:dyDescent="0.35">
      <c r="A969" s="33">
        <v>44949</v>
      </c>
      <c r="B969" s="34">
        <v>109</v>
      </c>
      <c r="C969" s="34">
        <v>38443.589999999997</v>
      </c>
      <c r="D969" s="37">
        <f t="shared" si="30"/>
        <v>-4.8388569341732959E-3</v>
      </c>
      <c r="E969" s="37">
        <f t="shared" si="31"/>
        <v>9.2715107641675777E-4</v>
      </c>
    </row>
    <row r="970" spans="1:5" x14ac:dyDescent="0.35">
      <c r="A970" s="35">
        <v>44950</v>
      </c>
      <c r="B970" s="36">
        <v>108</v>
      </c>
      <c r="C970" s="36">
        <v>39055.65</v>
      </c>
      <c r="D970" s="37">
        <f t="shared" si="30"/>
        <v>-9.1743119266055051E-3</v>
      </c>
      <c r="E970" s="37">
        <f t="shared" si="31"/>
        <v>1.5920989689048422E-2</v>
      </c>
    </row>
    <row r="971" spans="1:5" x14ac:dyDescent="0.35">
      <c r="A971" s="33">
        <v>44951</v>
      </c>
      <c r="B971" s="34">
        <v>107.05</v>
      </c>
      <c r="C971" s="34">
        <v>39784.9</v>
      </c>
      <c r="D971" s="37">
        <f t="shared" si="30"/>
        <v>-8.7962962962963229E-3</v>
      </c>
      <c r="E971" s="37">
        <f t="shared" si="31"/>
        <v>1.8672074334955376E-2</v>
      </c>
    </row>
    <row r="972" spans="1:5" x14ac:dyDescent="0.35">
      <c r="A972" s="35">
        <v>44952</v>
      </c>
      <c r="B972" s="36">
        <v>110.41</v>
      </c>
      <c r="C972" s="36">
        <v>40846.53</v>
      </c>
      <c r="D972" s="37">
        <f t="shared" si="30"/>
        <v>3.138720224194301E-2</v>
      </c>
      <c r="E972" s="37">
        <f t="shared" si="31"/>
        <v>2.668424452493276E-2</v>
      </c>
    </row>
    <row r="973" spans="1:5" x14ac:dyDescent="0.35">
      <c r="A973" s="33">
        <v>44953</v>
      </c>
      <c r="B973" s="34">
        <v>109.29</v>
      </c>
      <c r="C973" s="34">
        <v>40450.53</v>
      </c>
      <c r="D973" s="37">
        <f t="shared" si="30"/>
        <v>-1.0144008694864509E-2</v>
      </c>
      <c r="E973" s="37">
        <f t="shared" si="31"/>
        <v>-9.6948259742014806E-3</v>
      </c>
    </row>
    <row r="974" spans="1:5" x14ac:dyDescent="0.35">
      <c r="A974" s="35">
        <v>44956</v>
      </c>
      <c r="B974" s="36">
        <v>105.51</v>
      </c>
      <c r="C974" s="36">
        <v>39871.269999999997</v>
      </c>
      <c r="D974" s="37">
        <f t="shared" si="30"/>
        <v>-3.4586878945923695E-2</v>
      </c>
      <c r="E974" s="37">
        <f t="shared" si="31"/>
        <v>-1.4320207918165771E-2</v>
      </c>
    </row>
    <row r="975" spans="1:5" x14ac:dyDescent="0.35">
      <c r="A975" s="33">
        <v>44957</v>
      </c>
      <c r="B975" s="34">
        <v>104.93</v>
      </c>
      <c r="C975" s="34">
        <v>40673.06</v>
      </c>
      <c r="D975" s="37">
        <f t="shared" si="30"/>
        <v>-5.4971092787413347E-3</v>
      </c>
      <c r="E975" s="37">
        <f t="shared" si="31"/>
        <v>2.0109467293116093E-2</v>
      </c>
    </row>
    <row r="976" spans="1:5" x14ac:dyDescent="0.35">
      <c r="A976" s="35">
        <v>44958</v>
      </c>
      <c r="B976" s="36">
        <v>105.8</v>
      </c>
      <c r="C976" s="36">
        <v>40619.94</v>
      </c>
      <c r="D976" s="37">
        <f t="shared" si="30"/>
        <v>8.2912417802343489E-3</v>
      </c>
      <c r="E976" s="37">
        <f t="shared" si="31"/>
        <v>-1.3060241840666855E-3</v>
      </c>
    </row>
    <row r="977" spans="1:5" x14ac:dyDescent="0.35">
      <c r="A977" s="33">
        <v>44959</v>
      </c>
      <c r="B977" s="34">
        <v>104.71</v>
      </c>
      <c r="C977" s="34">
        <v>40733.51</v>
      </c>
      <c r="D977" s="37">
        <f t="shared" si="30"/>
        <v>-1.0302457466918748E-2</v>
      </c>
      <c r="E977" s="37">
        <f t="shared" si="31"/>
        <v>2.7959174730440199E-3</v>
      </c>
    </row>
    <row r="978" spans="1:5" x14ac:dyDescent="0.35">
      <c r="A978" s="35">
        <v>44960</v>
      </c>
      <c r="B978" s="36">
        <v>105.4</v>
      </c>
      <c r="C978" s="36">
        <v>40471.160000000003</v>
      </c>
      <c r="D978" s="37">
        <f t="shared" si="30"/>
        <v>6.5896284977558202E-3</v>
      </c>
      <c r="E978" s="37">
        <f t="shared" si="31"/>
        <v>-6.4406430970470885E-3</v>
      </c>
    </row>
    <row r="979" spans="1:5" x14ac:dyDescent="0.35">
      <c r="A979" s="33">
        <v>44963</v>
      </c>
      <c r="B979" s="34">
        <v>104.88</v>
      </c>
      <c r="C979" s="34">
        <v>41190.769999999997</v>
      </c>
      <c r="D979" s="37">
        <f t="shared" si="30"/>
        <v>-4.9335863377610078E-3</v>
      </c>
      <c r="E979" s="37">
        <f t="shared" si="31"/>
        <v>1.7780809840884058E-2</v>
      </c>
    </row>
    <row r="980" spans="1:5" x14ac:dyDescent="0.35">
      <c r="A980" s="35">
        <v>44964</v>
      </c>
      <c r="B980" s="36">
        <v>105.2</v>
      </c>
      <c r="C980" s="36">
        <v>41522.76</v>
      </c>
      <c r="D980" s="37">
        <f t="shared" si="30"/>
        <v>3.0511060259344716E-3</v>
      </c>
      <c r="E980" s="37">
        <f t="shared" si="31"/>
        <v>8.0598153421265317E-3</v>
      </c>
    </row>
    <row r="981" spans="1:5" x14ac:dyDescent="0.35">
      <c r="A981" s="33">
        <v>44965</v>
      </c>
      <c r="B981" s="34">
        <v>112.15</v>
      </c>
      <c r="C981" s="34">
        <v>41723.32</v>
      </c>
      <c r="D981" s="37">
        <f t="shared" si="30"/>
        <v>6.6064638783269986E-2</v>
      </c>
      <c r="E981" s="37">
        <f t="shared" si="31"/>
        <v>4.8301220824434037E-3</v>
      </c>
    </row>
    <row r="982" spans="1:5" x14ac:dyDescent="0.35">
      <c r="A982" s="35">
        <v>44966</v>
      </c>
      <c r="B982" s="36">
        <v>112.44</v>
      </c>
      <c r="C982" s="36">
        <v>42466.59</v>
      </c>
      <c r="D982" s="37">
        <f t="shared" si="30"/>
        <v>2.5858225590725996E-3</v>
      </c>
      <c r="E982" s="37">
        <f t="shared" si="31"/>
        <v>1.7814258309261987E-2</v>
      </c>
    </row>
    <row r="983" spans="1:5" x14ac:dyDescent="0.35">
      <c r="A983" s="33">
        <v>44967</v>
      </c>
      <c r="B983" s="34">
        <v>119.05</v>
      </c>
      <c r="C983" s="34">
        <v>41741.78</v>
      </c>
      <c r="D983" s="37">
        <f t="shared" si="30"/>
        <v>5.8786908573461395E-2</v>
      </c>
      <c r="E983" s="37">
        <f t="shared" si="31"/>
        <v>-1.7067770216539584E-2</v>
      </c>
    </row>
    <row r="984" spans="1:5" x14ac:dyDescent="0.35">
      <c r="A984" s="35">
        <v>44970</v>
      </c>
      <c r="B984" s="36">
        <v>116.84</v>
      </c>
      <c r="C984" s="36">
        <v>41716.949999999997</v>
      </c>
      <c r="D984" s="37">
        <f t="shared" si="30"/>
        <v>-1.85636287274254E-2</v>
      </c>
      <c r="E984" s="37">
        <f t="shared" si="31"/>
        <v>-5.9484765623319725E-4</v>
      </c>
    </row>
    <row r="985" spans="1:5" x14ac:dyDescent="0.35">
      <c r="A985" s="33">
        <v>44971</v>
      </c>
      <c r="B985" s="34">
        <v>114.95</v>
      </c>
      <c r="C985" s="34">
        <v>41150.160000000003</v>
      </c>
      <c r="D985" s="37">
        <f t="shared" si="30"/>
        <v>-1.617596713454297E-2</v>
      </c>
      <c r="E985" s="37">
        <f t="shared" si="31"/>
        <v>-1.3586563734884588E-2</v>
      </c>
    </row>
    <row r="986" spans="1:5" x14ac:dyDescent="0.35">
      <c r="A986" s="35">
        <v>44972</v>
      </c>
      <c r="B986" s="36">
        <v>118.21</v>
      </c>
      <c r="C986" s="36">
        <v>41326.85</v>
      </c>
      <c r="D986" s="37">
        <f t="shared" si="30"/>
        <v>2.8360156589821581E-2</v>
      </c>
      <c r="E986" s="37">
        <f t="shared" si="31"/>
        <v>4.2937864640136278E-3</v>
      </c>
    </row>
    <row r="987" spans="1:5" x14ac:dyDescent="0.35">
      <c r="A987" s="33">
        <v>44973</v>
      </c>
      <c r="B987" s="34">
        <v>118</v>
      </c>
      <c r="C987" s="34">
        <v>41078.65</v>
      </c>
      <c r="D987" s="37">
        <f t="shared" si="30"/>
        <v>-1.7764994501310697E-3</v>
      </c>
      <c r="E987" s="37">
        <f t="shared" si="31"/>
        <v>-6.005780745447502E-3</v>
      </c>
    </row>
    <row r="988" spans="1:5" x14ac:dyDescent="0.35">
      <c r="A988" s="35">
        <v>44977</v>
      </c>
      <c r="B988" s="36">
        <v>120.07</v>
      </c>
      <c r="C988" s="36">
        <v>40673.64</v>
      </c>
      <c r="D988" s="37">
        <f t="shared" si="30"/>
        <v>1.7542372881355874E-2</v>
      </c>
      <c r="E988" s="37">
        <f t="shared" si="31"/>
        <v>-9.8593795073597112E-3</v>
      </c>
    </row>
    <row r="989" spans="1:5" x14ac:dyDescent="0.35">
      <c r="A989" s="33">
        <v>44978</v>
      </c>
      <c r="B989" s="34">
        <v>118.55</v>
      </c>
      <c r="C989" s="34">
        <v>40949.839999999997</v>
      </c>
      <c r="D989" s="37">
        <f t="shared" si="30"/>
        <v>-1.2659282085450122E-2</v>
      </c>
      <c r="E989" s="37">
        <f t="shared" si="31"/>
        <v>6.7906388511084102E-3</v>
      </c>
    </row>
    <row r="990" spans="1:5" x14ac:dyDescent="0.35">
      <c r="A990" s="35">
        <v>44979</v>
      </c>
      <c r="B990" s="36">
        <v>117.39</v>
      </c>
      <c r="C990" s="36">
        <v>41167.599999999999</v>
      </c>
      <c r="D990" s="37">
        <f t="shared" si="30"/>
        <v>-9.7849008857022069E-3</v>
      </c>
      <c r="E990" s="37">
        <f t="shared" si="31"/>
        <v>5.3177252951416183E-3</v>
      </c>
    </row>
    <row r="991" spans="1:5" x14ac:dyDescent="0.35">
      <c r="A991" s="33">
        <v>44980</v>
      </c>
      <c r="B991" s="34">
        <v>115.06</v>
      </c>
      <c r="C991" s="34">
        <v>40838.51</v>
      </c>
      <c r="D991" s="37">
        <f t="shared" si="30"/>
        <v>-1.9848368685577975E-2</v>
      </c>
      <c r="E991" s="37">
        <f t="shared" si="31"/>
        <v>-7.993907830429671E-3</v>
      </c>
    </row>
    <row r="992" spans="1:5" x14ac:dyDescent="0.35">
      <c r="A992" s="35">
        <v>44981</v>
      </c>
      <c r="B992" s="36">
        <v>113.13</v>
      </c>
      <c r="C992" s="36">
        <v>40707.760000000002</v>
      </c>
      <c r="D992" s="37">
        <f t="shared" si="30"/>
        <v>-1.6773857118025436E-2</v>
      </c>
      <c r="E992" s="37">
        <f t="shared" si="31"/>
        <v>-3.201634927425119E-3</v>
      </c>
    </row>
    <row r="993" spans="1:5" x14ac:dyDescent="0.35">
      <c r="A993" s="33">
        <v>44984</v>
      </c>
      <c r="B993" s="34">
        <v>115</v>
      </c>
      <c r="C993" s="34">
        <v>40784.129999999997</v>
      </c>
      <c r="D993" s="37">
        <f t="shared" si="30"/>
        <v>1.6529656147794614E-2</v>
      </c>
      <c r="E993" s="37">
        <f t="shared" si="31"/>
        <v>1.8760550813897729E-3</v>
      </c>
    </row>
    <row r="994" spans="1:5" x14ac:dyDescent="0.35">
      <c r="A994" s="35">
        <v>44985</v>
      </c>
      <c r="B994" s="36">
        <v>114</v>
      </c>
      <c r="C994" s="36">
        <v>40510.370000000003</v>
      </c>
      <c r="D994" s="37">
        <f t="shared" si="30"/>
        <v>-8.6956521739130436E-3</v>
      </c>
      <c r="E994" s="37">
        <f t="shared" si="31"/>
        <v>-6.7124148535225537E-3</v>
      </c>
    </row>
    <row r="995" spans="1:5" x14ac:dyDescent="0.35">
      <c r="A995" s="33">
        <v>44986</v>
      </c>
      <c r="B995" s="34">
        <v>112.6</v>
      </c>
      <c r="C995" s="34">
        <v>40412.769999999997</v>
      </c>
      <c r="D995" s="37">
        <f t="shared" si="30"/>
        <v>-1.2280701754386015E-2</v>
      </c>
      <c r="E995" s="37">
        <f t="shared" si="31"/>
        <v>-2.4092596537628715E-3</v>
      </c>
    </row>
    <row r="996" spans="1:5" x14ac:dyDescent="0.35">
      <c r="A996" s="35">
        <v>44987</v>
      </c>
      <c r="B996" s="36">
        <v>115</v>
      </c>
      <c r="C996" s="36">
        <v>40670.879999999997</v>
      </c>
      <c r="D996" s="37">
        <f t="shared" si="30"/>
        <v>2.1314387211367726E-2</v>
      </c>
      <c r="E996" s="37">
        <f t="shared" si="31"/>
        <v>6.3868425747604183E-3</v>
      </c>
    </row>
    <row r="997" spans="1:5" x14ac:dyDescent="0.35">
      <c r="A997" s="33">
        <v>44988</v>
      </c>
      <c r="B997" s="34">
        <v>118.93</v>
      </c>
      <c r="C997" s="34">
        <v>41337</v>
      </c>
      <c r="D997" s="37">
        <f t="shared" si="30"/>
        <v>3.4173913043478318E-2</v>
      </c>
      <c r="E997" s="37">
        <f t="shared" si="31"/>
        <v>1.6378303100400154E-2</v>
      </c>
    </row>
    <row r="998" spans="1:5" x14ac:dyDescent="0.35">
      <c r="A998" s="35">
        <v>44991</v>
      </c>
      <c r="B998" s="36">
        <v>118.16</v>
      </c>
      <c r="C998" s="36">
        <v>41434.33</v>
      </c>
      <c r="D998" s="37">
        <f t="shared" si="30"/>
        <v>-6.4743967039435817E-3</v>
      </c>
      <c r="E998" s="37">
        <f t="shared" si="31"/>
        <v>2.3545491932167729E-3</v>
      </c>
    </row>
    <row r="999" spans="1:5" x14ac:dyDescent="0.35">
      <c r="A999" s="33">
        <v>44992</v>
      </c>
      <c r="B999" s="34">
        <v>117.04</v>
      </c>
      <c r="C999" s="34">
        <v>41334.69</v>
      </c>
      <c r="D999" s="37">
        <f t="shared" si="30"/>
        <v>-9.4786729857819097E-3</v>
      </c>
      <c r="E999" s="37">
        <f t="shared" si="31"/>
        <v>-2.4047691853590829E-3</v>
      </c>
    </row>
    <row r="1000" spans="1:5" x14ac:dyDescent="0.35">
      <c r="A1000" s="35">
        <v>44993</v>
      </c>
      <c r="B1000" s="36">
        <v>116.95</v>
      </c>
      <c r="C1000" s="36">
        <v>41358.93</v>
      </c>
      <c r="D1000" s="37">
        <f t="shared" si="30"/>
        <v>-7.689678742310612E-4</v>
      </c>
      <c r="E1000" s="37">
        <f t="shared" si="31"/>
        <v>5.8643236467959383E-4</v>
      </c>
    </row>
    <row r="1001" spans="1:5" x14ac:dyDescent="0.35">
      <c r="A1001" s="33">
        <v>44994</v>
      </c>
      <c r="B1001" s="34">
        <v>116.76</v>
      </c>
      <c r="C1001" s="34">
        <v>41585.54</v>
      </c>
      <c r="D1001" s="37">
        <f t="shared" si="30"/>
        <v>-1.6246259085078898E-3</v>
      </c>
      <c r="E1001" s="37">
        <f t="shared" si="31"/>
        <v>5.4791069304742793E-3</v>
      </c>
    </row>
    <row r="1002" spans="1:5" x14ac:dyDescent="0.35">
      <c r="A1002" s="35">
        <v>44995</v>
      </c>
      <c r="B1002" s="36">
        <v>115.28</v>
      </c>
      <c r="C1002" s="36">
        <v>41793.870000000003</v>
      </c>
      <c r="D1002" s="37">
        <f t="shared" si="30"/>
        <v>-1.2675573826652997E-2</v>
      </c>
      <c r="E1002" s="37">
        <f t="shared" si="31"/>
        <v>5.009674035734578E-3</v>
      </c>
    </row>
    <row r="1003" spans="1:5" x14ac:dyDescent="0.35">
      <c r="A1003" s="33">
        <v>44998</v>
      </c>
      <c r="B1003" s="34">
        <v>113.08</v>
      </c>
      <c r="C1003" s="34">
        <v>41856.85</v>
      </c>
      <c r="D1003" s="37">
        <f t="shared" si="30"/>
        <v>-1.908396946564888E-2</v>
      </c>
      <c r="E1003" s="37">
        <f t="shared" si="31"/>
        <v>1.5069195554275284E-3</v>
      </c>
    </row>
    <row r="1004" spans="1:5" x14ac:dyDescent="0.35">
      <c r="A1004" s="35">
        <v>44999</v>
      </c>
      <c r="B1004" s="36">
        <v>111.38</v>
      </c>
      <c r="C1004" s="36">
        <v>41816.43</v>
      </c>
      <c r="D1004" s="37">
        <f t="shared" si="30"/>
        <v>-1.5033604527767978E-2</v>
      </c>
      <c r="E1004" s="37">
        <f t="shared" si="31"/>
        <v>-9.6567228542038534E-4</v>
      </c>
    </row>
    <row r="1005" spans="1:5" x14ac:dyDescent="0.35">
      <c r="A1005" s="33">
        <v>45001</v>
      </c>
      <c r="B1005" s="34">
        <v>108.99</v>
      </c>
      <c r="C1005" s="34">
        <v>41694.089999999997</v>
      </c>
      <c r="D1005" s="37">
        <f t="shared" si="30"/>
        <v>-2.1458071467049745E-2</v>
      </c>
      <c r="E1005" s="37">
        <f t="shared" si="31"/>
        <v>-2.9256442981862342E-3</v>
      </c>
    </row>
    <row r="1006" spans="1:5" x14ac:dyDescent="0.35">
      <c r="A1006" s="35">
        <v>45002</v>
      </c>
      <c r="B1006" s="36">
        <v>109.53</v>
      </c>
      <c r="C1006" s="36">
        <v>41329.949999999997</v>
      </c>
      <c r="D1006" s="37">
        <f t="shared" si="30"/>
        <v>4.9545829892651281E-3</v>
      </c>
      <c r="E1006" s="37">
        <f t="shared" si="31"/>
        <v>-8.7336118860010959E-3</v>
      </c>
    </row>
    <row r="1007" spans="1:5" x14ac:dyDescent="0.35">
      <c r="A1007" s="33">
        <v>45007</v>
      </c>
      <c r="B1007" s="34">
        <v>108.43</v>
      </c>
      <c r="C1007" s="34">
        <v>40376.1</v>
      </c>
      <c r="D1007" s="37">
        <f t="shared" si="30"/>
        <v>-1.0042910618095447E-2</v>
      </c>
      <c r="E1007" s="37">
        <f t="shared" si="31"/>
        <v>-2.3078905249098985E-2</v>
      </c>
    </row>
    <row r="1008" spans="1:5" x14ac:dyDescent="0.35">
      <c r="A1008" s="35">
        <v>45009</v>
      </c>
      <c r="B1008" s="36">
        <v>105.61</v>
      </c>
      <c r="C1008" s="36">
        <v>39942.050000000003</v>
      </c>
      <c r="D1008" s="37">
        <f t="shared" si="30"/>
        <v>-2.6007562482707806E-2</v>
      </c>
      <c r="E1008" s="37">
        <f t="shared" si="31"/>
        <v>-1.0750171512354974E-2</v>
      </c>
    </row>
    <row r="1009" spans="1:5" x14ac:dyDescent="0.35">
      <c r="A1009" s="33">
        <v>45012</v>
      </c>
      <c r="B1009" s="34">
        <v>105.11</v>
      </c>
      <c r="C1009" s="34">
        <v>40000.370000000003</v>
      </c>
      <c r="D1009" s="37">
        <f t="shared" si="30"/>
        <v>-4.7344001515008047E-3</v>
      </c>
      <c r="E1009" s="37">
        <f t="shared" si="31"/>
        <v>1.4601153421018628E-3</v>
      </c>
    </row>
    <row r="1010" spans="1:5" x14ac:dyDescent="0.35">
      <c r="A1010" s="35">
        <v>45013</v>
      </c>
      <c r="B1010" s="36">
        <v>106.79</v>
      </c>
      <c r="C1010" s="36">
        <v>40082.370000000003</v>
      </c>
      <c r="D1010" s="37">
        <f t="shared" si="30"/>
        <v>1.598325563695183E-2</v>
      </c>
      <c r="E1010" s="37">
        <f t="shared" si="31"/>
        <v>2.0499810376754012E-3</v>
      </c>
    </row>
    <row r="1011" spans="1:5" x14ac:dyDescent="0.35">
      <c r="A1011" s="33">
        <v>45014</v>
      </c>
      <c r="B1011" s="34">
        <v>104.56</v>
      </c>
      <c r="C1011" s="34">
        <v>39879.89</v>
      </c>
      <c r="D1011" s="37">
        <f t="shared" si="30"/>
        <v>-2.0882105066017453E-2</v>
      </c>
      <c r="E1011" s="37">
        <f t="shared" si="31"/>
        <v>-5.0515974978526269E-3</v>
      </c>
    </row>
    <row r="1012" spans="1:5" x14ac:dyDescent="0.35">
      <c r="A1012" s="35">
        <v>45016</v>
      </c>
      <c r="B1012" s="36">
        <v>106.17</v>
      </c>
      <c r="C1012" s="36">
        <v>40000.83</v>
      </c>
      <c r="D1012" s="37">
        <f t="shared" si="30"/>
        <v>1.5397857689364951E-2</v>
      </c>
      <c r="E1012" s="37">
        <f t="shared" si="31"/>
        <v>3.0326061581414173E-3</v>
      </c>
    </row>
    <row r="1013" spans="1:5" x14ac:dyDescent="0.35">
      <c r="A1013" s="33">
        <v>45019</v>
      </c>
      <c r="B1013" s="34">
        <v>104.92</v>
      </c>
      <c r="C1013" s="34">
        <v>39889.9</v>
      </c>
      <c r="D1013" s="37">
        <f t="shared" si="30"/>
        <v>-1.1773570688518413E-2</v>
      </c>
      <c r="E1013" s="37">
        <f t="shared" si="31"/>
        <v>-2.7731924562565398E-3</v>
      </c>
    </row>
    <row r="1014" spans="1:5" x14ac:dyDescent="0.35">
      <c r="A1014" s="35">
        <v>45020</v>
      </c>
      <c r="B1014" s="36">
        <v>104.92</v>
      </c>
      <c r="C1014" s="36">
        <v>39687.26</v>
      </c>
      <c r="D1014" s="37">
        <f t="shared" si="30"/>
        <v>0</v>
      </c>
      <c r="E1014" s="37">
        <f t="shared" si="31"/>
        <v>-5.0799826522503044E-3</v>
      </c>
    </row>
    <row r="1015" spans="1:5" x14ac:dyDescent="0.35">
      <c r="A1015" s="33">
        <v>45021</v>
      </c>
      <c r="B1015" s="34">
        <v>103.26</v>
      </c>
      <c r="C1015" s="34">
        <v>39717.15</v>
      </c>
      <c r="D1015" s="37">
        <f t="shared" si="30"/>
        <v>-1.5821578345405991E-2</v>
      </c>
      <c r="E1015" s="37">
        <f t="shared" si="31"/>
        <v>7.5313841267952021E-4</v>
      </c>
    </row>
    <row r="1016" spans="1:5" x14ac:dyDescent="0.35">
      <c r="A1016" s="35">
        <v>45022</v>
      </c>
      <c r="B1016" s="36">
        <v>104.4</v>
      </c>
      <c r="C1016" s="36">
        <v>40350.89</v>
      </c>
      <c r="D1016" s="37">
        <f t="shared" si="30"/>
        <v>1.1040092969203956E-2</v>
      </c>
      <c r="E1016" s="37">
        <f t="shared" si="31"/>
        <v>1.5956331207047786E-2</v>
      </c>
    </row>
    <row r="1017" spans="1:5" x14ac:dyDescent="0.35">
      <c r="A1017" s="33">
        <v>45023</v>
      </c>
      <c r="B1017" s="34">
        <v>103.49</v>
      </c>
      <c r="C1017" s="34">
        <v>40049.65</v>
      </c>
      <c r="D1017" s="37">
        <f t="shared" si="30"/>
        <v>-8.716475095785544E-3</v>
      </c>
      <c r="E1017" s="37">
        <f t="shared" si="31"/>
        <v>-7.4655106739900398E-3</v>
      </c>
    </row>
    <row r="1018" spans="1:5" x14ac:dyDescent="0.35">
      <c r="A1018" s="35">
        <v>45026</v>
      </c>
      <c r="B1018" s="36">
        <v>106.21</v>
      </c>
      <c r="C1018" s="36">
        <v>39835.9</v>
      </c>
      <c r="D1018" s="37">
        <f t="shared" si="30"/>
        <v>2.6282732631172083E-2</v>
      </c>
      <c r="E1018" s="37">
        <f t="shared" si="31"/>
        <v>-5.337125293229778E-3</v>
      </c>
    </row>
    <row r="1019" spans="1:5" x14ac:dyDescent="0.35">
      <c r="A1019" s="33">
        <v>45027</v>
      </c>
      <c r="B1019" s="34">
        <v>106.9</v>
      </c>
      <c r="C1019" s="34">
        <v>39804.71</v>
      </c>
      <c r="D1019" s="37">
        <f t="shared" si="30"/>
        <v>6.4965634121082003E-3</v>
      </c>
      <c r="E1019" s="37">
        <f t="shared" si="31"/>
        <v>-7.8296210202361005E-4</v>
      </c>
    </row>
    <row r="1020" spans="1:5" x14ac:dyDescent="0.35">
      <c r="A1020" s="35">
        <v>45028</v>
      </c>
      <c r="B1020" s="36">
        <v>106.22</v>
      </c>
      <c r="C1020" s="36">
        <v>40126.050000000003</v>
      </c>
      <c r="D1020" s="37">
        <f t="shared" si="30"/>
        <v>-6.361085126286312E-3</v>
      </c>
      <c r="E1020" s="37">
        <f t="shared" si="31"/>
        <v>8.0729139842999429E-3</v>
      </c>
    </row>
    <row r="1021" spans="1:5" x14ac:dyDescent="0.35">
      <c r="A1021" s="33">
        <v>45029</v>
      </c>
      <c r="B1021" s="34">
        <v>106.66</v>
      </c>
      <c r="C1021" s="34">
        <v>40205.54</v>
      </c>
      <c r="D1021" s="37">
        <f t="shared" si="30"/>
        <v>4.1423460741856315E-3</v>
      </c>
      <c r="E1021" s="37">
        <f t="shared" si="31"/>
        <v>1.9810073505864135E-3</v>
      </c>
    </row>
    <row r="1022" spans="1:5" x14ac:dyDescent="0.35">
      <c r="A1022" s="35">
        <v>45034</v>
      </c>
      <c r="B1022" s="36">
        <v>106.32</v>
      </c>
      <c r="C1022" s="36">
        <v>40448.050000000003</v>
      </c>
      <c r="D1022" s="37">
        <f t="shared" si="30"/>
        <v>-3.187699231201982E-3</v>
      </c>
      <c r="E1022" s="37">
        <f t="shared" si="31"/>
        <v>6.0317558227050809E-3</v>
      </c>
    </row>
    <row r="1023" spans="1:5" x14ac:dyDescent="0.35">
      <c r="A1023" s="33">
        <v>45036</v>
      </c>
      <c r="B1023" s="34">
        <v>110</v>
      </c>
      <c r="C1023" s="34">
        <v>41007.82</v>
      </c>
      <c r="D1023" s="37">
        <f t="shared" si="30"/>
        <v>3.4612490594431972E-2</v>
      </c>
      <c r="E1023" s="37">
        <f t="shared" si="31"/>
        <v>1.3839233288131239E-2</v>
      </c>
    </row>
    <row r="1024" spans="1:5" x14ac:dyDescent="0.35">
      <c r="A1024" s="35">
        <v>45042</v>
      </c>
      <c r="B1024" s="36">
        <v>110</v>
      </c>
      <c r="C1024" s="36">
        <v>41099.58</v>
      </c>
      <c r="D1024" s="37">
        <f t="shared" si="30"/>
        <v>0</v>
      </c>
      <c r="E1024" s="37">
        <f t="shared" si="31"/>
        <v>2.2376219950244135E-3</v>
      </c>
    </row>
    <row r="1025" spans="1:5" x14ac:dyDescent="0.35">
      <c r="A1025" s="33">
        <v>45043</v>
      </c>
      <c r="B1025" s="34">
        <v>110.05</v>
      </c>
      <c r="C1025" s="34">
        <v>41463.910000000003</v>
      </c>
      <c r="D1025" s="37">
        <f t="shared" si="30"/>
        <v>4.5454545454542869E-4</v>
      </c>
      <c r="E1025" s="37">
        <f t="shared" si="31"/>
        <v>8.8645674724656971E-3</v>
      </c>
    </row>
    <row r="1026" spans="1:5" x14ac:dyDescent="0.35">
      <c r="A1026" s="35">
        <v>45044</v>
      </c>
      <c r="B1026" s="36">
        <v>113.22</v>
      </c>
      <c r="C1026" s="36">
        <v>41580.85</v>
      </c>
      <c r="D1026" s="37">
        <f t="shared" si="30"/>
        <v>2.8805088596092703E-2</v>
      </c>
      <c r="E1026" s="37">
        <f t="shared" si="31"/>
        <v>2.8202839529604187E-3</v>
      </c>
    </row>
    <row r="1027" spans="1:5" x14ac:dyDescent="0.35">
      <c r="A1027" s="33">
        <v>45048</v>
      </c>
      <c r="B1027" s="34">
        <v>117.58</v>
      </c>
      <c r="C1027" s="34">
        <v>41927.64</v>
      </c>
      <c r="D1027" s="37">
        <f t="shared" si="30"/>
        <v>3.8509097332626738E-2</v>
      </c>
      <c r="E1027" s="37">
        <f t="shared" si="31"/>
        <v>8.3401373468796544E-3</v>
      </c>
    </row>
    <row r="1028" spans="1:5" x14ac:dyDescent="0.35">
      <c r="A1028" s="35">
        <v>45049</v>
      </c>
      <c r="B1028" s="36">
        <v>120.58</v>
      </c>
      <c r="C1028" s="36">
        <v>42087.93</v>
      </c>
      <c r="D1028" s="37">
        <f t="shared" si="30"/>
        <v>2.5514543289675114E-2</v>
      </c>
      <c r="E1028" s="37">
        <f t="shared" si="31"/>
        <v>3.8230150802668807E-3</v>
      </c>
    </row>
    <row r="1029" spans="1:5" x14ac:dyDescent="0.35">
      <c r="A1029" s="33">
        <v>45050</v>
      </c>
      <c r="B1029" s="34">
        <v>120.4</v>
      </c>
      <c r="C1029" s="34">
        <v>42093.8</v>
      </c>
      <c r="D1029" s="37">
        <f t="shared" ref="D1029:D1092" si="32">(B1029-B1028)/B1028</f>
        <v>-1.4927848731132246E-3</v>
      </c>
      <c r="E1029" s="37">
        <f t="shared" ref="E1029:E1092" si="33">(C1029-C1028)/C1028</f>
        <v>1.3946991453375396E-4</v>
      </c>
    </row>
    <row r="1030" spans="1:5" x14ac:dyDescent="0.35">
      <c r="A1030" s="35">
        <v>45051</v>
      </c>
      <c r="B1030" s="36">
        <v>118.96</v>
      </c>
      <c r="C1030" s="36">
        <v>42241.98</v>
      </c>
      <c r="D1030" s="37">
        <f t="shared" si="32"/>
        <v>-1.1960132890365547E-2</v>
      </c>
      <c r="E1030" s="37">
        <f t="shared" si="33"/>
        <v>3.520233383538675E-3</v>
      </c>
    </row>
    <row r="1031" spans="1:5" x14ac:dyDescent="0.35">
      <c r="A1031" s="33">
        <v>45054</v>
      </c>
      <c r="B1031" s="34">
        <v>118.07</v>
      </c>
      <c r="C1031" s="34">
        <v>41829.49</v>
      </c>
      <c r="D1031" s="37">
        <f t="shared" si="32"/>
        <v>-7.4815063887020902E-3</v>
      </c>
      <c r="E1031" s="37">
        <f t="shared" si="33"/>
        <v>-9.7649305264574538E-3</v>
      </c>
    </row>
    <row r="1032" spans="1:5" x14ac:dyDescent="0.35">
      <c r="A1032" s="35">
        <v>45055</v>
      </c>
      <c r="B1032" s="36">
        <v>120</v>
      </c>
      <c r="C1032" s="36">
        <v>41373.81</v>
      </c>
      <c r="D1032" s="37">
        <f t="shared" si="32"/>
        <v>1.6346235284153528E-2</v>
      </c>
      <c r="E1032" s="37">
        <f t="shared" si="33"/>
        <v>-1.0893749840124761E-2</v>
      </c>
    </row>
    <row r="1033" spans="1:5" x14ac:dyDescent="0.35">
      <c r="A1033" s="33">
        <v>45056</v>
      </c>
      <c r="B1033" s="34">
        <v>118.94</v>
      </c>
      <c r="C1033" s="34">
        <v>41074.949999999997</v>
      </c>
      <c r="D1033" s="37">
        <f t="shared" si="32"/>
        <v>-8.8333333333333527E-3</v>
      </c>
      <c r="E1033" s="37">
        <f t="shared" si="33"/>
        <v>-7.2234101717971004E-3</v>
      </c>
    </row>
    <row r="1034" spans="1:5" x14ac:dyDescent="0.35">
      <c r="A1034" s="35">
        <v>45058</v>
      </c>
      <c r="B1034" s="36">
        <v>119.4</v>
      </c>
      <c r="C1034" s="36">
        <v>41487.58</v>
      </c>
      <c r="D1034" s="37">
        <f t="shared" si="32"/>
        <v>3.867496216579855E-3</v>
      </c>
      <c r="E1034" s="37">
        <f t="shared" si="33"/>
        <v>1.0045782161633907E-2</v>
      </c>
    </row>
    <row r="1035" spans="1:5" x14ac:dyDescent="0.35">
      <c r="A1035" s="33">
        <v>45061</v>
      </c>
      <c r="B1035" s="34">
        <v>119.66</v>
      </c>
      <c r="C1035" s="34">
        <v>41716.26</v>
      </c>
      <c r="D1035" s="37">
        <f t="shared" si="32"/>
        <v>2.1775544388608951E-3</v>
      </c>
      <c r="E1035" s="37">
        <f t="shared" si="33"/>
        <v>5.5120110645161821E-3</v>
      </c>
    </row>
    <row r="1036" spans="1:5" x14ac:dyDescent="0.35">
      <c r="A1036" s="35">
        <v>45062</v>
      </c>
      <c r="B1036" s="36">
        <v>119.65</v>
      </c>
      <c r="C1036" s="36">
        <v>41980.13</v>
      </c>
      <c r="D1036" s="37">
        <f t="shared" si="32"/>
        <v>-8.3570115326683141E-5</v>
      </c>
      <c r="E1036" s="37">
        <f t="shared" si="33"/>
        <v>6.3253513138520883E-3</v>
      </c>
    </row>
    <row r="1037" spans="1:5" x14ac:dyDescent="0.35">
      <c r="A1037" s="33">
        <v>45063</v>
      </c>
      <c r="B1037" s="34">
        <v>121.84</v>
      </c>
      <c r="C1037" s="34">
        <v>41835.57</v>
      </c>
      <c r="D1037" s="37">
        <f t="shared" si="32"/>
        <v>1.8303384872544903E-2</v>
      </c>
      <c r="E1037" s="37">
        <f t="shared" si="33"/>
        <v>-3.44353388138621E-3</v>
      </c>
    </row>
    <row r="1038" spans="1:5" x14ac:dyDescent="0.35">
      <c r="A1038" s="35">
        <v>45064</v>
      </c>
      <c r="B1038" s="36">
        <v>120.7</v>
      </c>
      <c r="C1038" s="36">
        <v>41472.199999999997</v>
      </c>
      <c r="D1038" s="37">
        <f t="shared" si="32"/>
        <v>-9.3565331582403204E-3</v>
      </c>
      <c r="E1038" s="37">
        <f t="shared" si="33"/>
        <v>-8.685671068901479E-3</v>
      </c>
    </row>
    <row r="1039" spans="1:5" x14ac:dyDescent="0.35">
      <c r="A1039" s="33">
        <v>45065</v>
      </c>
      <c r="B1039" s="34">
        <v>119.63</v>
      </c>
      <c r="C1039" s="34">
        <v>41614.870000000003</v>
      </c>
      <c r="D1039" s="37">
        <f t="shared" si="32"/>
        <v>-8.8649544324772775E-3</v>
      </c>
      <c r="E1039" s="37">
        <f t="shared" si="33"/>
        <v>3.440135801814361E-3</v>
      </c>
    </row>
    <row r="1040" spans="1:5" x14ac:dyDescent="0.35">
      <c r="A1040" s="35">
        <v>45068</v>
      </c>
      <c r="B1040" s="36">
        <v>119.63</v>
      </c>
      <c r="C1040" s="36">
        <v>41203.5</v>
      </c>
      <c r="D1040" s="37">
        <f t="shared" si="32"/>
        <v>0</v>
      </c>
      <c r="E1040" s="37">
        <f t="shared" si="33"/>
        <v>-9.8851684506043782E-3</v>
      </c>
    </row>
    <row r="1041" spans="1:5" x14ac:dyDescent="0.35">
      <c r="A1041" s="33">
        <v>45069</v>
      </c>
      <c r="B1041" s="34">
        <v>116.19</v>
      </c>
      <c r="C1041" s="34">
        <v>41116.629999999997</v>
      </c>
      <c r="D1041" s="37">
        <f t="shared" si="32"/>
        <v>-2.8755328930870166E-2</v>
      </c>
      <c r="E1041" s="37">
        <f t="shared" si="33"/>
        <v>-2.1083160411130759E-3</v>
      </c>
    </row>
    <row r="1042" spans="1:5" x14ac:dyDescent="0.35">
      <c r="A1042" s="35">
        <v>45070</v>
      </c>
      <c r="B1042" s="36">
        <v>118.02</v>
      </c>
      <c r="C1042" s="36">
        <v>41098.480000000003</v>
      </c>
      <c r="D1042" s="37">
        <f t="shared" si="32"/>
        <v>1.5750064549444859E-2</v>
      </c>
      <c r="E1042" s="37">
        <f t="shared" si="33"/>
        <v>-4.4142722786362065E-4</v>
      </c>
    </row>
    <row r="1043" spans="1:5" x14ac:dyDescent="0.35">
      <c r="A1043" s="33">
        <v>45071</v>
      </c>
      <c r="B1043" s="34">
        <v>118</v>
      </c>
      <c r="C1043" s="34">
        <v>41070.300000000003</v>
      </c>
      <c r="D1043" s="37">
        <f t="shared" si="32"/>
        <v>-1.6946280291472651E-4</v>
      </c>
      <c r="E1043" s="37">
        <f t="shared" si="33"/>
        <v>-6.8567012697307267E-4</v>
      </c>
    </row>
    <row r="1044" spans="1:5" x14ac:dyDescent="0.35">
      <c r="A1044" s="35">
        <v>45072</v>
      </c>
      <c r="B1044" s="36">
        <v>119.45</v>
      </c>
      <c r="C1044" s="36">
        <v>41002.6</v>
      </c>
      <c r="D1044" s="37">
        <f t="shared" si="32"/>
        <v>1.2288135593220364E-2</v>
      </c>
      <c r="E1044" s="37">
        <f t="shared" si="33"/>
        <v>-1.648393121063259E-3</v>
      </c>
    </row>
    <row r="1045" spans="1:5" x14ac:dyDescent="0.35">
      <c r="A1045" s="33">
        <v>45075</v>
      </c>
      <c r="B1045" s="34">
        <v>118.23</v>
      </c>
      <c r="C1045" s="34">
        <v>41350.25</v>
      </c>
      <c r="D1045" s="37">
        <f t="shared" si="32"/>
        <v>-1.0213478442863112E-2</v>
      </c>
      <c r="E1045" s="37">
        <f t="shared" si="33"/>
        <v>8.4787306170828556E-3</v>
      </c>
    </row>
    <row r="1046" spans="1:5" x14ac:dyDescent="0.35">
      <c r="A1046" s="35">
        <v>45076</v>
      </c>
      <c r="B1046" s="36">
        <v>121.5</v>
      </c>
      <c r="C1046" s="36">
        <v>41665.85</v>
      </c>
      <c r="D1046" s="37">
        <f t="shared" si="32"/>
        <v>2.7657954833798494E-2</v>
      </c>
      <c r="E1046" s="37">
        <f t="shared" si="33"/>
        <v>7.6323601429253403E-3</v>
      </c>
    </row>
    <row r="1047" spans="1:5" x14ac:dyDescent="0.35">
      <c r="A1047" s="33">
        <v>45077</v>
      </c>
      <c r="B1047" s="34">
        <v>117.06</v>
      </c>
      <c r="C1047" s="34">
        <v>41337.82</v>
      </c>
      <c r="D1047" s="37">
        <f t="shared" si="32"/>
        <v>-3.6543209876543192E-2</v>
      </c>
      <c r="E1047" s="37">
        <f t="shared" si="33"/>
        <v>-7.8728743083364156E-3</v>
      </c>
    </row>
    <row r="1048" spans="1:5" x14ac:dyDescent="0.35">
      <c r="A1048" s="35">
        <v>45078</v>
      </c>
      <c r="B1048" s="36">
        <v>116.63</v>
      </c>
      <c r="C1048" s="36">
        <v>41273.72</v>
      </c>
      <c r="D1048" s="37">
        <f t="shared" si="32"/>
        <v>-3.6733299162823065E-3</v>
      </c>
      <c r="E1048" s="37">
        <f t="shared" si="33"/>
        <v>-1.5506381323446314E-3</v>
      </c>
    </row>
    <row r="1049" spans="1:5" x14ac:dyDescent="0.35">
      <c r="A1049" s="33">
        <v>45079</v>
      </c>
      <c r="B1049" s="34">
        <v>115.8</v>
      </c>
      <c r="C1049" s="34">
        <v>41356.239999999998</v>
      </c>
      <c r="D1049" s="37">
        <f t="shared" si="32"/>
        <v>-7.1165223355911713E-3</v>
      </c>
      <c r="E1049" s="37">
        <f t="shared" si="33"/>
        <v>1.9993351701760053E-3</v>
      </c>
    </row>
    <row r="1050" spans="1:5" x14ac:dyDescent="0.35">
      <c r="A1050" s="35">
        <v>45082</v>
      </c>
      <c r="B1050" s="36">
        <v>117.74</v>
      </c>
      <c r="C1050" s="36">
        <v>41638.53</v>
      </c>
      <c r="D1050" s="37">
        <f t="shared" si="32"/>
        <v>1.6753022452504297E-2</v>
      </c>
      <c r="E1050" s="37">
        <f t="shared" si="33"/>
        <v>6.8258139521388036E-3</v>
      </c>
    </row>
    <row r="1051" spans="1:5" x14ac:dyDescent="0.35">
      <c r="A1051" s="33">
        <v>45083</v>
      </c>
      <c r="B1051" s="34">
        <v>117.42</v>
      </c>
      <c r="C1051" s="34">
        <v>41912.879999999997</v>
      </c>
      <c r="D1051" s="37">
        <f t="shared" si="32"/>
        <v>-2.7178528962119347E-3</v>
      </c>
      <c r="E1051" s="37">
        <f t="shared" si="33"/>
        <v>6.5888493181675374E-3</v>
      </c>
    </row>
    <row r="1052" spans="1:5" x14ac:dyDescent="0.35">
      <c r="A1052" s="35">
        <v>45084</v>
      </c>
      <c r="B1052" s="36">
        <v>119.42</v>
      </c>
      <c r="C1052" s="36">
        <v>42119.22</v>
      </c>
      <c r="D1052" s="37">
        <f t="shared" si="32"/>
        <v>1.7032873445750298E-2</v>
      </c>
      <c r="E1052" s="37">
        <f t="shared" si="33"/>
        <v>4.9230689945430565E-3</v>
      </c>
    </row>
    <row r="1053" spans="1:5" x14ac:dyDescent="0.35">
      <c r="A1053" s="33">
        <v>45085</v>
      </c>
      <c r="B1053" s="34">
        <v>118.6</v>
      </c>
      <c r="C1053" s="34">
        <v>41668.07</v>
      </c>
      <c r="D1053" s="37">
        <f t="shared" si="32"/>
        <v>-6.866521520683364E-3</v>
      </c>
      <c r="E1053" s="37">
        <f t="shared" si="33"/>
        <v>-1.0711261984433744E-2</v>
      </c>
    </row>
    <row r="1054" spans="1:5" x14ac:dyDescent="0.35">
      <c r="A1054" s="35">
        <v>45086</v>
      </c>
      <c r="B1054" s="36">
        <v>119.32</v>
      </c>
      <c r="C1054" s="36">
        <v>41904.86</v>
      </c>
      <c r="D1054" s="37">
        <f t="shared" si="32"/>
        <v>6.0708263069139869E-3</v>
      </c>
      <c r="E1054" s="37">
        <f t="shared" si="33"/>
        <v>5.6827686043534262E-3</v>
      </c>
    </row>
    <row r="1055" spans="1:5" x14ac:dyDescent="0.35">
      <c r="A1055" s="33">
        <v>45089</v>
      </c>
      <c r="B1055" s="34">
        <v>116.87</v>
      </c>
      <c r="C1055" s="34">
        <v>41772.33</v>
      </c>
      <c r="D1055" s="37">
        <f t="shared" si="32"/>
        <v>-2.0533020449212108E-2</v>
      </c>
      <c r="E1055" s="37">
        <f t="shared" si="33"/>
        <v>-3.162640323819214E-3</v>
      </c>
    </row>
    <row r="1056" spans="1:5" x14ac:dyDescent="0.35">
      <c r="A1056" s="35">
        <v>45090</v>
      </c>
      <c r="B1056" s="36">
        <v>116.23</v>
      </c>
      <c r="C1056" s="36">
        <v>41536.160000000003</v>
      </c>
      <c r="D1056" s="37">
        <f t="shared" si="32"/>
        <v>-5.4761701035338454E-3</v>
      </c>
      <c r="E1056" s="37">
        <f t="shared" si="33"/>
        <v>-5.6537425611642503E-3</v>
      </c>
    </row>
    <row r="1057" spans="1:5" x14ac:dyDescent="0.35">
      <c r="A1057" s="33">
        <v>45091</v>
      </c>
      <c r="B1057" s="34">
        <v>117.8</v>
      </c>
      <c r="C1057" s="34">
        <v>41536.870000000003</v>
      </c>
      <c r="D1057" s="37">
        <f t="shared" si="32"/>
        <v>1.3507700249505232E-2</v>
      </c>
      <c r="E1057" s="37">
        <f t="shared" si="33"/>
        <v>1.7093539701289834E-5</v>
      </c>
    </row>
    <row r="1058" spans="1:5" x14ac:dyDescent="0.35">
      <c r="A1058" s="35">
        <v>45092</v>
      </c>
      <c r="B1058" s="36">
        <v>116.28</v>
      </c>
      <c r="C1058" s="36">
        <v>41404.5</v>
      </c>
      <c r="D1058" s="37">
        <f t="shared" si="32"/>
        <v>-1.290322580645158E-2</v>
      </c>
      <c r="E1058" s="37">
        <f t="shared" si="33"/>
        <v>-3.1868072871163045E-3</v>
      </c>
    </row>
    <row r="1059" spans="1:5" x14ac:dyDescent="0.35">
      <c r="A1059" s="33">
        <v>45093</v>
      </c>
      <c r="B1059" s="34">
        <v>116.93</v>
      </c>
      <c r="C1059" s="34">
        <v>41335.53</v>
      </c>
      <c r="D1059" s="37">
        <f t="shared" si="32"/>
        <v>5.5899552803578062E-3</v>
      </c>
      <c r="E1059" s="37">
        <f t="shared" si="33"/>
        <v>-1.6657609680107515E-3</v>
      </c>
    </row>
    <row r="1060" spans="1:5" x14ac:dyDescent="0.35">
      <c r="A1060" s="35">
        <v>45096</v>
      </c>
      <c r="B1060" s="36">
        <v>113.94</v>
      </c>
      <c r="C1060" s="36">
        <v>40650.449999999997</v>
      </c>
      <c r="D1060" s="37">
        <f t="shared" si="32"/>
        <v>-2.5570854357307868E-2</v>
      </c>
      <c r="E1060" s="37">
        <f t="shared" si="33"/>
        <v>-1.6573635320510025E-2</v>
      </c>
    </row>
    <row r="1061" spans="1:5" x14ac:dyDescent="0.35">
      <c r="A1061" s="33">
        <v>45097</v>
      </c>
      <c r="B1061" s="34">
        <v>115.8</v>
      </c>
      <c r="C1061" s="34">
        <v>40647.480000000003</v>
      </c>
      <c r="D1061" s="37">
        <f t="shared" si="32"/>
        <v>1.6324381253291203E-2</v>
      </c>
      <c r="E1061" s="37">
        <f t="shared" si="33"/>
        <v>-7.3061921823593299E-5</v>
      </c>
    </row>
    <row r="1062" spans="1:5" x14ac:dyDescent="0.35">
      <c r="A1062" s="35">
        <v>45098</v>
      </c>
      <c r="B1062" s="36">
        <v>116.53</v>
      </c>
      <c r="C1062" s="36">
        <v>40229.760000000002</v>
      </c>
      <c r="D1062" s="37">
        <f t="shared" si="32"/>
        <v>6.3039723661485669E-3</v>
      </c>
      <c r="E1062" s="37">
        <f t="shared" si="33"/>
        <v>-1.0276651836719056E-2</v>
      </c>
    </row>
    <row r="1063" spans="1:5" x14ac:dyDescent="0.35">
      <c r="A1063" s="33">
        <v>45099</v>
      </c>
      <c r="B1063" s="34">
        <v>116.21</v>
      </c>
      <c r="C1063" s="34">
        <v>40181.839999999997</v>
      </c>
      <c r="D1063" s="37">
        <f t="shared" si="32"/>
        <v>-2.7460739723676941E-3</v>
      </c>
      <c r="E1063" s="37">
        <f t="shared" si="33"/>
        <v>-1.1911579885141132E-3</v>
      </c>
    </row>
    <row r="1064" spans="1:5" x14ac:dyDescent="0.35">
      <c r="A1064" s="35">
        <v>45100</v>
      </c>
      <c r="B1064" s="36">
        <v>118.31</v>
      </c>
      <c r="C1064" s="36">
        <v>40090.36</v>
      </c>
      <c r="D1064" s="37">
        <f t="shared" si="32"/>
        <v>1.807073401600558E-2</v>
      </c>
      <c r="E1064" s="37">
        <f t="shared" si="33"/>
        <v>-2.276650347520072E-3</v>
      </c>
    </row>
    <row r="1065" spans="1:5" x14ac:dyDescent="0.35">
      <c r="A1065" s="33">
        <v>45103</v>
      </c>
      <c r="B1065" s="34">
        <v>120.35</v>
      </c>
      <c r="C1065" s="34">
        <v>41386.57</v>
      </c>
      <c r="D1065" s="37">
        <f t="shared" si="32"/>
        <v>1.7242836615670627E-2</v>
      </c>
      <c r="E1065" s="37">
        <f t="shared" si="33"/>
        <v>3.2332211534144346E-2</v>
      </c>
    </row>
    <row r="1066" spans="1:5" x14ac:dyDescent="0.35">
      <c r="A1066" s="35">
        <v>45104</v>
      </c>
      <c r="B1066" s="36">
        <v>120.83</v>
      </c>
      <c r="C1066" s="36">
        <v>41452.68</v>
      </c>
      <c r="D1066" s="37">
        <f t="shared" si="32"/>
        <v>3.9883672621520896E-3</v>
      </c>
      <c r="E1066" s="37">
        <f t="shared" si="33"/>
        <v>1.597378086659527E-3</v>
      </c>
    </row>
    <row r="1067" spans="1:5" x14ac:dyDescent="0.35">
      <c r="A1067" s="33">
        <v>45110</v>
      </c>
      <c r="B1067" s="34">
        <v>124.47</v>
      </c>
      <c r="C1067" s="34">
        <v>43903.29</v>
      </c>
      <c r="D1067" s="37">
        <f t="shared" si="32"/>
        <v>3.0124968964661099E-2</v>
      </c>
      <c r="E1067" s="37">
        <f t="shared" si="33"/>
        <v>5.9118252426622372E-2</v>
      </c>
    </row>
    <row r="1068" spans="1:5" x14ac:dyDescent="0.35">
      <c r="A1068" s="35">
        <v>45111</v>
      </c>
      <c r="B1068" s="36">
        <v>121.31</v>
      </c>
      <c r="C1068" s="36">
        <v>43502.89</v>
      </c>
      <c r="D1068" s="37">
        <f t="shared" si="32"/>
        <v>-2.5387643608901715E-2</v>
      </c>
      <c r="E1068" s="37">
        <f t="shared" si="33"/>
        <v>-9.1200454453413734E-3</v>
      </c>
    </row>
    <row r="1069" spans="1:5" x14ac:dyDescent="0.35">
      <c r="A1069" s="33">
        <v>45112</v>
      </c>
      <c r="B1069" s="34">
        <v>122.89</v>
      </c>
      <c r="C1069" s="34">
        <v>43553.81</v>
      </c>
      <c r="D1069" s="37">
        <f t="shared" si="32"/>
        <v>1.3024482730195353E-2</v>
      </c>
      <c r="E1069" s="37">
        <f t="shared" si="33"/>
        <v>1.17049694859349E-3</v>
      </c>
    </row>
    <row r="1070" spans="1:5" x14ac:dyDescent="0.35">
      <c r="A1070" s="35">
        <v>45113</v>
      </c>
      <c r="B1070" s="36">
        <v>123.91</v>
      </c>
      <c r="C1070" s="36">
        <v>44211.72</v>
      </c>
      <c r="D1070" s="37">
        <f t="shared" si="32"/>
        <v>8.3001057856619421E-3</v>
      </c>
      <c r="E1070" s="37">
        <f t="shared" si="33"/>
        <v>1.5105681913935968E-2</v>
      </c>
    </row>
    <row r="1071" spans="1:5" x14ac:dyDescent="0.35">
      <c r="A1071" s="33">
        <v>45114</v>
      </c>
      <c r="B1071" s="34">
        <v>123.8</v>
      </c>
      <c r="C1071" s="34">
        <v>44284.92</v>
      </c>
      <c r="D1071" s="37">
        <f t="shared" si="32"/>
        <v>-8.8774110241303719E-4</v>
      </c>
      <c r="E1071" s="37">
        <f t="shared" si="33"/>
        <v>1.6556695826354887E-3</v>
      </c>
    </row>
    <row r="1072" spans="1:5" x14ac:dyDescent="0.35">
      <c r="A1072" s="35">
        <v>45117</v>
      </c>
      <c r="B1072" s="36">
        <v>125.57</v>
      </c>
      <c r="C1072" s="36">
        <v>44561.82</v>
      </c>
      <c r="D1072" s="37">
        <f t="shared" si="32"/>
        <v>1.4297253634894961E-2</v>
      </c>
      <c r="E1072" s="37">
        <f t="shared" si="33"/>
        <v>6.2526927902320124E-3</v>
      </c>
    </row>
    <row r="1073" spans="1:5" x14ac:dyDescent="0.35">
      <c r="A1073" s="33">
        <v>45118</v>
      </c>
      <c r="B1073" s="34">
        <v>129.97999999999999</v>
      </c>
      <c r="C1073" s="34">
        <v>45179.23</v>
      </c>
      <c r="D1073" s="37">
        <f t="shared" si="32"/>
        <v>3.5119853468185053E-2</v>
      </c>
      <c r="E1073" s="37">
        <f t="shared" si="33"/>
        <v>1.3855134283115085E-2</v>
      </c>
    </row>
    <row r="1074" spans="1:5" x14ac:dyDescent="0.35">
      <c r="A1074" s="35">
        <v>45119</v>
      </c>
      <c r="B1074" s="36">
        <v>130.5</v>
      </c>
      <c r="C1074" s="36">
        <v>45581.13</v>
      </c>
      <c r="D1074" s="37">
        <f t="shared" si="32"/>
        <v>4.0006154793045872E-3</v>
      </c>
      <c r="E1074" s="37">
        <f t="shared" si="33"/>
        <v>8.895680603675498E-3</v>
      </c>
    </row>
    <row r="1075" spans="1:5" x14ac:dyDescent="0.35">
      <c r="A1075" s="33">
        <v>45120</v>
      </c>
      <c r="B1075" s="34">
        <v>127.01</v>
      </c>
      <c r="C1075" s="34">
        <v>45296.52</v>
      </c>
      <c r="D1075" s="37">
        <f t="shared" si="32"/>
        <v>-2.6743295019157048E-2</v>
      </c>
      <c r="E1075" s="37">
        <f t="shared" si="33"/>
        <v>-6.2440312471410998E-3</v>
      </c>
    </row>
    <row r="1076" spans="1:5" x14ac:dyDescent="0.35">
      <c r="A1076" s="35">
        <v>45121</v>
      </c>
      <c r="B1076" s="36">
        <v>129.72</v>
      </c>
      <c r="C1076" s="36">
        <v>45071.94</v>
      </c>
      <c r="D1076" s="37">
        <f t="shared" si="32"/>
        <v>2.1336902606093958E-2</v>
      </c>
      <c r="E1076" s="37">
        <f t="shared" si="33"/>
        <v>-4.9579967732619303E-3</v>
      </c>
    </row>
    <row r="1077" spans="1:5" x14ac:dyDescent="0.35">
      <c r="A1077" s="33">
        <v>45124</v>
      </c>
      <c r="B1077" s="34">
        <v>129.71</v>
      </c>
      <c r="C1077" s="34">
        <v>45047.35</v>
      </c>
      <c r="D1077" s="37">
        <f t="shared" si="32"/>
        <v>-7.7089115016889493E-5</v>
      </c>
      <c r="E1077" s="37">
        <f t="shared" si="33"/>
        <v>-5.455722562641808E-4</v>
      </c>
    </row>
    <row r="1078" spans="1:5" x14ac:dyDescent="0.35">
      <c r="A1078" s="35">
        <v>45125</v>
      </c>
      <c r="B1078" s="36">
        <v>131.24</v>
      </c>
      <c r="C1078" s="36">
        <v>45019.59</v>
      </c>
      <c r="D1078" s="37">
        <f t="shared" si="32"/>
        <v>1.1795543905635657E-2</v>
      </c>
      <c r="E1078" s="37">
        <f t="shared" si="33"/>
        <v>-6.1624046697535009E-4</v>
      </c>
    </row>
    <row r="1079" spans="1:5" x14ac:dyDescent="0.35">
      <c r="A1079" s="33">
        <v>45126</v>
      </c>
      <c r="B1079" s="34">
        <v>128.25</v>
      </c>
      <c r="C1079" s="34">
        <v>45086.33</v>
      </c>
      <c r="D1079" s="37">
        <f t="shared" si="32"/>
        <v>-2.2782688204815674E-2</v>
      </c>
      <c r="E1079" s="37">
        <f t="shared" si="33"/>
        <v>1.482465744357184E-3</v>
      </c>
    </row>
    <row r="1080" spans="1:5" x14ac:dyDescent="0.35">
      <c r="A1080" s="35">
        <v>45127</v>
      </c>
      <c r="B1080" s="36">
        <v>126.8</v>
      </c>
      <c r="C1080" s="36">
        <v>45426.58</v>
      </c>
      <c r="D1080" s="37">
        <f t="shared" si="32"/>
        <v>-1.1306042884990276E-2</v>
      </c>
      <c r="E1080" s="37">
        <f t="shared" si="33"/>
        <v>7.5466333143549271E-3</v>
      </c>
    </row>
    <row r="1081" spans="1:5" x14ac:dyDescent="0.35">
      <c r="A1081" s="33">
        <v>45128</v>
      </c>
      <c r="B1081" s="34">
        <v>127</v>
      </c>
      <c r="C1081" s="34">
        <v>45888.26</v>
      </c>
      <c r="D1081" s="37">
        <f t="shared" si="32"/>
        <v>1.5772870662460793E-3</v>
      </c>
      <c r="E1081" s="37">
        <f t="shared" si="33"/>
        <v>1.0163212815052339E-2</v>
      </c>
    </row>
    <row r="1082" spans="1:5" x14ac:dyDescent="0.35">
      <c r="A1082" s="35">
        <v>45131</v>
      </c>
      <c r="B1082" s="36">
        <v>127.03</v>
      </c>
      <c r="C1082" s="36">
        <v>46065.55</v>
      </c>
      <c r="D1082" s="37">
        <f t="shared" si="32"/>
        <v>2.3622047244095383E-4</v>
      </c>
      <c r="E1082" s="37">
        <f t="shared" si="33"/>
        <v>3.863515417668939E-3</v>
      </c>
    </row>
    <row r="1083" spans="1:5" x14ac:dyDescent="0.35">
      <c r="A1083" s="33">
        <v>45132</v>
      </c>
      <c r="B1083" s="34">
        <v>128.19</v>
      </c>
      <c r="C1083" s="34">
        <v>46399.22</v>
      </c>
      <c r="D1083" s="37">
        <f t="shared" si="32"/>
        <v>9.1317011729512444E-3</v>
      </c>
      <c r="E1083" s="37">
        <f t="shared" si="33"/>
        <v>7.2433738444455395E-3</v>
      </c>
    </row>
    <row r="1084" spans="1:5" x14ac:dyDescent="0.35">
      <c r="A1084" s="35">
        <v>45133</v>
      </c>
      <c r="B1084" s="36">
        <v>130.22</v>
      </c>
      <c r="C1084" s="36">
        <v>46724.58</v>
      </c>
      <c r="D1084" s="37">
        <f t="shared" si="32"/>
        <v>1.5835868632498643E-2</v>
      </c>
      <c r="E1084" s="37">
        <f t="shared" si="33"/>
        <v>7.012186842796077E-3</v>
      </c>
    </row>
    <row r="1085" spans="1:5" x14ac:dyDescent="0.35">
      <c r="A1085" s="33">
        <v>45134</v>
      </c>
      <c r="B1085" s="34">
        <v>135.97999999999999</v>
      </c>
      <c r="C1085" s="34">
        <v>47139.06</v>
      </c>
      <c r="D1085" s="37">
        <f t="shared" si="32"/>
        <v>4.423283673782822E-2</v>
      </c>
      <c r="E1085" s="37">
        <f t="shared" si="33"/>
        <v>8.8707057398909935E-3</v>
      </c>
    </row>
    <row r="1086" spans="1:5" x14ac:dyDescent="0.35">
      <c r="A1086" s="35">
        <v>45138</v>
      </c>
      <c r="B1086" s="36">
        <v>135.02000000000001</v>
      </c>
      <c r="C1086" s="36">
        <v>48034.59</v>
      </c>
      <c r="D1086" s="37">
        <f t="shared" si="32"/>
        <v>-7.0598617443740231E-3</v>
      </c>
      <c r="E1086" s="37">
        <f t="shared" si="33"/>
        <v>1.8997621081116148E-2</v>
      </c>
    </row>
    <row r="1087" spans="1:5" x14ac:dyDescent="0.35">
      <c r="A1087" s="33">
        <v>45139</v>
      </c>
      <c r="B1087" s="34">
        <v>134.4</v>
      </c>
      <c r="C1087" s="34">
        <v>48230.5</v>
      </c>
      <c r="D1087" s="37">
        <f t="shared" si="32"/>
        <v>-4.5919123092875462E-3</v>
      </c>
      <c r="E1087" s="37">
        <f t="shared" si="33"/>
        <v>4.0785192503985882E-3</v>
      </c>
    </row>
    <row r="1088" spans="1:5" x14ac:dyDescent="0.35">
      <c r="A1088" s="35">
        <v>45140</v>
      </c>
      <c r="B1088" s="36">
        <v>136.72</v>
      </c>
      <c r="C1088" s="36">
        <v>48764.55</v>
      </c>
      <c r="D1088" s="37">
        <f t="shared" si="32"/>
        <v>1.7261904761904711E-2</v>
      </c>
      <c r="E1088" s="37">
        <f t="shared" si="33"/>
        <v>1.1072868827816483E-2</v>
      </c>
    </row>
    <row r="1089" spans="1:5" x14ac:dyDescent="0.35">
      <c r="A1089" s="33">
        <v>45141</v>
      </c>
      <c r="B1089" s="34">
        <v>135.02000000000001</v>
      </c>
      <c r="C1089" s="34">
        <v>48611.18</v>
      </c>
      <c r="D1089" s="37">
        <f t="shared" si="32"/>
        <v>-1.2434172030427067E-2</v>
      </c>
      <c r="E1089" s="37">
        <f t="shared" si="33"/>
        <v>-3.1451125869100117E-3</v>
      </c>
    </row>
    <row r="1090" spans="1:5" x14ac:dyDescent="0.35">
      <c r="A1090" s="35">
        <v>45142</v>
      </c>
      <c r="B1090" s="36">
        <v>137.19999999999999</v>
      </c>
      <c r="C1090" s="36">
        <v>48585.71</v>
      </c>
      <c r="D1090" s="37">
        <f t="shared" si="32"/>
        <v>1.6145756184268837E-2</v>
      </c>
      <c r="E1090" s="37">
        <f t="shared" si="33"/>
        <v>-5.2395354319728844E-4</v>
      </c>
    </row>
    <row r="1091" spans="1:5" x14ac:dyDescent="0.35">
      <c r="A1091" s="33">
        <v>45145</v>
      </c>
      <c r="B1091" s="34">
        <v>134.53</v>
      </c>
      <c r="C1091" s="34">
        <v>48386.25</v>
      </c>
      <c r="D1091" s="37">
        <f t="shared" si="32"/>
        <v>-1.946064139941682E-2</v>
      </c>
      <c r="E1091" s="37">
        <f t="shared" si="33"/>
        <v>-4.1053223262559942E-3</v>
      </c>
    </row>
    <row r="1092" spans="1:5" x14ac:dyDescent="0.35">
      <c r="A1092" s="35">
        <v>45146</v>
      </c>
      <c r="B1092" s="36">
        <v>132.13</v>
      </c>
      <c r="C1092" s="36">
        <v>47429.82</v>
      </c>
      <c r="D1092" s="37">
        <f t="shared" si="32"/>
        <v>-1.7839887014048952E-2</v>
      </c>
      <c r="E1092" s="37">
        <f t="shared" si="33"/>
        <v>-1.9766565914903517E-2</v>
      </c>
    </row>
    <row r="1093" spans="1:5" x14ac:dyDescent="0.35">
      <c r="A1093" s="33">
        <v>45147</v>
      </c>
      <c r="B1093" s="34">
        <v>132.36000000000001</v>
      </c>
      <c r="C1093" s="34">
        <v>48227.6</v>
      </c>
      <c r="D1093" s="37">
        <f t="shared" ref="D1093:D1156" si="34">(B1093-B1092)/B1092</f>
        <v>1.7407099069099991E-3</v>
      </c>
      <c r="E1093" s="37">
        <f t="shared" ref="E1093:E1156" si="35">(C1093-C1092)/C1092</f>
        <v>1.6820219853248417E-2</v>
      </c>
    </row>
    <row r="1094" spans="1:5" x14ac:dyDescent="0.35">
      <c r="A1094" s="35">
        <v>45148</v>
      </c>
      <c r="B1094" s="36">
        <v>130.47999999999999</v>
      </c>
      <c r="C1094" s="36">
        <v>47808.34</v>
      </c>
      <c r="D1094" s="37">
        <f t="shared" si="34"/>
        <v>-1.4203686914475851E-2</v>
      </c>
      <c r="E1094" s="37">
        <f t="shared" si="35"/>
        <v>-8.6933623070607289E-3</v>
      </c>
    </row>
    <row r="1095" spans="1:5" x14ac:dyDescent="0.35">
      <c r="A1095" s="33">
        <v>45149</v>
      </c>
      <c r="B1095" s="34">
        <v>134.30000000000001</v>
      </c>
      <c r="C1095" s="34">
        <v>48424.4</v>
      </c>
      <c r="D1095" s="37">
        <f t="shared" si="34"/>
        <v>2.9276517473942533E-2</v>
      </c>
      <c r="E1095" s="37">
        <f t="shared" si="35"/>
        <v>1.288603620205188E-2</v>
      </c>
    </row>
    <row r="1096" spans="1:5" x14ac:dyDescent="0.35">
      <c r="A1096" s="35">
        <v>45153</v>
      </c>
      <c r="B1096" s="36">
        <v>133.80000000000001</v>
      </c>
      <c r="C1096" s="36">
        <v>48565.75</v>
      </c>
      <c r="D1096" s="37">
        <f t="shared" si="34"/>
        <v>-3.7230081906180191E-3</v>
      </c>
      <c r="E1096" s="37">
        <f t="shared" si="35"/>
        <v>2.9189829920453023E-3</v>
      </c>
    </row>
    <row r="1097" spans="1:5" x14ac:dyDescent="0.35">
      <c r="A1097" s="33">
        <v>45154</v>
      </c>
      <c r="B1097" s="34">
        <v>131.91</v>
      </c>
      <c r="C1097" s="34">
        <v>48146.43</v>
      </c>
      <c r="D1097" s="37">
        <f t="shared" si="34"/>
        <v>-1.4125560538116701E-2</v>
      </c>
      <c r="E1097" s="37">
        <f t="shared" si="35"/>
        <v>-8.6340682476848344E-3</v>
      </c>
    </row>
    <row r="1098" spans="1:5" x14ac:dyDescent="0.35">
      <c r="A1098" s="35">
        <v>45155</v>
      </c>
      <c r="B1098" s="36">
        <v>130.68</v>
      </c>
      <c r="C1098" s="36">
        <v>48325.84</v>
      </c>
      <c r="D1098" s="37">
        <f t="shared" si="34"/>
        <v>-9.3245394587217791E-3</v>
      </c>
      <c r="E1098" s="37">
        <f t="shared" si="35"/>
        <v>3.7263406653410486E-3</v>
      </c>
    </row>
    <row r="1099" spans="1:5" x14ac:dyDescent="0.35">
      <c r="A1099" s="33">
        <v>45156</v>
      </c>
      <c r="B1099" s="34">
        <v>130.13999999999999</v>
      </c>
      <c r="C1099" s="34">
        <v>48218.49</v>
      </c>
      <c r="D1099" s="37">
        <f t="shared" si="34"/>
        <v>-4.1322314049588339E-3</v>
      </c>
      <c r="E1099" s="37">
        <f t="shared" si="35"/>
        <v>-2.2213788730831899E-3</v>
      </c>
    </row>
    <row r="1100" spans="1:5" x14ac:dyDescent="0.35">
      <c r="A1100" s="35">
        <v>45159</v>
      </c>
      <c r="B1100" s="36">
        <v>128.19999999999999</v>
      </c>
      <c r="C1100" s="36">
        <v>47447.95</v>
      </c>
      <c r="D1100" s="37">
        <f t="shared" si="34"/>
        <v>-1.4907023205778377E-2</v>
      </c>
      <c r="E1100" s="37">
        <f t="shared" si="35"/>
        <v>-1.5980176898944803E-2</v>
      </c>
    </row>
    <row r="1101" spans="1:5" x14ac:dyDescent="0.35">
      <c r="A1101" s="33">
        <v>45160</v>
      </c>
      <c r="B1101" s="34">
        <v>124.44</v>
      </c>
      <c r="C1101" s="34">
        <v>47417.9</v>
      </c>
      <c r="D1101" s="37">
        <f t="shared" si="34"/>
        <v>-2.9329173166926608E-2</v>
      </c>
      <c r="E1101" s="37">
        <f t="shared" si="35"/>
        <v>-6.3332557044078056E-4</v>
      </c>
    </row>
    <row r="1102" spans="1:5" x14ac:dyDescent="0.35">
      <c r="A1102" s="35">
        <v>45161</v>
      </c>
      <c r="B1102" s="36">
        <v>126</v>
      </c>
      <c r="C1102" s="36">
        <v>47418.63</v>
      </c>
      <c r="D1102" s="37">
        <f t="shared" si="34"/>
        <v>1.2536162005785939E-2</v>
      </c>
      <c r="E1102" s="37">
        <f t="shared" si="35"/>
        <v>1.5395030146757352E-5</v>
      </c>
    </row>
    <row r="1103" spans="1:5" x14ac:dyDescent="0.35">
      <c r="A1103" s="33">
        <v>45162</v>
      </c>
      <c r="B1103" s="34">
        <v>126.59</v>
      </c>
      <c r="C1103" s="34">
        <v>47750.76</v>
      </c>
      <c r="D1103" s="37">
        <f t="shared" si="34"/>
        <v>4.68253968253971E-3</v>
      </c>
      <c r="E1103" s="37">
        <f t="shared" si="35"/>
        <v>7.0042091051556038E-3</v>
      </c>
    </row>
    <row r="1104" spans="1:5" x14ac:dyDescent="0.35">
      <c r="A1104" s="35">
        <v>45163</v>
      </c>
      <c r="B1104" s="36">
        <v>127.54</v>
      </c>
      <c r="C1104" s="36">
        <v>47671.21</v>
      </c>
      <c r="D1104" s="37">
        <f t="shared" si="34"/>
        <v>7.504542222924424E-3</v>
      </c>
      <c r="E1104" s="37">
        <f t="shared" si="35"/>
        <v>-1.6659420708697182E-3</v>
      </c>
    </row>
    <row r="1105" spans="1:5" x14ac:dyDescent="0.35">
      <c r="A1105" s="33">
        <v>45166</v>
      </c>
      <c r="B1105" s="34">
        <v>127</v>
      </c>
      <c r="C1105" s="34">
        <v>47478.61</v>
      </c>
      <c r="D1105" s="37">
        <f t="shared" si="34"/>
        <v>-4.2339658146464346E-3</v>
      </c>
      <c r="E1105" s="37">
        <f t="shared" si="35"/>
        <v>-4.0401743526123747E-3</v>
      </c>
    </row>
    <row r="1106" spans="1:5" x14ac:dyDescent="0.35">
      <c r="A1106" s="35">
        <v>45167</v>
      </c>
      <c r="B1106" s="36">
        <v>125.09</v>
      </c>
      <c r="C1106" s="36">
        <v>46770.41</v>
      </c>
      <c r="D1106" s="37">
        <f t="shared" si="34"/>
        <v>-1.5039370078740131E-2</v>
      </c>
      <c r="E1106" s="37">
        <f t="shared" si="35"/>
        <v>-1.4916190680392646E-2</v>
      </c>
    </row>
    <row r="1107" spans="1:5" x14ac:dyDescent="0.35">
      <c r="A1107" s="33">
        <v>45168</v>
      </c>
      <c r="B1107" s="34">
        <v>126.6</v>
      </c>
      <c r="C1107" s="34">
        <v>46244.55</v>
      </c>
      <c r="D1107" s="37">
        <f t="shared" si="34"/>
        <v>1.2071308657766336E-2</v>
      </c>
      <c r="E1107" s="37">
        <f t="shared" si="35"/>
        <v>-1.1243433615399149E-2</v>
      </c>
    </row>
    <row r="1108" spans="1:5" x14ac:dyDescent="0.35">
      <c r="A1108" s="35">
        <v>45169</v>
      </c>
      <c r="B1108" s="36">
        <v>124.84</v>
      </c>
      <c r="C1108" s="36">
        <v>45002.41</v>
      </c>
      <c r="D1108" s="37">
        <f t="shared" si="34"/>
        <v>-1.3902053712480182E-2</v>
      </c>
      <c r="E1108" s="37">
        <f t="shared" si="35"/>
        <v>-2.6860246234421122E-2</v>
      </c>
    </row>
    <row r="1109" spans="1:5" x14ac:dyDescent="0.35">
      <c r="A1109" s="33">
        <v>45170</v>
      </c>
      <c r="B1109" s="34">
        <v>126</v>
      </c>
      <c r="C1109" s="34">
        <v>45312.65</v>
      </c>
      <c r="D1109" s="37">
        <f t="shared" si="34"/>
        <v>9.2918936238384851E-3</v>
      </c>
      <c r="E1109" s="37">
        <f t="shared" si="35"/>
        <v>6.8938530180938738E-3</v>
      </c>
    </row>
    <row r="1110" spans="1:5" x14ac:dyDescent="0.35">
      <c r="A1110" s="35">
        <v>45173</v>
      </c>
      <c r="B1110" s="36">
        <v>127</v>
      </c>
      <c r="C1110" s="36">
        <v>45707.42</v>
      </c>
      <c r="D1110" s="37">
        <f t="shared" si="34"/>
        <v>7.9365079365079361E-3</v>
      </c>
      <c r="E1110" s="37">
        <f t="shared" si="35"/>
        <v>8.7121366770647225E-3</v>
      </c>
    </row>
    <row r="1111" spans="1:5" x14ac:dyDescent="0.35">
      <c r="A1111" s="33">
        <v>45174</v>
      </c>
      <c r="B1111" s="34">
        <v>126</v>
      </c>
      <c r="C1111" s="34">
        <v>45491.48</v>
      </c>
      <c r="D1111" s="37">
        <f t="shared" si="34"/>
        <v>-7.874015748031496E-3</v>
      </c>
      <c r="E1111" s="37">
        <f t="shared" si="35"/>
        <v>-4.724397045381145E-3</v>
      </c>
    </row>
    <row r="1112" spans="1:5" x14ac:dyDescent="0.35">
      <c r="A1112" s="35">
        <v>45175</v>
      </c>
      <c r="B1112" s="36">
        <v>123.55</v>
      </c>
      <c r="C1112" s="36">
        <v>45807.57</v>
      </c>
      <c r="D1112" s="37">
        <f t="shared" si="34"/>
        <v>-1.9444444444444466E-2</v>
      </c>
      <c r="E1112" s="37">
        <f t="shared" si="35"/>
        <v>6.9483340616747682E-3</v>
      </c>
    </row>
    <row r="1113" spans="1:5" x14ac:dyDescent="0.35">
      <c r="A1113" s="33">
        <v>45176</v>
      </c>
      <c r="B1113" s="34">
        <v>122.85</v>
      </c>
      <c r="C1113" s="34">
        <v>45757.23</v>
      </c>
      <c r="D1113" s="37">
        <f t="shared" si="34"/>
        <v>-5.6657223796034223E-3</v>
      </c>
      <c r="E1113" s="37">
        <f t="shared" si="35"/>
        <v>-1.0989449997019381E-3</v>
      </c>
    </row>
    <row r="1114" spans="1:5" x14ac:dyDescent="0.35">
      <c r="A1114" s="35">
        <v>45177</v>
      </c>
      <c r="B1114" s="36">
        <v>122.38</v>
      </c>
      <c r="C1114" s="36">
        <v>46013.48</v>
      </c>
      <c r="D1114" s="37">
        <f t="shared" si="34"/>
        <v>-3.8258038258038168E-3</v>
      </c>
      <c r="E1114" s="37">
        <f t="shared" si="35"/>
        <v>5.6002078797164944E-3</v>
      </c>
    </row>
    <row r="1115" spans="1:5" x14ac:dyDescent="0.35">
      <c r="A1115" s="33">
        <v>45180</v>
      </c>
      <c r="B1115" s="34">
        <v>121.89</v>
      </c>
      <c r="C1115" s="34">
        <v>45865.73</v>
      </c>
      <c r="D1115" s="37">
        <f t="shared" si="34"/>
        <v>-4.0039222095113163E-3</v>
      </c>
      <c r="E1115" s="37">
        <f t="shared" si="35"/>
        <v>-3.2110155545722685E-3</v>
      </c>
    </row>
    <row r="1116" spans="1:5" x14ac:dyDescent="0.35">
      <c r="A1116" s="35">
        <v>45181</v>
      </c>
      <c r="B1116" s="36">
        <v>121.7</v>
      </c>
      <c r="C1116" s="36">
        <v>45508.39</v>
      </c>
      <c r="D1116" s="37">
        <f t="shared" si="34"/>
        <v>-1.5587825088194088E-3</v>
      </c>
      <c r="E1116" s="37">
        <f t="shared" si="35"/>
        <v>-7.7910021272964312E-3</v>
      </c>
    </row>
    <row r="1117" spans="1:5" x14ac:dyDescent="0.35">
      <c r="A1117" s="33">
        <v>45182</v>
      </c>
      <c r="B1117" s="34">
        <v>125.42</v>
      </c>
      <c r="C1117" s="34">
        <v>45590.92</v>
      </c>
      <c r="D1117" s="37">
        <f t="shared" si="34"/>
        <v>3.05669679539852E-2</v>
      </c>
      <c r="E1117" s="37">
        <f t="shared" si="35"/>
        <v>1.8135117502508622E-3</v>
      </c>
    </row>
    <row r="1118" spans="1:5" x14ac:dyDescent="0.35">
      <c r="A1118" s="35">
        <v>45183</v>
      </c>
      <c r="B1118" s="36">
        <v>125.04</v>
      </c>
      <c r="C1118" s="36">
        <v>45650.05</v>
      </c>
      <c r="D1118" s="37">
        <f t="shared" si="34"/>
        <v>-3.0298198054536396E-3</v>
      </c>
      <c r="E1118" s="37">
        <f t="shared" si="35"/>
        <v>1.2969687823804533E-3</v>
      </c>
    </row>
    <row r="1119" spans="1:5" x14ac:dyDescent="0.35">
      <c r="A1119" s="33">
        <v>45184</v>
      </c>
      <c r="B1119" s="34">
        <v>120.56</v>
      </c>
      <c r="C1119" s="34">
        <v>45753.51</v>
      </c>
      <c r="D1119" s="37">
        <f t="shared" si="34"/>
        <v>-3.5828534868842001E-2</v>
      </c>
      <c r="E1119" s="37">
        <f t="shared" si="35"/>
        <v>2.2663721069308604E-3</v>
      </c>
    </row>
    <row r="1120" spans="1:5" x14ac:dyDescent="0.35">
      <c r="A1120" s="35">
        <v>45188</v>
      </c>
      <c r="B1120" s="36">
        <v>116.54</v>
      </c>
      <c r="C1120" s="36">
        <v>45914.18</v>
      </c>
      <c r="D1120" s="37">
        <f t="shared" si="34"/>
        <v>-3.3344392833443898E-2</v>
      </c>
      <c r="E1120" s="37">
        <f t="shared" si="35"/>
        <v>3.5116431504380375E-3</v>
      </c>
    </row>
    <row r="1121" spans="1:5" x14ac:dyDescent="0.35">
      <c r="A1121" s="33">
        <v>45189</v>
      </c>
      <c r="B1121" s="34">
        <v>114.25</v>
      </c>
      <c r="C1121" s="34">
        <v>45932.52</v>
      </c>
      <c r="D1121" s="37">
        <f t="shared" si="34"/>
        <v>-1.9649905611807156E-2</v>
      </c>
      <c r="E1121" s="37">
        <f t="shared" si="35"/>
        <v>3.9944086990111787E-4</v>
      </c>
    </row>
    <row r="1122" spans="1:5" x14ac:dyDescent="0.35">
      <c r="A1122" s="35">
        <v>45190</v>
      </c>
      <c r="B1122" s="36">
        <v>114.7</v>
      </c>
      <c r="C1122" s="36">
        <v>46304.73</v>
      </c>
      <c r="D1122" s="37">
        <f t="shared" si="34"/>
        <v>3.9387308533917094E-3</v>
      </c>
      <c r="E1122" s="37">
        <f t="shared" si="35"/>
        <v>8.103409087940449E-3</v>
      </c>
    </row>
    <row r="1123" spans="1:5" x14ac:dyDescent="0.35">
      <c r="A1123" s="33">
        <v>45191</v>
      </c>
      <c r="B1123" s="34">
        <v>113.72</v>
      </c>
      <c r="C1123" s="34">
        <v>46436.41</v>
      </c>
      <c r="D1123" s="37">
        <f t="shared" si="34"/>
        <v>-8.5440278988666435E-3</v>
      </c>
      <c r="E1123" s="37">
        <f t="shared" si="35"/>
        <v>2.8437699561146405E-3</v>
      </c>
    </row>
    <row r="1124" spans="1:5" x14ac:dyDescent="0.35">
      <c r="A1124" s="35">
        <v>45194</v>
      </c>
      <c r="B1124" s="36">
        <v>114.34</v>
      </c>
      <c r="C1124" s="36">
        <v>46394.32</v>
      </c>
      <c r="D1124" s="37">
        <f t="shared" si="34"/>
        <v>5.451987337319773E-3</v>
      </c>
      <c r="E1124" s="37">
        <f t="shared" si="35"/>
        <v>-9.0640081780662594E-4</v>
      </c>
    </row>
    <row r="1125" spans="1:5" x14ac:dyDescent="0.35">
      <c r="A1125" s="33">
        <v>45195</v>
      </c>
      <c r="B1125" s="34">
        <v>114.76</v>
      </c>
      <c r="C1125" s="34">
        <v>46308.54</v>
      </c>
      <c r="D1125" s="37">
        <f t="shared" si="34"/>
        <v>3.6732552037782203E-3</v>
      </c>
      <c r="E1125" s="37">
        <f t="shared" si="35"/>
        <v>-1.8489332314817598E-3</v>
      </c>
    </row>
    <row r="1126" spans="1:5" x14ac:dyDescent="0.35">
      <c r="A1126" s="35">
        <v>45197</v>
      </c>
      <c r="B1126" s="36">
        <v>114.42</v>
      </c>
      <c r="C1126" s="36">
        <v>46232.59</v>
      </c>
      <c r="D1126" s="37">
        <f t="shared" si="34"/>
        <v>-2.9627047751830202E-3</v>
      </c>
      <c r="E1126" s="37">
        <f t="shared" si="35"/>
        <v>-1.6400862562284272E-3</v>
      </c>
    </row>
    <row r="1127" spans="1:5" x14ac:dyDescent="0.35">
      <c r="A1127" s="33">
        <v>45201</v>
      </c>
      <c r="B1127" s="34">
        <v>115</v>
      </c>
      <c r="C1127" s="34">
        <v>46627.08</v>
      </c>
      <c r="D1127" s="37">
        <f t="shared" si="34"/>
        <v>5.0690438734486828E-3</v>
      </c>
      <c r="E1127" s="37">
        <f t="shared" si="35"/>
        <v>8.532725508131932E-3</v>
      </c>
    </row>
    <row r="1128" spans="1:5" x14ac:dyDescent="0.35">
      <c r="A1128" s="35">
        <v>45202</v>
      </c>
      <c r="B1128" s="36">
        <v>115.03</v>
      </c>
      <c r="C1128" s="36">
        <v>46756.800000000003</v>
      </c>
      <c r="D1128" s="37">
        <f t="shared" si="34"/>
        <v>2.608695652174012E-4</v>
      </c>
      <c r="E1128" s="37">
        <f t="shared" si="35"/>
        <v>2.7820742795817617E-3</v>
      </c>
    </row>
    <row r="1129" spans="1:5" x14ac:dyDescent="0.35">
      <c r="A1129" s="33">
        <v>45203</v>
      </c>
      <c r="B1129" s="34">
        <v>114.55</v>
      </c>
      <c r="C1129" s="34">
        <v>47079.83</v>
      </c>
      <c r="D1129" s="37">
        <f t="shared" si="34"/>
        <v>-4.1728244805703208E-3</v>
      </c>
      <c r="E1129" s="37">
        <f t="shared" si="35"/>
        <v>6.9087277144714524E-3</v>
      </c>
    </row>
    <row r="1130" spans="1:5" x14ac:dyDescent="0.35">
      <c r="A1130" s="35">
        <v>45204</v>
      </c>
      <c r="B1130" s="36">
        <v>114.1</v>
      </c>
      <c r="C1130" s="36">
        <v>47484.56</v>
      </c>
      <c r="D1130" s="37">
        <f t="shared" si="34"/>
        <v>-3.9284155390659353E-3</v>
      </c>
      <c r="E1130" s="37">
        <f t="shared" si="35"/>
        <v>8.5966750517152656E-3</v>
      </c>
    </row>
    <row r="1131" spans="1:5" x14ac:dyDescent="0.35">
      <c r="A1131" s="33">
        <v>45205</v>
      </c>
      <c r="B1131" s="34">
        <v>114.95</v>
      </c>
      <c r="C1131" s="34">
        <v>47508.67</v>
      </c>
      <c r="D1131" s="37">
        <f t="shared" si="34"/>
        <v>7.4496056091148868E-3</v>
      </c>
      <c r="E1131" s="37">
        <f t="shared" si="35"/>
        <v>5.0774399088884012E-4</v>
      </c>
    </row>
    <row r="1132" spans="1:5" x14ac:dyDescent="0.35">
      <c r="A1132" s="35">
        <v>45208</v>
      </c>
      <c r="B1132" s="36">
        <v>114.37</v>
      </c>
      <c r="C1132" s="36">
        <v>47736.61</v>
      </c>
      <c r="D1132" s="37">
        <f t="shared" si="34"/>
        <v>-5.0456720313179493E-3</v>
      </c>
      <c r="E1132" s="37">
        <f t="shared" si="35"/>
        <v>4.7978611061939291E-3</v>
      </c>
    </row>
    <row r="1133" spans="1:5" x14ac:dyDescent="0.35">
      <c r="A1133" s="33">
        <v>45209</v>
      </c>
      <c r="B1133" s="34">
        <v>114.22</v>
      </c>
      <c r="C1133" s="34">
        <v>48143.5</v>
      </c>
      <c r="D1133" s="37">
        <f t="shared" si="34"/>
        <v>-1.3115327446009066E-3</v>
      </c>
      <c r="E1133" s="37">
        <f t="shared" si="35"/>
        <v>8.5236467357024184E-3</v>
      </c>
    </row>
    <row r="1134" spans="1:5" x14ac:dyDescent="0.35">
      <c r="A1134" s="35">
        <v>45210</v>
      </c>
      <c r="B1134" s="36">
        <v>114.42</v>
      </c>
      <c r="C1134" s="36">
        <v>48501.8</v>
      </c>
      <c r="D1134" s="37">
        <f t="shared" si="34"/>
        <v>1.7510068289266576E-3</v>
      </c>
      <c r="E1134" s="37">
        <f t="shared" si="35"/>
        <v>7.4423338560761663E-3</v>
      </c>
    </row>
    <row r="1135" spans="1:5" x14ac:dyDescent="0.35">
      <c r="A1135" s="33">
        <v>45211</v>
      </c>
      <c r="B1135" s="34">
        <v>115</v>
      </c>
      <c r="C1135" s="34">
        <v>48771.71</v>
      </c>
      <c r="D1135" s="37">
        <f t="shared" si="34"/>
        <v>5.0690438734486828E-3</v>
      </c>
      <c r="E1135" s="37">
        <f t="shared" si="35"/>
        <v>5.5649481050187048E-3</v>
      </c>
    </row>
    <row r="1136" spans="1:5" x14ac:dyDescent="0.35">
      <c r="A1136" s="35">
        <v>45212</v>
      </c>
      <c r="B1136" s="36">
        <v>115</v>
      </c>
      <c r="C1136" s="36">
        <v>49493.47</v>
      </c>
      <c r="D1136" s="37">
        <f t="shared" si="34"/>
        <v>0</v>
      </c>
      <c r="E1136" s="37">
        <f t="shared" si="35"/>
        <v>1.4798742959801943E-2</v>
      </c>
    </row>
    <row r="1137" spans="1:5" x14ac:dyDescent="0.35">
      <c r="A1137" s="33">
        <v>45215</v>
      </c>
      <c r="B1137" s="34">
        <v>116.22</v>
      </c>
      <c r="C1137" s="34">
        <v>49719.87</v>
      </c>
      <c r="D1137" s="37">
        <f t="shared" si="34"/>
        <v>1.0608695652173903E-2</v>
      </c>
      <c r="E1137" s="37">
        <f t="shared" si="35"/>
        <v>4.5743408170815557E-3</v>
      </c>
    </row>
    <row r="1138" spans="1:5" x14ac:dyDescent="0.35">
      <c r="A1138" s="35">
        <v>45216</v>
      </c>
      <c r="B1138" s="36">
        <v>118.6</v>
      </c>
      <c r="C1138" s="36">
        <v>49527.88</v>
      </c>
      <c r="D1138" s="37">
        <f t="shared" si="34"/>
        <v>2.0478403028738559E-2</v>
      </c>
      <c r="E1138" s="37">
        <f t="shared" si="35"/>
        <v>-3.8614340705236203E-3</v>
      </c>
    </row>
    <row r="1139" spans="1:5" x14ac:dyDescent="0.35">
      <c r="A1139" s="33">
        <v>45217</v>
      </c>
      <c r="B1139" s="34">
        <v>120.82</v>
      </c>
      <c r="C1139" s="34">
        <v>49406.19</v>
      </c>
      <c r="D1139" s="37">
        <f t="shared" si="34"/>
        <v>1.8718381112984815E-2</v>
      </c>
      <c r="E1139" s="37">
        <f t="shared" si="35"/>
        <v>-2.4569999765787485E-3</v>
      </c>
    </row>
    <row r="1140" spans="1:5" x14ac:dyDescent="0.35">
      <c r="A1140" s="35">
        <v>45218</v>
      </c>
      <c r="B1140" s="36">
        <v>120.99</v>
      </c>
      <c r="C1140" s="36">
        <v>50323.97</v>
      </c>
      <c r="D1140" s="37">
        <f t="shared" si="34"/>
        <v>1.4070518126138199E-3</v>
      </c>
      <c r="E1140" s="37">
        <f t="shared" si="35"/>
        <v>1.8576214842715027E-2</v>
      </c>
    </row>
    <row r="1141" spans="1:5" x14ac:dyDescent="0.35">
      <c r="A1141" s="33">
        <v>45222</v>
      </c>
      <c r="B1141" s="34">
        <v>125.79</v>
      </c>
      <c r="C1141" s="34">
        <v>51072.73</v>
      </c>
      <c r="D1141" s="37">
        <f t="shared" si="34"/>
        <v>3.9672700223159031E-2</v>
      </c>
      <c r="E1141" s="37">
        <f t="shared" si="35"/>
        <v>1.4878794339953745E-2</v>
      </c>
    </row>
    <row r="1142" spans="1:5" x14ac:dyDescent="0.35">
      <c r="A1142" s="35">
        <v>45223</v>
      </c>
      <c r="B1142" s="36">
        <v>124.61</v>
      </c>
      <c r="C1142" s="36">
        <v>51068.15</v>
      </c>
      <c r="D1142" s="37">
        <f t="shared" si="34"/>
        <v>-9.3807138882264635E-3</v>
      </c>
      <c r="E1142" s="37">
        <f t="shared" si="35"/>
        <v>-8.9676036507187803E-5</v>
      </c>
    </row>
    <row r="1143" spans="1:5" x14ac:dyDescent="0.35">
      <c r="A1143" s="33">
        <v>45224</v>
      </c>
      <c r="B1143" s="34">
        <v>126.04</v>
      </c>
      <c r="C1143" s="34">
        <v>51125.32</v>
      </c>
      <c r="D1143" s="37">
        <f t="shared" si="34"/>
        <v>1.1475804510071477E-2</v>
      </c>
      <c r="E1143" s="37">
        <f t="shared" si="35"/>
        <v>1.1194844536173379E-3</v>
      </c>
    </row>
    <row r="1144" spans="1:5" x14ac:dyDescent="0.35">
      <c r="A1144" s="35">
        <v>45225</v>
      </c>
      <c r="B1144" s="36">
        <v>125.68</v>
      </c>
      <c r="C1144" s="36">
        <v>51158.400000000001</v>
      </c>
      <c r="D1144" s="37">
        <f t="shared" si="34"/>
        <v>-2.8562361155188782E-3</v>
      </c>
      <c r="E1144" s="37">
        <f t="shared" si="35"/>
        <v>6.4703751487524665E-4</v>
      </c>
    </row>
    <row r="1145" spans="1:5" x14ac:dyDescent="0.35">
      <c r="A1145" s="33">
        <v>45226</v>
      </c>
      <c r="B1145" s="34">
        <v>124.03</v>
      </c>
      <c r="C1145" s="34">
        <v>50958.45</v>
      </c>
      <c r="D1145" s="37">
        <f t="shared" si="34"/>
        <v>-1.312858052196058E-2</v>
      </c>
      <c r="E1145" s="37">
        <f t="shared" si="35"/>
        <v>-3.9084490523551233E-3</v>
      </c>
    </row>
    <row r="1146" spans="1:5" x14ac:dyDescent="0.35">
      <c r="A1146" s="35">
        <v>45229</v>
      </c>
      <c r="B1146" s="36">
        <v>126.85</v>
      </c>
      <c r="C1146" s="36">
        <v>51482.93</v>
      </c>
      <c r="D1146" s="37">
        <f t="shared" si="34"/>
        <v>2.2736434733532155E-2</v>
      </c>
      <c r="E1146" s="37">
        <f t="shared" si="35"/>
        <v>1.0292306771497233E-2</v>
      </c>
    </row>
    <row r="1147" spans="1:5" x14ac:dyDescent="0.35">
      <c r="A1147" s="33">
        <v>45230</v>
      </c>
      <c r="B1147" s="34">
        <v>124.57</v>
      </c>
      <c r="C1147" s="34">
        <v>51976.31</v>
      </c>
      <c r="D1147" s="37">
        <f t="shared" si="34"/>
        <v>-1.797398502167916E-2</v>
      </c>
      <c r="E1147" s="37">
        <f t="shared" si="35"/>
        <v>9.583370643434579E-3</v>
      </c>
    </row>
    <row r="1148" spans="1:5" x14ac:dyDescent="0.35">
      <c r="A1148" s="35">
        <v>45231</v>
      </c>
      <c r="B1148" s="36">
        <v>126.99</v>
      </c>
      <c r="C1148" s="36">
        <v>52357.05</v>
      </c>
      <c r="D1148" s="37">
        <f t="shared" si="34"/>
        <v>1.9426828289315259E-2</v>
      </c>
      <c r="E1148" s="37">
        <f t="shared" si="35"/>
        <v>7.3252602964697811E-3</v>
      </c>
    </row>
    <row r="1149" spans="1:5" x14ac:dyDescent="0.35">
      <c r="A1149" s="33">
        <v>45232</v>
      </c>
      <c r="B1149" s="34">
        <v>127.06</v>
      </c>
      <c r="C1149" s="34">
        <v>52701.43</v>
      </c>
      <c r="D1149" s="37">
        <f t="shared" si="34"/>
        <v>5.5122450586666193E-4</v>
      </c>
      <c r="E1149" s="37">
        <f t="shared" si="35"/>
        <v>6.577528718672984E-3</v>
      </c>
    </row>
    <row r="1150" spans="1:5" x14ac:dyDescent="0.35">
      <c r="A1150" s="35">
        <v>45233</v>
      </c>
      <c r="B1150" s="36">
        <v>127.13</v>
      </c>
      <c r="C1150" s="36">
        <v>53175.72</v>
      </c>
      <c r="D1150" s="37">
        <f t="shared" si="34"/>
        <v>5.5092082480712407E-4</v>
      </c>
      <c r="E1150" s="37">
        <f t="shared" si="35"/>
        <v>8.9995660459308378E-3</v>
      </c>
    </row>
    <row r="1151" spans="1:5" x14ac:dyDescent="0.35">
      <c r="A1151" s="33">
        <v>45236</v>
      </c>
      <c r="B1151" s="34">
        <v>128.02000000000001</v>
      </c>
      <c r="C1151" s="34">
        <v>53941.04</v>
      </c>
      <c r="D1151" s="37">
        <f t="shared" si="34"/>
        <v>7.0007079367577661E-3</v>
      </c>
      <c r="E1151" s="37">
        <f t="shared" si="35"/>
        <v>1.4392282793726154E-2</v>
      </c>
    </row>
    <row r="1152" spans="1:5" x14ac:dyDescent="0.35">
      <c r="A1152" s="35">
        <v>45237</v>
      </c>
      <c r="B1152" s="36">
        <v>130</v>
      </c>
      <c r="C1152" s="36">
        <v>53810.82</v>
      </c>
      <c r="D1152" s="37">
        <f t="shared" si="34"/>
        <v>1.5466333385408449E-2</v>
      </c>
      <c r="E1152" s="37">
        <f t="shared" si="35"/>
        <v>-2.4141173399697367E-3</v>
      </c>
    </row>
    <row r="1153" spans="1:5" x14ac:dyDescent="0.35">
      <c r="A1153" s="33">
        <v>45238</v>
      </c>
      <c r="B1153" s="34">
        <v>132.97</v>
      </c>
      <c r="C1153" s="34">
        <v>54307.37</v>
      </c>
      <c r="D1153" s="37">
        <f t="shared" si="34"/>
        <v>2.2846153846153839E-2</v>
      </c>
      <c r="E1153" s="37">
        <f t="shared" si="35"/>
        <v>9.2276980726181627E-3</v>
      </c>
    </row>
    <row r="1154" spans="1:5" x14ac:dyDescent="0.35">
      <c r="A1154" s="35">
        <v>45240</v>
      </c>
      <c r="B1154" s="36">
        <v>132.66999999999999</v>
      </c>
      <c r="C1154" s="36">
        <v>55399.66</v>
      </c>
      <c r="D1154" s="37">
        <f t="shared" si="34"/>
        <v>-2.2561480033091025E-3</v>
      </c>
      <c r="E1154" s="37">
        <f t="shared" si="35"/>
        <v>2.0113108036717682E-2</v>
      </c>
    </row>
    <row r="1155" spans="1:5" x14ac:dyDescent="0.35">
      <c r="A1155" s="33">
        <v>45243</v>
      </c>
      <c r="B1155" s="34">
        <v>133.79</v>
      </c>
      <c r="C1155" s="34">
        <v>56526.71</v>
      </c>
      <c r="D1155" s="37">
        <f t="shared" si="34"/>
        <v>8.4419989447501662E-3</v>
      </c>
      <c r="E1155" s="37">
        <f t="shared" si="35"/>
        <v>2.0343987670682375E-2</v>
      </c>
    </row>
    <row r="1156" spans="1:5" x14ac:dyDescent="0.35">
      <c r="A1156" s="35">
        <v>45244</v>
      </c>
      <c r="B1156" s="36">
        <v>134</v>
      </c>
      <c r="C1156" s="36">
        <v>56644.58</v>
      </c>
      <c r="D1156" s="37">
        <f t="shared" si="34"/>
        <v>1.5696240376710366E-3</v>
      </c>
      <c r="E1156" s="37">
        <f t="shared" si="35"/>
        <v>2.0852089215877348E-3</v>
      </c>
    </row>
    <row r="1157" spans="1:5" x14ac:dyDescent="0.35">
      <c r="A1157" s="33">
        <v>45245</v>
      </c>
      <c r="B1157" s="34">
        <v>132.77000000000001</v>
      </c>
      <c r="C1157" s="34">
        <v>56765.279999999999</v>
      </c>
      <c r="D1157" s="37">
        <f t="shared" ref="D1157:D1220" si="36">(B1157-B1156)/B1156</f>
        <v>-9.1791044776118637E-3</v>
      </c>
      <c r="E1157" s="37">
        <f t="shared" ref="E1157:E1220" si="37">(C1157-C1156)/C1156</f>
        <v>2.1308305225318483E-3</v>
      </c>
    </row>
    <row r="1158" spans="1:5" x14ac:dyDescent="0.35">
      <c r="A1158" s="35">
        <v>45246</v>
      </c>
      <c r="B1158" s="36">
        <v>133.01</v>
      </c>
      <c r="C1158" s="36">
        <v>57344.160000000003</v>
      </c>
      <c r="D1158" s="37">
        <f t="shared" si="36"/>
        <v>1.8076372674548516E-3</v>
      </c>
      <c r="E1158" s="37">
        <f t="shared" si="37"/>
        <v>1.0197782870092506E-2</v>
      </c>
    </row>
    <row r="1159" spans="1:5" x14ac:dyDescent="0.35">
      <c r="A1159" s="33">
        <v>45247</v>
      </c>
      <c r="B1159" s="34">
        <v>132.55000000000001</v>
      </c>
      <c r="C1159" s="34">
        <v>57016.959999999999</v>
      </c>
      <c r="D1159" s="37">
        <f t="shared" si="36"/>
        <v>-3.4583865874744722E-3</v>
      </c>
      <c r="E1159" s="37">
        <f t="shared" si="37"/>
        <v>-5.705899258093664E-3</v>
      </c>
    </row>
    <row r="1160" spans="1:5" x14ac:dyDescent="0.35">
      <c r="A1160" s="35">
        <v>45250</v>
      </c>
      <c r="B1160" s="36">
        <v>130</v>
      </c>
      <c r="C1160" s="36">
        <v>57065.99</v>
      </c>
      <c r="D1160" s="37">
        <f t="shared" si="36"/>
        <v>-1.9238023387401066E-2</v>
      </c>
      <c r="E1160" s="37">
        <f t="shared" si="37"/>
        <v>8.599195748071949E-4</v>
      </c>
    </row>
    <row r="1161" spans="1:5" x14ac:dyDescent="0.35">
      <c r="A1161" s="33">
        <v>45251</v>
      </c>
      <c r="B1161" s="34">
        <v>131</v>
      </c>
      <c r="C1161" s="34">
        <v>57408.18</v>
      </c>
      <c r="D1161" s="37">
        <f t="shared" si="36"/>
        <v>7.6923076923076927E-3</v>
      </c>
      <c r="E1161" s="37">
        <f t="shared" si="37"/>
        <v>5.9963911955264832E-3</v>
      </c>
    </row>
    <row r="1162" spans="1:5" x14ac:dyDescent="0.35">
      <c r="A1162" s="35">
        <v>45252</v>
      </c>
      <c r="B1162" s="36">
        <v>134.02000000000001</v>
      </c>
      <c r="C1162" s="36">
        <v>58178.27</v>
      </c>
      <c r="D1162" s="37">
        <f t="shared" si="36"/>
        <v>2.3053435114503897E-2</v>
      </c>
      <c r="E1162" s="37">
        <f t="shared" si="37"/>
        <v>1.341429043735573E-2</v>
      </c>
    </row>
    <row r="1163" spans="1:5" x14ac:dyDescent="0.35">
      <c r="A1163" s="33">
        <v>45253</v>
      </c>
      <c r="B1163" s="34">
        <v>136.4</v>
      </c>
      <c r="C1163" s="34">
        <v>58910.8</v>
      </c>
      <c r="D1163" s="37">
        <f t="shared" si="36"/>
        <v>1.7758543500969969E-2</v>
      </c>
      <c r="E1163" s="37">
        <f t="shared" si="37"/>
        <v>1.25911272370252E-2</v>
      </c>
    </row>
    <row r="1164" spans="1:5" x14ac:dyDescent="0.35">
      <c r="A1164" s="35">
        <v>45254</v>
      </c>
      <c r="B1164" s="36">
        <v>135.93</v>
      </c>
      <c r="C1164" s="36">
        <v>59173.34</v>
      </c>
      <c r="D1164" s="37">
        <f t="shared" si="36"/>
        <v>-3.4457478005865019E-3</v>
      </c>
      <c r="E1164" s="37">
        <f t="shared" si="37"/>
        <v>4.4565682353659023E-3</v>
      </c>
    </row>
    <row r="1165" spans="1:5" x14ac:dyDescent="0.35">
      <c r="A1165" s="33">
        <v>45257</v>
      </c>
      <c r="B1165" s="34">
        <v>136.18</v>
      </c>
      <c r="C1165" s="34">
        <v>59774.06</v>
      </c>
      <c r="D1165" s="37">
        <f t="shared" si="36"/>
        <v>1.8391819318767011E-3</v>
      </c>
      <c r="E1165" s="37">
        <f t="shared" si="37"/>
        <v>1.0151869068063443E-2</v>
      </c>
    </row>
    <row r="1166" spans="1:5" x14ac:dyDescent="0.35">
      <c r="A1166" s="35">
        <v>45258</v>
      </c>
      <c r="B1166" s="36">
        <v>136.05000000000001</v>
      </c>
      <c r="C1166" s="36">
        <v>60845.53</v>
      </c>
      <c r="D1166" s="37">
        <f t="shared" si="36"/>
        <v>-9.5461888676748015E-4</v>
      </c>
      <c r="E1166" s="37">
        <f t="shared" si="37"/>
        <v>1.7925334166693733E-2</v>
      </c>
    </row>
    <row r="1167" spans="1:5" x14ac:dyDescent="0.35">
      <c r="A1167" s="33">
        <v>45259</v>
      </c>
      <c r="B1167" s="34">
        <v>137.11000000000001</v>
      </c>
      <c r="C1167" s="34">
        <v>60498.96</v>
      </c>
      <c r="D1167" s="37">
        <f t="shared" si="36"/>
        <v>7.7912532157295268E-3</v>
      </c>
      <c r="E1167" s="37">
        <f t="shared" si="37"/>
        <v>-5.6958991071324339E-3</v>
      </c>
    </row>
    <row r="1168" spans="1:5" x14ac:dyDescent="0.35">
      <c r="A1168" s="35">
        <v>45260</v>
      </c>
      <c r="B1168" s="36">
        <v>138.93</v>
      </c>
      <c r="C1168" s="36">
        <v>60526.77</v>
      </c>
      <c r="D1168" s="37">
        <f t="shared" si="36"/>
        <v>1.3274013565750076E-2</v>
      </c>
      <c r="E1168" s="37">
        <f t="shared" si="37"/>
        <v>4.5967732337874357E-4</v>
      </c>
    </row>
    <row r="1169" spans="1:5" x14ac:dyDescent="0.35">
      <c r="A1169" s="33">
        <v>45261</v>
      </c>
      <c r="B1169" s="34">
        <v>147.61000000000001</v>
      </c>
      <c r="C1169" s="34">
        <v>61691.25</v>
      </c>
      <c r="D1169" s="37">
        <f t="shared" si="36"/>
        <v>6.2477506658029272E-2</v>
      </c>
      <c r="E1169" s="37">
        <f t="shared" si="37"/>
        <v>1.9239090405782488E-2</v>
      </c>
    </row>
    <row r="1170" spans="1:5" x14ac:dyDescent="0.35">
      <c r="A1170" s="35">
        <v>45264</v>
      </c>
      <c r="B1170" s="36">
        <v>146.85</v>
      </c>
      <c r="C1170" s="36">
        <v>62575.35</v>
      </c>
      <c r="D1170" s="37">
        <f t="shared" si="36"/>
        <v>-5.1487026624213754E-3</v>
      </c>
      <c r="E1170" s="37">
        <f t="shared" si="37"/>
        <v>1.433104370554979E-2</v>
      </c>
    </row>
    <row r="1171" spans="1:5" x14ac:dyDescent="0.35">
      <c r="A1171" s="33">
        <v>45265</v>
      </c>
      <c r="B1171" s="34">
        <v>145.71</v>
      </c>
      <c r="C1171" s="34">
        <v>63028.13</v>
      </c>
      <c r="D1171" s="37">
        <f t="shared" si="36"/>
        <v>-7.7630234933604792E-3</v>
      </c>
      <c r="E1171" s="37">
        <f t="shared" si="37"/>
        <v>7.2357565718769263E-3</v>
      </c>
    </row>
    <row r="1172" spans="1:5" x14ac:dyDescent="0.35">
      <c r="A1172" s="35">
        <v>45266</v>
      </c>
      <c r="B1172" s="36">
        <v>148</v>
      </c>
      <c r="C1172" s="36">
        <v>63778.75</v>
      </c>
      <c r="D1172" s="37">
        <f t="shared" si="36"/>
        <v>1.571614851417193E-2</v>
      </c>
      <c r="E1172" s="37">
        <f t="shared" si="37"/>
        <v>1.190928558407179E-2</v>
      </c>
    </row>
    <row r="1173" spans="1:5" x14ac:dyDescent="0.35">
      <c r="A1173" s="33">
        <v>45267</v>
      </c>
      <c r="B1173" s="34">
        <v>148.31</v>
      </c>
      <c r="C1173" s="34">
        <v>64718.080000000002</v>
      </c>
      <c r="D1173" s="37">
        <f t="shared" si="36"/>
        <v>2.0945945945946101E-3</v>
      </c>
      <c r="E1173" s="37">
        <f t="shared" si="37"/>
        <v>1.4727946220332034E-2</v>
      </c>
    </row>
    <row r="1174" spans="1:5" x14ac:dyDescent="0.35">
      <c r="A1174" s="35">
        <v>45268</v>
      </c>
      <c r="B1174" s="36">
        <v>149.88</v>
      </c>
      <c r="C1174" s="36">
        <v>66223.63</v>
      </c>
      <c r="D1174" s="37">
        <f t="shared" si="36"/>
        <v>1.0585934866158676E-2</v>
      </c>
      <c r="E1174" s="37">
        <f t="shared" si="37"/>
        <v>2.3263205583354804E-2</v>
      </c>
    </row>
    <row r="1175" spans="1:5" x14ac:dyDescent="0.35">
      <c r="A1175" s="33">
        <v>45271</v>
      </c>
      <c r="B1175" s="34">
        <v>150.05000000000001</v>
      </c>
      <c r="C1175" s="34">
        <v>66012.33</v>
      </c>
      <c r="D1175" s="37">
        <f t="shared" si="36"/>
        <v>1.1342407259141709E-3</v>
      </c>
      <c r="E1175" s="37">
        <f t="shared" si="37"/>
        <v>-3.190703982853294E-3</v>
      </c>
    </row>
    <row r="1176" spans="1:5" x14ac:dyDescent="0.35">
      <c r="A1176" s="35">
        <v>45272</v>
      </c>
      <c r="B1176" s="36">
        <v>153.06</v>
      </c>
      <c r="C1176" s="36">
        <v>66426.78</v>
      </c>
      <c r="D1176" s="37">
        <f t="shared" si="36"/>
        <v>2.0059980006664382E-2</v>
      </c>
      <c r="E1176" s="37">
        <f t="shared" si="37"/>
        <v>6.2783725404026349E-3</v>
      </c>
    </row>
    <row r="1177" spans="1:5" x14ac:dyDescent="0.35">
      <c r="A1177" s="33">
        <v>45273</v>
      </c>
      <c r="B1177" s="34">
        <v>152.19999999999999</v>
      </c>
      <c r="C1177" s="34">
        <v>65280.160000000003</v>
      </c>
      <c r="D1177" s="37">
        <f t="shared" si="36"/>
        <v>-5.6187116163596866E-3</v>
      </c>
      <c r="E1177" s="37">
        <f t="shared" si="37"/>
        <v>-1.726141173785626E-2</v>
      </c>
    </row>
    <row r="1178" spans="1:5" x14ac:dyDescent="0.35">
      <c r="A1178" s="35">
        <v>45274</v>
      </c>
      <c r="B1178" s="36">
        <v>153.02000000000001</v>
      </c>
      <c r="C1178" s="36">
        <v>65450.19</v>
      </c>
      <c r="D1178" s="37">
        <f t="shared" si="36"/>
        <v>5.3876478318004052E-3</v>
      </c>
      <c r="E1178" s="37">
        <f t="shared" si="37"/>
        <v>2.6046198416180173E-3</v>
      </c>
    </row>
    <row r="1179" spans="1:5" x14ac:dyDescent="0.35">
      <c r="A1179" s="33">
        <v>45275</v>
      </c>
      <c r="B1179" s="34">
        <v>159.80000000000001</v>
      </c>
      <c r="C1179" s="34">
        <v>66130.02</v>
      </c>
      <c r="D1179" s="37">
        <f t="shared" si="36"/>
        <v>4.4307933603450533E-2</v>
      </c>
      <c r="E1179" s="37">
        <f t="shared" si="37"/>
        <v>1.0386982833816094E-2</v>
      </c>
    </row>
    <row r="1180" spans="1:5" x14ac:dyDescent="0.35">
      <c r="A1180" s="35">
        <v>45278</v>
      </c>
      <c r="B1180" s="36">
        <v>158.41</v>
      </c>
      <c r="C1180" s="36">
        <v>65204.68</v>
      </c>
      <c r="D1180" s="37">
        <f t="shared" si="36"/>
        <v>-8.6983729662078509E-3</v>
      </c>
      <c r="E1180" s="37">
        <f t="shared" si="37"/>
        <v>-1.3992737337747724E-2</v>
      </c>
    </row>
    <row r="1181" spans="1:5" x14ac:dyDescent="0.35">
      <c r="A1181" s="33">
        <v>45279</v>
      </c>
      <c r="B1181" s="34">
        <v>153.72</v>
      </c>
      <c r="C1181" s="34">
        <v>62833.03</v>
      </c>
      <c r="D1181" s="37">
        <f t="shared" si="36"/>
        <v>-2.9606716747680058E-2</v>
      </c>
      <c r="E1181" s="37">
        <f t="shared" si="37"/>
        <v>-3.6372389221141818E-2</v>
      </c>
    </row>
    <row r="1182" spans="1:5" x14ac:dyDescent="0.35">
      <c r="A1182" s="35">
        <v>45280</v>
      </c>
      <c r="B1182" s="36">
        <v>154.35</v>
      </c>
      <c r="C1182" s="36">
        <v>62448.01</v>
      </c>
      <c r="D1182" s="37">
        <f t="shared" si="36"/>
        <v>4.0983606557376756E-3</v>
      </c>
      <c r="E1182" s="37">
        <f t="shared" si="37"/>
        <v>-6.1276688391439472E-3</v>
      </c>
    </row>
    <row r="1183" spans="1:5" x14ac:dyDescent="0.35">
      <c r="A1183" s="33">
        <v>45281</v>
      </c>
      <c r="B1183" s="34">
        <v>152.80000000000001</v>
      </c>
      <c r="C1183" s="34">
        <v>62693.57</v>
      </c>
      <c r="D1183" s="37">
        <f t="shared" si="36"/>
        <v>-1.0042112082928299E-2</v>
      </c>
      <c r="E1183" s="37">
        <f t="shared" si="37"/>
        <v>3.932230987024209E-3</v>
      </c>
    </row>
    <row r="1184" spans="1:5" x14ac:dyDescent="0.35">
      <c r="A1184" s="35">
        <v>45282</v>
      </c>
      <c r="B1184" s="36">
        <v>152.06</v>
      </c>
      <c r="C1184" s="36">
        <v>61705.09</v>
      </c>
      <c r="D1184" s="37">
        <f t="shared" si="36"/>
        <v>-4.8429319371728341E-3</v>
      </c>
      <c r="E1184" s="37">
        <f t="shared" si="37"/>
        <v>-1.5766848179167389E-2</v>
      </c>
    </row>
    <row r="1185" spans="1:5" x14ac:dyDescent="0.35">
      <c r="A1185" s="33">
        <v>45286</v>
      </c>
      <c r="B1185" s="34">
        <v>144.46</v>
      </c>
      <c r="C1185" s="34">
        <v>59170.98</v>
      </c>
      <c r="D1185" s="37">
        <f t="shared" si="36"/>
        <v>-4.9980270945679299E-2</v>
      </c>
      <c r="E1185" s="37">
        <f t="shared" si="37"/>
        <v>-4.1068086927674739E-2</v>
      </c>
    </row>
    <row r="1186" spans="1:5" x14ac:dyDescent="0.35">
      <c r="A1186" s="35">
        <v>45287</v>
      </c>
      <c r="B1186" s="36">
        <v>145.55000000000001</v>
      </c>
      <c r="C1186" s="36">
        <v>60863.62</v>
      </c>
      <c r="D1186" s="37">
        <f t="shared" si="36"/>
        <v>7.5453412709400756E-3</v>
      </c>
      <c r="E1186" s="37">
        <f t="shared" si="37"/>
        <v>2.8605914588536462E-2</v>
      </c>
    </row>
    <row r="1187" spans="1:5" x14ac:dyDescent="0.35">
      <c r="A1187" s="33">
        <v>45288</v>
      </c>
      <c r="B1187" s="34">
        <v>154.41</v>
      </c>
      <c r="C1187" s="34">
        <v>62052.24</v>
      </c>
      <c r="D1187" s="37">
        <f t="shared" si="36"/>
        <v>6.0872552387495601E-2</v>
      </c>
      <c r="E1187" s="37">
        <f t="shared" si="37"/>
        <v>1.9529236019809458E-2</v>
      </c>
    </row>
    <row r="1188" spans="1:5" x14ac:dyDescent="0.35">
      <c r="A1188" s="35">
        <v>45289</v>
      </c>
      <c r="B1188" s="36">
        <v>155.72</v>
      </c>
      <c r="C1188" s="36">
        <v>62451.040000000001</v>
      </c>
      <c r="D1188" s="37">
        <f t="shared" si="36"/>
        <v>8.4839064827407704E-3</v>
      </c>
      <c r="E1188" s="37">
        <f t="shared" si="37"/>
        <v>6.426842931052979E-3</v>
      </c>
    </row>
    <row r="1189" spans="1:5" x14ac:dyDescent="0.35">
      <c r="A1189" s="33">
        <v>45292</v>
      </c>
      <c r="B1189" s="34">
        <v>156.86000000000001</v>
      </c>
      <c r="C1189" s="34">
        <v>64661.78</v>
      </c>
      <c r="D1189" s="37">
        <f t="shared" si="36"/>
        <v>7.3208322630363134E-3</v>
      </c>
      <c r="E1189" s="37">
        <f t="shared" si="37"/>
        <v>3.5399570607631159E-2</v>
      </c>
    </row>
    <row r="1190" spans="1:5" x14ac:dyDescent="0.35">
      <c r="A1190" s="35">
        <v>45293</v>
      </c>
      <c r="B1190" s="36">
        <v>154.33000000000001</v>
      </c>
      <c r="C1190" s="36">
        <v>64349.599999999999</v>
      </c>
      <c r="D1190" s="37">
        <f t="shared" si="36"/>
        <v>-1.6129032258064523E-2</v>
      </c>
      <c r="E1190" s="37">
        <f t="shared" si="37"/>
        <v>-4.8278906024548087E-3</v>
      </c>
    </row>
    <row r="1191" spans="1:5" x14ac:dyDescent="0.35">
      <c r="A1191" s="33">
        <v>45294</v>
      </c>
      <c r="B1191" s="34">
        <v>154.94</v>
      </c>
      <c r="C1191" s="34">
        <v>64646.85</v>
      </c>
      <c r="D1191" s="37">
        <f t="shared" si="36"/>
        <v>3.9525691699603786E-3</v>
      </c>
      <c r="E1191" s="37">
        <f t="shared" si="37"/>
        <v>4.6192983328567699E-3</v>
      </c>
    </row>
    <row r="1192" spans="1:5" x14ac:dyDescent="0.35">
      <c r="A1192" s="35">
        <v>45295</v>
      </c>
      <c r="B1192" s="36">
        <v>153.57</v>
      </c>
      <c r="C1192" s="36">
        <v>64639.16</v>
      </c>
      <c r="D1192" s="37">
        <f t="shared" si="36"/>
        <v>-8.8421324383632666E-3</v>
      </c>
      <c r="E1192" s="37">
        <f t="shared" si="37"/>
        <v>-1.1895397842269272E-4</v>
      </c>
    </row>
    <row r="1193" spans="1:5" x14ac:dyDescent="0.35">
      <c r="A1193" s="33">
        <v>45296</v>
      </c>
      <c r="B1193" s="34">
        <v>152.81</v>
      </c>
      <c r="C1193" s="34">
        <v>64514.9</v>
      </c>
      <c r="D1193" s="37">
        <f t="shared" si="36"/>
        <v>-4.9488832454254797E-3</v>
      </c>
      <c r="E1193" s="37">
        <f t="shared" si="37"/>
        <v>-1.9223640901274402E-3</v>
      </c>
    </row>
    <row r="1194" spans="1:5" x14ac:dyDescent="0.35">
      <c r="A1194" s="35">
        <v>45299</v>
      </c>
      <c r="B1194" s="36">
        <v>152.84</v>
      </c>
      <c r="C1194" s="36">
        <v>64237.03</v>
      </c>
      <c r="D1194" s="37">
        <f t="shared" si="36"/>
        <v>1.9632223022054274E-4</v>
      </c>
      <c r="E1194" s="37">
        <f t="shared" si="37"/>
        <v>-4.3070670496273356E-3</v>
      </c>
    </row>
    <row r="1195" spans="1:5" x14ac:dyDescent="0.35">
      <c r="A1195" s="33">
        <v>45300</v>
      </c>
      <c r="B1195" s="34">
        <v>153.61000000000001</v>
      </c>
      <c r="C1195" s="34">
        <v>64170.58</v>
      </c>
      <c r="D1195" s="37">
        <f t="shared" si="36"/>
        <v>5.0379481811044895E-3</v>
      </c>
      <c r="E1195" s="37">
        <f t="shared" si="37"/>
        <v>-1.034450067196399E-3</v>
      </c>
    </row>
    <row r="1196" spans="1:5" x14ac:dyDescent="0.35">
      <c r="A1196" s="35">
        <v>45301</v>
      </c>
      <c r="B1196" s="36">
        <v>153.02000000000001</v>
      </c>
      <c r="C1196" s="36">
        <v>63919.85</v>
      </c>
      <c r="D1196" s="37">
        <f t="shared" si="36"/>
        <v>-3.8408957750146692E-3</v>
      </c>
      <c r="E1196" s="37">
        <f t="shared" si="37"/>
        <v>-3.9072422284480391E-3</v>
      </c>
    </row>
    <row r="1197" spans="1:5" x14ac:dyDescent="0.35">
      <c r="A1197" s="33">
        <v>45302</v>
      </c>
      <c r="B1197" s="34">
        <v>152.81</v>
      </c>
      <c r="C1197" s="34">
        <v>64617.57</v>
      </c>
      <c r="D1197" s="37">
        <f t="shared" si="36"/>
        <v>-1.3723696248856877E-3</v>
      </c>
      <c r="E1197" s="37">
        <f t="shared" si="37"/>
        <v>1.0915545014576868E-2</v>
      </c>
    </row>
    <row r="1198" spans="1:5" x14ac:dyDescent="0.35">
      <c r="A1198" s="35">
        <v>45303</v>
      </c>
      <c r="B1198" s="36">
        <v>152.86000000000001</v>
      </c>
      <c r="C1198" s="36">
        <v>64637.64</v>
      </c>
      <c r="D1198" s="37">
        <f t="shared" si="36"/>
        <v>3.2720371703429991E-4</v>
      </c>
      <c r="E1198" s="37">
        <f t="shared" si="37"/>
        <v>3.1059663803513054E-4</v>
      </c>
    </row>
    <row r="1199" spans="1:5" x14ac:dyDescent="0.35">
      <c r="A1199" s="33">
        <v>45306</v>
      </c>
      <c r="B1199" s="34">
        <v>153.46</v>
      </c>
      <c r="C1199" s="34">
        <v>64269.38</v>
      </c>
      <c r="D1199" s="37">
        <f t="shared" si="36"/>
        <v>3.9251602773779553E-3</v>
      </c>
      <c r="E1199" s="37">
        <f t="shared" si="37"/>
        <v>-5.6972995920024621E-3</v>
      </c>
    </row>
    <row r="1200" spans="1:5" x14ac:dyDescent="0.35">
      <c r="A1200" s="35">
        <v>45307</v>
      </c>
      <c r="B1200" s="36">
        <v>152.21</v>
      </c>
      <c r="C1200" s="36">
        <v>63737.46</v>
      </c>
      <c r="D1200" s="37">
        <f t="shared" si="36"/>
        <v>-8.1454450671184665E-3</v>
      </c>
      <c r="E1200" s="37">
        <f t="shared" si="37"/>
        <v>-8.2764140559625481E-3</v>
      </c>
    </row>
    <row r="1201" spans="1:5" x14ac:dyDescent="0.35">
      <c r="A1201" s="33">
        <v>45308</v>
      </c>
      <c r="B1201" s="34">
        <v>150.72</v>
      </c>
      <c r="C1201" s="34">
        <v>63567.34</v>
      </c>
      <c r="D1201" s="37">
        <f t="shared" si="36"/>
        <v>-9.7891071545891141E-3</v>
      </c>
      <c r="E1201" s="37">
        <f t="shared" si="37"/>
        <v>-2.6690740421724153E-3</v>
      </c>
    </row>
    <row r="1202" spans="1:5" x14ac:dyDescent="0.35">
      <c r="A1202" s="35">
        <v>45309</v>
      </c>
      <c r="B1202" s="36">
        <v>148</v>
      </c>
      <c r="C1202" s="36">
        <v>63202.400000000001</v>
      </c>
      <c r="D1202" s="37">
        <f t="shared" si="36"/>
        <v>-1.804670912951167E-2</v>
      </c>
      <c r="E1202" s="37">
        <f t="shared" si="37"/>
        <v>-5.7409984435402685E-3</v>
      </c>
    </row>
    <row r="1203" spans="1:5" x14ac:dyDescent="0.35">
      <c r="A1203" s="33">
        <v>45310</v>
      </c>
      <c r="B1203" s="34">
        <v>147.34</v>
      </c>
      <c r="C1203" s="34">
        <v>63282.23</v>
      </c>
      <c r="D1203" s="37">
        <f t="shared" si="36"/>
        <v>-4.4594594594594365E-3</v>
      </c>
      <c r="E1203" s="37">
        <f t="shared" si="37"/>
        <v>1.2630849461413133E-3</v>
      </c>
    </row>
    <row r="1204" spans="1:5" x14ac:dyDescent="0.35">
      <c r="A1204" s="35">
        <v>45313</v>
      </c>
      <c r="B1204" s="36">
        <v>146.79</v>
      </c>
      <c r="C1204" s="36">
        <v>63939.41</v>
      </c>
      <c r="D1204" s="37">
        <f t="shared" si="36"/>
        <v>-3.7328627663907382E-3</v>
      </c>
      <c r="E1204" s="37">
        <f t="shared" si="37"/>
        <v>1.038490584165571E-2</v>
      </c>
    </row>
    <row r="1205" spans="1:5" x14ac:dyDescent="0.35">
      <c r="A1205" s="33">
        <v>45314</v>
      </c>
      <c r="B1205" s="34">
        <v>145.88</v>
      </c>
      <c r="C1205" s="34">
        <v>64454.22</v>
      </c>
      <c r="D1205" s="37">
        <f t="shared" si="36"/>
        <v>-6.1993323795898675E-3</v>
      </c>
      <c r="E1205" s="37">
        <f t="shared" si="37"/>
        <v>8.0515287832652448E-3</v>
      </c>
    </row>
    <row r="1206" spans="1:5" x14ac:dyDescent="0.35">
      <c r="A1206" s="35">
        <v>45315</v>
      </c>
      <c r="B1206" s="36">
        <v>147.82</v>
      </c>
      <c r="C1206" s="36">
        <v>64822.43</v>
      </c>
      <c r="D1206" s="37">
        <f t="shared" si="36"/>
        <v>1.3298601590348217E-2</v>
      </c>
      <c r="E1206" s="37">
        <f t="shared" si="37"/>
        <v>5.7127368851876432E-3</v>
      </c>
    </row>
    <row r="1207" spans="1:5" x14ac:dyDescent="0.35">
      <c r="A1207" s="33">
        <v>45316</v>
      </c>
      <c r="B1207" s="34">
        <v>158.9</v>
      </c>
      <c r="C1207" s="34">
        <v>64298.01</v>
      </c>
      <c r="D1207" s="37">
        <f t="shared" si="36"/>
        <v>7.4956027601136607E-2</v>
      </c>
      <c r="E1207" s="37">
        <f t="shared" si="37"/>
        <v>-8.0901009110580738E-3</v>
      </c>
    </row>
    <row r="1208" spans="1:5" x14ac:dyDescent="0.35">
      <c r="A1208" s="35">
        <v>45317</v>
      </c>
      <c r="B1208" s="36">
        <v>161.19</v>
      </c>
      <c r="C1208" s="36">
        <v>63813.06</v>
      </c>
      <c r="D1208" s="37">
        <f t="shared" si="36"/>
        <v>1.4411579609817444E-2</v>
      </c>
      <c r="E1208" s="37">
        <f t="shared" si="37"/>
        <v>-7.5422240906056716E-3</v>
      </c>
    </row>
    <row r="1209" spans="1:5" x14ac:dyDescent="0.35">
      <c r="A1209" s="33">
        <v>45321</v>
      </c>
      <c r="B1209" s="34">
        <v>157.58000000000001</v>
      </c>
      <c r="C1209" s="34">
        <v>61841.74</v>
      </c>
      <c r="D1209" s="37">
        <f t="shared" si="36"/>
        <v>-2.2395930268626994E-2</v>
      </c>
      <c r="E1209" s="37">
        <f t="shared" si="37"/>
        <v>-3.0892108919396748E-2</v>
      </c>
    </row>
    <row r="1210" spans="1:5" x14ac:dyDescent="0.35">
      <c r="A1210" s="35">
        <v>45322</v>
      </c>
      <c r="B1210" s="36">
        <v>155.37</v>
      </c>
      <c r="C1210" s="36">
        <v>61979.18</v>
      </c>
      <c r="D1210" s="37">
        <f t="shared" si="36"/>
        <v>-1.402462241401198E-2</v>
      </c>
      <c r="E1210" s="37">
        <f t="shared" si="37"/>
        <v>2.2224471691773603E-3</v>
      </c>
    </row>
    <row r="1211" spans="1:5" x14ac:dyDescent="0.35">
      <c r="A1211" s="33">
        <v>45323</v>
      </c>
      <c r="B1211" s="34">
        <v>156.93</v>
      </c>
      <c r="C1211" s="34">
        <v>62393.74</v>
      </c>
      <c r="D1211" s="37">
        <f t="shared" si="36"/>
        <v>1.0040548368410904E-2</v>
      </c>
      <c r="E1211" s="37">
        <f t="shared" si="37"/>
        <v>6.6886977207507052E-3</v>
      </c>
    </row>
    <row r="1212" spans="1:5" x14ac:dyDescent="0.35">
      <c r="A1212" s="35">
        <v>45324</v>
      </c>
      <c r="B1212" s="36">
        <v>152.15</v>
      </c>
      <c r="C1212" s="36">
        <v>63002.92</v>
      </c>
      <c r="D1212" s="37">
        <f t="shared" si="36"/>
        <v>-3.0459440514879251E-2</v>
      </c>
      <c r="E1212" s="37">
        <f t="shared" si="37"/>
        <v>9.7634794772680777E-3</v>
      </c>
    </row>
    <row r="1213" spans="1:5" x14ac:dyDescent="0.35">
      <c r="A1213" s="33">
        <v>45328</v>
      </c>
      <c r="B1213" s="34">
        <v>152.08000000000001</v>
      </c>
      <c r="C1213" s="34">
        <v>63799.02</v>
      </c>
      <c r="D1213" s="37">
        <f t="shared" si="36"/>
        <v>-4.6007229707520982E-4</v>
      </c>
      <c r="E1213" s="37">
        <f t="shared" si="37"/>
        <v>1.2635922271539137E-2</v>
      </c>
    </row>
    <row r="1214" spans="1:5" x14ac:dyDescent="0.35">
      <c r="A1214" s="35">
        <v>45329</v>
      </c>
      <c r="B1214" s="36">
        <v>155.72</v>
      </c>
      <c r="C1214" s="36">
        <v>64143.87</v>
      </c>
      <c r="D1214" s="37">
        <f t="shared" si="36"/>
        <v>2.3934771173066714E-2</v>
      </c>
      <c r="E1214" s="37">
        <f t="shared" si="37"/>
        <v>5.4052554412278722E-3</v>
      </c>
    </row>
    <row r="1215" spans="1:5" x14ac:dyDescent="0.35">
      <c r="A1215" s="33">
        <v>45334</v>
      </c>
      <c r="B1215" s="34">
        <v>147.97</v>
      </c>
      <c r="C1215" s="34">
        <v>61065.32</v>
      </c>
      <c r="D1215" s="37">
        <f t="shared" si="36"/>
        <v>-4.9768815823272541E-2</v>
      </c>
      <c r="E1215" s="37">
        <f t="shared" si="37"/>
        <v>-4.7994453717868951E-2</v>
      </c>
    </row>
    <row r="1216" spans="1:5" x14ac:dyDescent="0.35">
      <c r="A1216" s="35">
        <v>45335</v>
      </c>
      <c r="B1216" s="36">
        <v>150.19999999999999</v>
      </c>
      <c r="C1216" s="36">
        <v>61226.93</v>
      </c>
      <c r="D1216" s="37">
        <f t="shared" si="36"/>
        <v>1.5070622423464146E-2</v>
      </c>
      <c r="E1216" s="37">
        <f t="shared" si="37"/>
        <v>2.6465103269744691E-3</v>
      </c>
    </row>
    <row r="1217" spans="1:5" x14ac:dyDescent="0.35">
      <c r="A1217" s="33">
        <v>45336</v>
      </c>
      <c r="B1217" s="34">
        <v>154.26</v>
      </c>
      <c r="C1217" s="34">
        <v>62153.84</v>
      </c>
      <c r="D1217" s="37">
        <f t="shared" si="36"/>
        <v>2.703062583222372E-2</v>
      </c>
      <c r="E1217" s="37">
        <f t="shared" si="37"/>
        <v>1.5138926612848238E-2</v>
      </c>
    </row>
    <row r="1218" spans="1:5" x14ac:dyDescent="0.35">
      <c r="A1218" s="35">
        <v>45337</v>
      </c>
      <c r="B1218" s="36">
        <v>149.87</v>
      </c>
      <c r="C1218" s="36">
        <v>61020.06</v>
      </c>
      <c r="D1218" s="37">
        <f t="shared" si="36"/>
        <v>-2.8458446778166644E-2</v>
      </c>
      <c r="E1218" s="37">
        <f t="shared" si="37"/>
        <v>-1.8241511707080351E-2</v>
      </c>
    </row>
    <row r="1219" spans="1:5" x14ac:dyDescent="0.35">
      <c r="A1219" s="33">
        <v>45338</v>
      </c>
      <c r="B1219" s="34">
        <v>148.44999999999999</v>
      </c>
      <c r="C1219" s="34">
        <v>59872.959999999999</v>
      </c>
      <c r="D1219" s="37">
        <f t="shared" si="36"/>
        <v>-9.4748782277975299E-3</v>
      </c>
      <c r="E1219" s="37">
        <f t="shared" si="37"/>
        <v>-1.8798736022219556E-2</v>
      </c>
    </row>
    <row r="1220" spans="1:5" x14ac:dyDescent="0.35">
      <c r="A1220" s="35">
        <v>45341</v>
      </c>
      <c r="B1220" s="36">
        <v>147.61000000000001</v>
      </c>
      <c r="C1220" s="36">
        <v>60459.75</v>
      </c>
      <c r="D1220" s="37">
        <f t="shared" si="36"/>
        <v>-5.6584708656111492E-3</v>
      </c>
      <c r="E1220" s="37">
        <f t="shared" si="37"/>
        <v>9.8005844374489063E-3</v>
      </c>
    </row>
    <row r="1221" spans="1:5" x14ac:dyDescent="0.35">
      <c r="A1221" s="33">
        <v>45342</v>
      </c>
      <c r="B1221" s="34">
        <v>153</v>
      </c>
      <c r="C1221" s="34">
        <v>60464.24</v>
      </c>
      <c r="D1221" s="37">
        <f t="shared" ref="D1221:D1284" si="38">(B1221-B1220)/B1220</f>
        <v>3.651514125059268E-2</v>
      </c>
      <c r="E1221" s="37">
        <f t="shared" ref="E1221:E1284" si="39">(C1221-C1220)/C1220</f>
        <v>7.4264283262798192E-5</v>
      </c>
    </row>
    <row r="1222" spans="1:5" x14ac:dyDescent="0.35">
      <c r="A1222" s="35">
        <v>45343</v>
      </c>
      <c r="B1222" s="36">
        <v>154</v>
      </c>
      <c r="C1222" s="36">
        <v>61559.16</v>
      </c>
      <c r="D1222" s="37">
        <f t="shared" si="38"/>
        <v>6.5359477124183009E-3</v>
      </c>
      <c r="E1222" s="37">
        <f t="shared" si="39"/>
        <v>1.8108554742439591E-2</v>
      </c>
    </row>
    <row r="1223" spans="1:5" x14ac:dyDescent="0.35">
      <c r="A1223" s="33">
        <v>45344</v>
      </c>
      <c r="B1223" s="34">
        <v>151.11000000000001</v>
      </c>
      <c r="C1223" s="34">
        <v>61914.34</v>
      </c>
      <c r="D1223" s="37">
        <f t="shared" si="38"/>
        <v>-1.8766233766233677E-2</v>
      </c>
      <c r="E1223" s="37">
        <f t="shared" si="39"/>
        <v>5.769734349851314E-3</v>
      </c>
    </row>
    <row r="1224" spans="1:5" x14ac:dyDescent="0.35">
      <c r="A1224" s="35">
        <v>45345</v>
      </c>
      <c r="B1224" s="36">
        <v>153.78</v>
      </c>
      <c r="C1224" s="36">
        <v>62815.82</v>
      </c>
      <c r="D1224" s="37">
        <f t="shared" si="38"/>
        <v>1.7669247567996739E-2</v>
      </c>
      <c r="E1224" s="37">
        <f t="shared" si="39"/>
        <v>1.4560116444752592E-2</v>
      </c>
    </row>
    <row r="1225" spans="1:5" x14ac:dyDescent="0.35">
      <c r="A1225" s="33">
        <v>45348</v>
      </c>
      <c r="B1225" s="34">
        <v>155.44</v>
      </c>
      <c r="C1225" s="34">
        <v>63305.93</v>
      </c>
      <c r="D1225" s="37">
        <f t="shared" si="38"/>
        <v>1.0794641695929228E-2</v>
      </c>
      <c r="E1225" s="37">
        <f t="shared" si="39"/>
        <v>7.8023338706714419E-3</v>
      </c>
    </row>
    <row r="1226" spans="1:5" x14ac:dyDescent="0.35">
      <c r="A1226" s="35">
        <v>45349</v>
      </c>
      <c r="B1226" s="36">
        <v>151.16999999999999</v>
      </c>
      <c r="C1226" s="36">
        <v>63219.1</v>
      </c>
      <c r="D1226" s="37">
        <f t="shared" si="38"/>
        <v>-2.7470406587750965E-2</v>
      </c>
      <c r="E1226" s="37">
        <f t="shared" si="39"/>
        <v>-1.3715934668363887E-3</v>
      </c>
    </row>
    <row r="1227" spans="1:5" x14ac:dyDescent="0.35">
      <c r="A1227" s="33">
        <v>45350</v>
      </c>
      <c r="B1227" s="34">
        <v>151.16999999999999</v>
      </c>
      <c r="C1227" s="34">
        <v>63703.45</v>
      </c>
      <c r="D1227" s="37">
        <f t="shared" si="38"/>
        <v>0</v>
      </c>
      <c r="E1227" s="37">
        <f t="shared" si="39"/>
        <v>7.6614504160925825E-3</v>
      </c>
    </row>
    <row r="1228" spans="1:5" x14ac:dyDescent="0.35">
      <c r="A1228" s="35">
        <v>45351</v>
      </c>
      <c r="B1228" s="36">
        <v>154.94</v>
      </c>
      <c r="C1228" s="36">
        <v>65325.69</v>
      </c>
      <c r="D1228" s="37">
        <f t="shared" si="38"/>
        <v>2.493881061057095E-2</v>
      </c>
      <c r="E1228" s="37">
        <f t="shared" si="39"/>
        <v>2.5465496766658716E-2</v>
      </c>
    </row>
    <row r="1229" spans="1:5" x14ac:dyDescent="0.35">
      <c r="A1229" s="33">
        <v>45352</v>
      </c>
      <c r="B1229" s="34">
        <v>156.78</v>
      </c>
      <c r="C1229" s="34">
        <v>65951.73</v>
      </c>
      <c r="D1229" s="37">
        <f t="shared" si="38"/>
        <v>1.187556473473605E-2</v>
      </c>
      <c r="E1229" s="37">
        <f t="shared" si="39"/>
        <v>9.5833660539979531E-3</v>
      </c>
    </row>
    <row r="1230" spans="1:5" x14ac:dyDescent="0.35">
      <c r="A1230" s="35">
        <v>45355</v>
      </c>
      <c r="B1230" s="36">
        <v>160.31</v>
      </c>
      <c r="C1230" s="36">
        <v>65726.039999999994</v>
      </c>
      <c r="D1230" s="37">
        <f t="shared" si="38"/>
        <v>2.2515626993238939E-2</v>
      </c>
      <c r="E1230" s="37">
        <f t="shared" si="39"/>
        <v>-3.4220482161726818E-3</v>
      </c>
    </row>
    <row r="1231" spans="1:5" x14ac:dyDescent="0.35">
      <c r="A1231" s="33">
        <v>45356</v>
      </c>
      <c r="B1231" s="34">
        <v>160</v>
      </c>
      <c r="C1231" s="34">
        <v>65656.62</v>
      </c>
      <c r="D1231" s="37">
        <f t="shared" si="38"/>
        <v>-1.9337533528788115E-3</v>
      </c>
      <c r="E1231" s="37">
        <f t="shared" si="39"/>
        <v>-1.05620238188697E-3</v>
      </c>
    </row>
    <row r="1232" spans="1:5" x14ac:dyDescent="0.35">
      <c r="A1232" s="35">
        <v>45357</v>
      </c>
      <c r="B1232" s="36">
        <v>156.22</v>
      </c>
      <c r="C1232" s="36">
        <v>65603.09</v>
      </c>
      <c r="D1232" s="37">
        <f t="shared" si="38"/>
        <v>-2.3625000000000007E-2</v>
      </c>
      <c r="E1232" s="37">
        <f t="shared" si="39"/>
        <v>-8.1530240210353261E-4</v>
      </c>
    </row>
    <row r="1233" spans="1:5" x14ac:dyDescent="0.35">
      <c r="A1233" s="33">
        <v>45359</v>
      </c>
      <c r="B1233" s="34">
        <v>153.33000000000001</v>
      </c>
      <c r="C1233" s="34">
        <v>65793.759999999995</v>
      </c>
      <c r="D1233" s="37">
        <f t="shared" si="38"/>
        <v>-1.8499551913967394E-2</v>
      </c>
      <c r="E1233" s="37">
        <f t="shared" si="39"/>
        <v>2.9064179751288888E-3</v>
      </c>
    </row>
    <row r="1234" spans="1:5" x14ac:dyDescent="0.35">
      <c r="A1234" s="35">
        <v>45362</v>
      </c>
      <c r="B1234" s="36">
        <v>155.61000000000001</v>
      </c>
      <c r="C1234" s="36">
        <v>65755.31</v>
      </c>
      <c r="D1234" s="37">
        <f t="shared" si="38"/>
        <v>1.4869888475836437E-2</v>
      </c>
      <c r="E1234" s="37">
        <f t="shared" si="39"/>
        <v>-5.8440192504573523E-4</v>
      </c>
    </row>
    <row r="1235" spans="1:5" x14ac:dyDescent="0.35">
      <c r="A1235" s="33">
        <v>45364</v>
      </c>
      <c r="B1235" s="34">
        <v>150</v>
      </c>
      <c r="C1235" s="34">
        <v>64048.44</v>
      </c>
      <c r="D1235" s="37">
        <f t="shared" si="38"/>
        <v>-3.6051667630615084E-2</v>
      </c>
      <c r="E1235" s="37">
        <f t="shared" si="39"/>
        <v>-2.5957903627859033E-2</v>
      </c>
    </row>
    <row r="1236" spans="1:5" x14ac:dyDescent="0.35">
      <c r="A1236" s="35">
        <v>45366</v>
      </c>
      <c r="B1236" s="36">
        <v>160</v>
      </c>
      <c r="C1236" s="36">
        <v>64816.47</v>
      </c>
      <c r="D1236" s="37">
        <f t="shared" si="38"/>
        <v>6.6666666666666666E-2</v>
      </c>
      <c r="E1236" s="37">
        <f t="shared" si="39"/>
        <v>1.1991392764601273E-2</v>
      </c>
    </row>
    <row r="1237" spans="1:5" x14ac:dyDescent="0.35">
      <c r="A1237" s="33">
        <v>45369</v>
      </c>
      <c r="B1237" s="34">
        <v>159.96</v>
      </c>
      <c r="C1237" s="34">
        <v>64890.51</v>
      </c>
      <c r="D1237" s="37">
        <f t="shared" si="38"/>
        <v>-2.4999999999995024E-4</v>
      </c>
      <c r="E1237" s="37">
        <f t="shared" si="39"/>
        <v>1.1423022574355078E-3</v>
      </c>
    </row>
    <row r="1238" spans="1:5" x14ac:dyDescent="0.35">
      <c r="A1238" s="35">
        <v>45370</v>
      </c>
      <c r="B1238" s="36">
        <v>161.5</v>
      </c>
      <c r="C1238" s="36">
        <v>65502.6</v>
      </c>
      <c r="D1238" s="37">
        <f t="shared" si="38"/>
        <v>9.6274068517128789E-3</v>
      </c>
      <c r="E1238" s="37">
        <f t="shared" si="39"/>
        <v>9.4326581806799866E-3</v>
      </c>
    </row>
    <row r="1239" spans="1:5" x14ac:dyDescent="0.35">
      <c r="A1239" s="33">
        <v>45371</v>
      </c>
      <c r="B1239" s="34">
        <v>161.96</v>
      </c>
      <c r="C1239" s="34">
        <v>65731.789999999994</v>
      </c>
      <c r="D1239" s="37">
        <f t="shared" si="38"/>
        <v>2.8482972136223404E-3</v>
      </c>
      <c r="E1239" s="37">
        <f t="shared" si="39"/>
        <v>3.4989450800425488E-3</v>
      </c>
    </row>
    <row r="1240" spans="1:5" x14ac:dyDescent="0.35">
      <c r="A1240" s="35">
        <v>45372</v>
      </c>
      <c r="B1240" s="36">
        <v>163.72</v>
      </c>
      <c r="C1240" s="36">
        <v>65417.4</v>
      </c>
      <c r="D1240" s="37">
        <f t="shared" si="38"/>
        <v>1.0866880711286681E-2</v>
      </c>
      <c r="E1240" s="37">
        <f t="shared" si="39"/>
        <v>-4.7829216274194297E-3</v>
      </c>
    </row>
    <row r="1241" spans="1:5" x14ac:dyDescent="0.35">
      <c r="A1241" s="33">
        <v>45373</v>
      </c>
      <c r="B1241" s="34">
        <v>159.86000000000001</v>
      </c>
      <c r="C1241" s="34">
        <v>65151.83</v>
      </c>
      <c r="D1241" s="37">
        <f t="shared" si="38"/>
        <v>-2.3576838504764143E-2</v>
      </c>
      <c r="E1241" s="37">
        <f t="shared" si="39"/>
        <v>-4.0596232806562127E-3</v>
      </c>
    </row>
    <row r="1242" spans="1:5" x14ac:dyDescent="0.35">
      <c r="A1242" s="35">
        <v>45376</v>
      </c>
      <c r="B1242" s="36">
        <v>162.28</v>
      </c>
      <c r="C1242" s="36">
        <v>65525.65</v>
      </c>
      <c r="D1242" s="37">
        <f t="shared" si="38"/>
        <v>1.5138245965219487E-2</v>
      </c>
      <c r="E1242" s="37">
        <f t="shared" si="39"/>
        <v>5.7376745979353105E-3</v>
      </c>
    </row>
    <row r="1243" spans="1:5" x14ac:dyDescent="0.35">
      <c r="A1243" s="33">
        <v>45377</v>
      </c>
      <c r="B1243" s="34">
        <v>163.79</v>
      </c>
      <c r="C1243" s="34">
        <v>65906.28</v>
      </c>
      <c r="D1243" s="37">
        <f t="shared" si="38"/>
        <v>9.3049051022922775E-3</v>
      </c>
      <c r="E1243" s="37">
        <f t="shared" si="39"/>
        <v>5.8088702668343982E-3</v>
      </c>
    </row>
    <row r="1244" spans="1:5" x14ac:dyDescent="0.35">
      <c r="A1244" s="35">
        <v>45378</v>
      </c>
      <c r="B1244" s="36">
        <v>165</v>
      </c>
      <c r="C1244" s="36">
        <v>66547.789999999994</v>
      </c>
      <c r="D1244" s="37">
        <f t="shared" si="38"/>
        <v>7.387508394895952E-3</v>
      </c>
      <c r="E1244" s="37">
        <f t="shared" si="39"/>
        <v>9.7336702966696765E-3</v>
      </c>
    </row>
    <row r="1245" spans="1:5" x14ac:dyDescent="0.35">
      <c r="A1245" s="33">
        <v>45379</v>
      </c>
      <c r="B1245" s="34">
        <v>165.91</v>
      </c>
      <c r="C1245" s="34">
        <v>67142.12</v>
      </c>
      <c r="D1245" s="37">
        <f t="shared" si="38"/>
        <v>5.5151515151514946E-3</v>
      </c>
      <c r="E1245" s="37">
        <f t="shared" si="39"/>
        <v>8.9308750899166119E-3</v>
      </c>
    </row>
    <row r="1246" spans="1:5" x14ac:dyDescent="0.35">
      <c r="A1246" s="35">
        <v>45380</v>
      </c>
      <c r="B1246" s="36">
        <v>171.49</v>
      </c>
      <c r="C1246" s="36">
        <v>67005.11</v>
      </c>
      <c r="D1246" s="37">
        <f t="shared" si="38"/>
        <v>3.3632692423603235E-2</v>
      </c>
      <c r="E1246" s="37">
        <f t="shared" si="39"/>
        <v>-2.0405968712336573E-3</v>
      </c>
    </row>
    <row r="1247" spans="1:5" x14ac:dyDescent="0.35">
      <c r="A1247" s="33">
        <v>45383</v>
      </c>
      <c r="B1247" s="34">
        <v>169.11</v>
      </c>
      <c r="C1247" s="34">
        <v>66796.320000000007</v>
      </c>
      <c r="D1247" s="37">
        <f t="shared" si="38"/>
        <v>-1.3878360254242203E-2</v>
      </c>
      <c r="E1247" s="37">
        <f t="shared" si="39"/>
        <v>-3.1160310012175729E-3</v>
      </c>
    </row>
    <row r="1248" spans="1:5" x14ac:dyDescent="0.35">
      <c r="A1248" s="35">
        <v>45384</v>
      </c>
      <c r="B1248" s="36">
        <v>167.16</v>
      </c>
      <c r="C1248" s="36">
        <v>66886.259999999995</v>
      </c>
      <c r="D1248" s="37">
        <f t="shared" si="38"/>
        <v>-1.1530956182366606E-2</v>
      </c>
      <c r="E1248" s="37">
        <f t="shared" si="39"/>
        <v>1.3464813630449666E-3</v>
      </c>
    </row>
    <row r="1249" spans="1:5" x14ac:dyDescent="0.35">
      <c r="A1249" s="33">
        <v>45385</v>
      </c>
      <c r="B1249" s="34">
        <v>167.93</v>
      </c>
      <c r="C1249" s="34">
        <v>67756.039999999994</v>
      </c>
      <c r="D1249" s="37">
        <f t="shared" si="38"/>
        <v>4.6063651591290392E-3</v>
      </c>
      <c r="E1249" s="37">
        <f t="shared" si="39"/>
        <v>1.3003866563925071E-2</v>
      </c>
    </row>
    <row r="1250" spans="1:5" x14ac:dyDescent="0.35">
      <c r="A1250" s="35">
        <v>45386</v>
      </c>
      <c r="B1250" s="36">
        <v>166.2</v>
      </c>
      <c r="C1250" s="36">
        <v>68416.78</v>
      </c>
      <c r="D1250" s="37">
        <f t="shared" si="38"/>
        <v>-1.0301911510748635E-2</v>
      </c>
      <c r="E1250" s="37">
        <f t="shared" si="39"/>
        <v>9.7517505450437376E-3</v>
      </c>
    </row>
    <row r="1251" spans="1:5" x14ac:dyDescent="0.35">
      <c r="A1251" s="33">
        <v>45390</v>
      </c>
      <c r="B1251" s="34">
        <v>166.66</v>
      </c>
      <c r="C1251" s="34">
        <v>69619.990000000005</v>
      </c>
      <c r="D1251" s="37">
        <f t="shared" si="38"/>
        <v>2.7677496991576895E-3</v>
      </c>
      <c r="E1251" s="37">
        <f t="shared" si="39"/>
        <v>1.7586475130808646E-2</v>
      </c>
    </row>
    <row r="1252" spans="1:5" x14ac:dyDescent="0.35">
      <c r="A1252" s="35">
        <v>45391</v>
      </c>
      <c r="B1252" s="36">
        <v>167</v>
      </c>
      <c r="C1252" s="36">
        <v>70314.720000000001</v>
      </c>
      <c r="D1252" s="37">
        <f t="shared" si="38"/>
        <v>2.0400816032641509E-3</v>
      </c>
      <c r="E1252" s="37">
        <f t="shared" si="39"/>
        <v>9.9788868111011769E-3</v>
      </c>
    </row>
    <row r="1253" spans="1:5" x14ac:dyDescent="0.35">
      <c r="A1253" s="33">
        <v>45397</v>
      </c>
      <c r="B1253" s="34">
        <v>167.04</v>
      </c>
      <c r="C1253" s="34">
        <v>70544.58</v>
      </c>
      <c r="D1253" s="37">
        <f t="shared" si="38"/>
        <v>2.3952095808378468E-4</v>
      </c>
      <c r="E1253" s="37">
        <f t="shared" si="39"/>
        <v>3.2690167862433439E-3</v>
      </c>
    </row>
    <row r="1254" spans="1:5" x14ac:dyDescent="0.35">
      <c r="A1254" s="35">
        <v>45398</v>
      </c>
      <c r="B1254" s="36">
        <v>168</v>
      </c>
      <c r="C1254" s="36">
        <v>70483.66</v>
      </c>
      <c r="D1254" s="37">
        <f t="shared" si="38"/>
        <v>5.7471264367816568E-3</v>
      </c>
      <c r="E1254" s="37">
        <f t="shared" si="39"/>
        <v>-8.6356740659591783E-4</v>
      </c>
    </row>
    <row r="1255" spans="1:5" x14ac:dyDescent="0.35">
      <c r="A1255" s="33">
        <v>45399</v>
      </c>
      <c r="B1255" s="34">
        <v>168.2</v>
      </c>
      <c r="C1255" s="34">
        <v>70333.320000000007</v>
      </c>
      <c r="D1255" s="37">
        <f t="shared" si="38"/>
        <v>1.1904761904761227E-3</v>
      </c>
      <c r="E1255" s="37">
        <f t="shared" si="39"/>
        <v>-2.1329766360032453E-3</v>
      </c>
    </row>
    <row r="1256" spans="1:5" x14ac:dyDescent="0.35">
      <c r="A1256" s="35">
        <v>45400</v>
      </c>
      <c r="B1256" s="36">
        <v>166.78</v>
      </c>
      <c r="C1256" s="36">
        <v>70290.12</v>
      </c>
      <c r="D1256" s="37">
        <f t="shared" si="38"/>
        <v>-8.4423305588584279E-3</v>
      </c>
      <c r="E1256" s="37">
        <f t="shared" si="39"/>
        <v>-6.1421812591829362E-4</v>
      </c>
    </row>
    <row r="1257" spans="1:5" x14ac:dyDescent="0.35">
      <c r="A1257" s="33">
        <v>45401</v>
      </c>
      <c r="B1257" s="34">
        <v>168</v>
      </c>
      <c r="C1257" s="34">
        <v>70909.899999999994</v>
      </c>
      <c r="D1257" s="37">
        <f t="shared" si="38"/>
        <v>7.3150257824679153E-3</v>
      </c>
      <c r="E1257" s="37">
        <f t="shared" si="39"/>
        <v>8.8174554261679864E-3</v>
      </c>
    </row>
    <row r="1258" spans="1:5" x14ac:dyDescent="0.35">
      <c r="A1258" s="35">
        <v>45404</v>
      </c>
      <c r="B1258" s="36">
        <v>169.7</v>
      </c>
      <c r="C1258" s="36">
        <v>71433.460000000006</v>
      </c>
      <c r="D1258" s="37">
        <f t="shared" si="38"/>
        <v>1.0119047619047552E-2</v>
      </c>
      <c r="E1258" s="37">
        <f t="shared" si="39"/>
        <v>7.3834542144328545E-3</v>
      </c>
    </row>
    <row r="1259" spans="1:5" x14ac:dyDescent="0.35">
      <c r="A1259" s="33">
        <v>45405</v>
      </c>
      <c r="B1259" s="34">
        <v>170</v>
      </c>
      <c r="C1259" s="34">
        <v>71359.41</v>
      </c>
      <c r="D1259" s="37">
        <f t="shared" si="38"/>
        <v>1.7678255745433788E-3</v>
      </c>
      <c r="E1259" s="37">
        <f t="shared" si="39"/>
        <v>-1.036629053107646E-3</v>
      </c>
    </row>
    <row r="1260" spans="1:5" x14ac:dyDescent="0.35">
      <c r="A1260" s="35">
        <v>45406</v>
      </c>
      <c r="B1260" s="36">
        <v>171.39</v>
      </c>
      <c r="C1260" s="36">
        <v>72051.89</v>
      </c>
      <c r="D1260" s="37">
        <f t="shared" si="38"/>
        <v>8.1764705882352139E-3</v>
      </c>
      <c r="E1260" s="37">
        <f t="shared" si="39"/>
        <v>9.7041161074621542E-3</v>
      </c>
    </row>
    <row r="1261" spans="1:5" x14ac:dyDescent="0.35">
      <c r="A1261" s="33">
        <v>45407</v>
      </c>
      <c r="B1261" s="34">
        <v>170.21</v>
      </c>
      <c r="C1261" s="34">
        <v>71971.399999999994</v>
      </c>
      <c r="D1261" s="37">
        <f t="shared" si="38"/>
        <v>-6.8848824318803806E-3</v>
      </c>
      <c r="E1261" s="37">
        <f t="shared" si="39"/>
        <v>-1.1171115705640093E-3</v>
      </c>
    </row>
    <row r="1262" spans="1:5" x14ac:dyDescent="0.35">
      <c r="A1262" s="35">
        <v>45408</v>
      </c>
      <c r="B1262" s="36">
        <v>169.04</v>
      </c>
      <c r="C1262" s="36">
        <v>72742.75</v>
      </c>
      <c r="D1262" s="37">
        <f t="shared" si="38"/>
        <v>-6.8738617002527223E-3</v>
      </c>
      <c r="E1262" s="37">
        <f t="shared" si="39"/>
        <v>1.0717451654407248E-2</v>
      </c>
    </row>
    <row r="1263" spans="1:5" x14ac:dyDescent="0.35">
      <c r="A1263" s="33">
        <v>45411</v>
      </c>
      <c r="B1263" s="34">
        <v>164.32</v>
      </c>
      <c r="C1263" s="34">
        <v>71695.03</v>
      </c>
      <c r="D1263" s="37">
        <f t="shared" si="38"/>
        <v>-2.7922385234264074E-2</v>
      </c>
      <c r="E1263" s="37">
        <f t="shared" si="39"/>
        <v>-1.4403084843506758E-2</v>
      </c>
    </row>
    <row r="1264" spans="1:5" x14ac:dyDescent="0.35">
      <c r="A1264" s="35">
        <v>45412</v>
      </c>
      <c r="B1264" s="36">
        <v>160.43</v>
      </c>
      <c r="C1264" s="36">
        <v>71102.55</v>
      </c>
      <c r="D1264" s="37">
        <f t="shared" si="38"/>
        <v>-2.3673320350535459E-2</v>
      </c>
      <c r="E1264" s="37">
        <f t="shared" si="39"/>
        <v>-8.2638922112173736E-3</v>
      </c>
    </row>
    <row r="1265" spans="1:5" x14ac:dyDescent="0.35">
      <c r="A1265" s="33">
        <v>45414</v>
      </c>
      <c r="B1265" s="34">
        <v>159.01</v>
      </c>
      <c r="C1265" s="34">
        <v>70657.64</v>
      </c>
      <c r="D1265" s="37">
        <f t="shared" si="38"/>
        <v>-8.8512123667644198E-3</v>
      </c>
      <c r="E1265" s="37">
        <f t="shared" si="39"/>
        <v>-6.2573001952813713E-3</v>
      </c>
    </row>
    <row r="1266" spans="1:5" x14ac:dyDescent="0.35">
      <c r="A1266" s="35">
        <v>45415</v>
      </c>
      <c r="B1266" s="36">
        <v>160.66</v>
      </c>
      <c r="C1266" s="36">
        <v>71902.09</v>
      </c>
      <c r="D1266" s="37">
        <f t="shared" si="38"/>
        <v>1.0376705867555536E-2</v>
      </c>
      <c r="E1266" s="37">
        <f t="shared" si="39"/>
        <v>1.7612391243183288E-2</v>
      </c>
    </row>
    <row r="1267" spans="1:5" x14ac:dyDescent="0.35">
      <c r="A1267" s="33">
        <v>45418</v>
      </c>
      <c r="B1267" s="34">
        <v>161.6</v>
      </c>
      <c r="C1267" s="34">
        <v>72764.240000000005</v>
      </c>
      <c r="D1267" s="37">
        <f t="shared" si="38"/>
        <v>5.8508651811278335E-3</v>
      </c>
      <c r="E1267" s="37">
        <f t="shared" si="39"/>
        <v>1.1990611121318015E-2</v>
      </c>
    </row>
    <row r="1268" spans="1:5" x14ac:dyDescent="0.35">
      <c r="A1268" s="35">
        <v>45419</v>
      </c>
      <c r="B1268" s="36">
        <v>161.6</v>
      </c>
      <c r="C1268" s="36">
        <v>72761.2</v>
      </c>
      <c r="D1268" s="37">
        <f t="shared" si="38"/>
        <v>0</v>
      </c>
      <c r="E1268" s="37">
        <f t="shared" si="39"/>
        <v>-4.177876385444483E-5</v>
      </c>
    </row>
    <row r="1269" spans="1:5" x14ac:dyDescent="0.35">
      <c r="A1269" s="33">
        <v>45420</v>
      </c>
      <c r="B1269" s="34">
        <v>159</v>
      </c>
      <c r="C1269" s="34">
        <v>72601.820000000007</v>
      </c>
      <c r="D1269" s="37">
        <f t="shared" si="38"/>
        <v>-1.6089108910891055E-2</v>
      </c>
      <c r="E1269" s="37">
        <f t="shared" si="39"/>
        <v>-2.1904531536037081E-3</v>
      </c>
    </row>
    <row r="1270" spans="1:5" x14ac:dyDescent="0.35">
      <c r="A1270" s="35">
        <v>45421</v>
      </c>
      <c r="B1270" s="36">
        <v>159.18</v>
      </c>
      <c r="C1270" s="36">
        <v>72658.05</v>
      </c>
      <c r="D1270" s="37">
        <f t="shared" si="38"/>
        <v>1.1320754716981562E-3</v>
      </c>
      <c r="E1270" s="37">
        <f t="shared" si="39"/>
        <v>7.744984905336522E-4</v>
      </c>
    </row>
    <row r="1271" spans="1:5" x14ac:dyDescent="0.35">
      <c r="A1271" s="33">
        <v>45422</v>
      </c>
      <c r="B1271" s="34">
        <v>171.12</v>
      </c>
      <c r="C1271" s="34">
        <v>73085.5</v>
      </c>
      <c r="D1271" s="37">
        <f t="shared" si="38"/>
        <v>7.5009423294383704E-2</v>
      </c>
      <c r="E1271" s="37">
        <f t="shared" si="39"/>
        <v>5.8830370482004001E-3</v>
      </c>
    </row>
    <row r="1272" spans="1:5" x14ac:dyDescent="0.35">
      <c r="A1272" s="35">
        <v>45425</v>
      </c>
      <c r="B1272" s="36">
        <v>176.91</v>
      </c>
      <c r="C1272" s="36">
        <v>73799.11</v>
      </c>
      <c r="D1272" s="37">
        <f t="shared" si="38"/>
        <v>3.383590462833095E-2</v>
      </c>
      <c r="E1272" s="37">
        <f t="shared" si="39"/>
        <v>9.764043483317492E-3</v>
      </c>
    </row>
    <row r="1273" spans="1:5" x14ac:dyDescent="0.35">
      <c r="A1273" s="33">
        <v>45426</v>
      </c>
      <c r="B1273" s="34">
        <v>176.2</v>
      </c>
      <c r="C1273" s="34">
        <v>74531.19</v>
      </c>
      <c r="D1273" s="37">
        <f t="shared" si="38"/>
        <v>-4.0133401164434345E-3</v>
      </c>
      <c r="E1273" s="37">
        <f t="shared" si="39"/>
        <v>9.9199028280964607E-3</v>
      </c>
    </row>
    <row r="1274" spans="1:5" x14ac:dyDescent="0.35">
      <c r="A1274" s="35">
        <v>45427</v>
      </c>
      <c r="B1274" s="36">
        <v>177.66</v>
      </c>
      <c r="C1274" s="36">
        <v>74663.98</v>
      </c>
      <c r="D1274" s="37">
        <f t="shared" si="38"/>
        <v>8.2860385925085586E-3</v>
      </c>
      <c r="E1274" s="37">
        <f t="shared" si="39"/>
        <v>1.7816701974031756E-3</v>
      </c>
    </row>
    <row r="1275" spans="1:5" x14ac:dyDescent="0.35">
      <c r="A1275" s="33">
        <v>45428</v>
      </c>
      <c r="B1275" s="34">
        <v>176</v>
      </c>
      <c r="C1275" s="34">
        <v>74930.7</v>
      </c>
      <c r="D1275" s="37">
        <f t="shared" si="38"/>
        <v>-9.3436901947540063E-3</v>
      </c>
      <c r="E1275" s="37">
        <f t="shared" si="39"/>
        <v>3.5722713951225368E-3</v>
      </c>
    </row>
    <row r="1276" spans="1:5" x14ac:dyDescent="0.35">
      <c r="A1276" s="35">
        <v>45429</v>
      </c>
      <c r="B1276" s="36">
        <v>179.8</v>
      </c>
      <c r="C1276" s="36">
        <v>75342.350000000006</v>
      </c>
      <c r="D1276" s="37">
        <f t="shared" si="38"/>
        <v>2.1590909090909157E-2</v>
      </c>
      <c r="E1276" s="37">
        <f t="shared" si="39"/>
        <v>5.4937428850926088E-3</v>
      </c>
    </row>
    <row r="1277" spans="1:5" x14ac:dyDescent="0.35">
      <c r="A1277" s="33">
        <v>45432</v>
      </c>
      <c r="B1277" s="34">
        <v>180.66</v>
      </c>
      <c r="C1277" s="34">
        <v>75084</v>
      </c>
      <c r="D1277" s="37">
        <f t="shared" si="38"/>
        <v>4.7830923248052565E-3</v>
      </c>
      <c r="E1277" s="37">
        <f t="shared" si="39"/>
        <v>-3.429014359122138E-3</v>
      </c>
    </row>
    <row r="1278" spans="1:5" x14ac:dyDescent="0.35">
      <c r="A1278" s="35">
        <v>45433</v>
      </c>
      <c r="B1278" s="36">
        <v>182.98</v>
      </c>
      <c r="C1278" s="36">
        <v>75206.77</v>
      </c>
      <c r="D1278" s="37">
        <f t="shared" si="38"/>
        <v>1.2841802280526919E-2</v>
      </c>
      <c r="E1278" s="37">
        <f t="shared" si="39"/>
        <v>1.635102019072027E-3</v>
      </c>
    </row>
    <row r="1279" spans="1:5" x14ac:dyDescent="0.35">
      <c r="A1279" s="33">
        <v>45434</v>
      </c>
      <c r="B1279" s="34">
        <v>177.31</v>
      </c>
      <c r="C1279" s="34">
        <v>74956.67</v>
      </c>
      <c r="D1279" s="37">
        <f t="shared" si="38"/>
        <v>-3.0986993114001462E-2</v>
      </c>
      <c r="E1279" s="37">
        <f t="shared" si="39"/>
        <v>-3.3254984890323811E-3</v>
      </c>
    </row>
    <row r="1280" spans="1:5" x14ac:dyDescent="0.35">
      <c r="A1280" s="35">
        <v>45435</v>
      </c>
      <c r="B1280" s="36">
        <v>178</v>
      </c>
      <c r="C1280" s="36">
        <v>75114.47</v>
      </c>
      <c r="D1280" s="37">
        <f t="shared" si="38"/>
        <v>3.8914894816987067E-3</v>
      </c>
      <c r="E1280" s="37">
        <f t="shared" si="39"/>
        <v>2.1052162536036208E-3</v>
      </c>
    </row>
    <row r="1281" spans="1:5" x14ac:dyDescent="0.35">
      <c r="A1281" s="33">
        <v>45436</v>
      </c>
      <c r="B1281" s="34">
        <v>178</v>
      </c>
      <c r="C1281" s="34">
        <v>75983.039999999994</v>
      </c>
      <c r="D1281" s="37">
        <f t="shared" si="38"/>
        <v>0</v>
      </c>
      <c r="E1281" s="37">
        <f t="shared" si="39"/>
        <v>1.1563284677372981E-2</v>
      </c>
    </row>
    <row r="1282" spans="1:5" x14ac:dyDescent="0.35">
      <c r="A1282" s="35">
        <v>45439</v>
      </c>
      <c r="B1282" s="36">
        <v>175.47</v>
      </c>
      <c r="C1282" s="36">
        <v>75517.490000000005</v>
      </c>
      <c r="D1282" s="37">
        <f t="shared" si="38"/>
        <v>-1.4213483146067423E-2</v>
      </c>
      <c r="E1282" s="37">
        <f t="shared" si="39"/>
        <v>-6.1270251887788167E-3</v>
      </c>
    </row>
    <row r="1283" spans="1:5" x14ac:dyDescent="0.35">
      <c r="A1283" s="33">
        <v>45441</v>
      </c>
      <c r="B1283" s="34">
        <v>184.07</v>
      </c>
      <c r="C1283" s="34">
        <v>74836.3</v>
      </c>
      <c r="D1283" s="37">
        <f t="shared" si="38"/>
        <v>4.9011226990368695E-2</v>
      </c>
      <c r="E1283" s="37">
        <f t="shared" si="39"/>
        <v>-9.0202945039619606E-3</v>
      </c>
    </row>
    <row r="1284" spans="1:5" x14ac:dyDescent="0.35">
      <c r="A1284" s="35">
        <v>45442</v>
      </c>
      <c r="B1284" s="36">
        <v>182.76</v>
      </c>
      <c r="C1284" s="36">
        <v>74878.12</v>
      </c>
      <c r="D1284" s="37">
        <f t="shared" si="38"/>
        <v>-7.1168577171728271E-3</v>
      </c>
      <c r="E1284" s="37">
        <f t="shared" si="39"/>
        <v>5.5881971716924045E-4</v>
      </c>
    </row>
    <row r="1285" spans="1:5" x14ac:dyDescent="0.35">
      <c r="A1285" s="33">
        <v>45443</v>
      </c>
      <c r="B1285" s="34">
        <v>183.45</v>
      </c>
      <c r="C1285" s="34">
        <v>75878.48</v>
      </c>
      <c r="D1285" s="37">
        <f t="shared" ref="D1285:D1348" si="40">(B1285-B1284)/B1284</f>
        <v>3.7754432042022201E-3</v>
      </c>
      <c r="E1285" s="37">
        <f t="shared" ref="E1285:E1348" si="41">(C1285-C1284)/C1284</f>
        <v>1.3359843970441574E-2</v>
      </c>
    </row>
    <row r="1286" spans="1:5" x14ac:dyDescent="0.35">
      <c r="A1286" s="35">
        <v>45446</v>
      </c>
      <c r="B1286" s="36">
        <v>181.6</v>
      </c>
      <c r="C1286" s="36">
        <v>75575.259999999995</v>
      </c>
      <c r="D1286" s="37">
        <f t="shared" si="40"/>
        <v>-1.0084491687108173E-2</v>
      </c>
      <c r="E1286" s="37">
        <f t="shared" si="41"/>
        <v>-3.996126437957128E-3</v>
      </c>
    </row>
    <row r="1287" spans="1:5" x14ac:dyDescent="0.35">
      <c r="A1287" s="33">
        <v>45447</v>
      </c>
      <c r="B1287" s="34">
        <v>182.97</v>
      </c>
      <c r="C1287" s="34">
        <v>74666.66</v>
      </c>
      <c r="D1287" s="37">
        <f t="shared" si="40"/>
        <v>7.5440528634361488E-3</v>
      </c>
      <c r="E1287" s="37">
        <f t="shared" si="41"/>
        <v>-1.2022452850310953E-2</v>
      </c>
    </row>
    <row r="1288" spans="1:5" x14ac:dyDescent="0.35">
      <c r="A1288" s="35">
        <v>45448</v>
      </c>
      <c r="B1288" s="36">
        <v>181.69</v>
      </c>
      <c r="C1288" s="36">
        <v>74219.44</v>
      </c>
      <c r="D1288" s="37">
        <f t="shared" si="40"/>
        <v>-6.9956823522981972E-3</v>
      </c>
      <c r="E1288" s="37">
        <f t="shared" si="41"/>
        <v>-5.9895541062102032E-3</v>
      </c>
    </row>
    <row r="1289" spans="1:5" x14ac:dyDescent="0.35">
      <c r="A1289" s="33">
        <v>45449</v>
      </c>
      <c r="B1289" s="34">
        <v>179.16</v>
      </c>
      <c r="C1289" s="34">
        <v>73862.929999999993</v>
      </c>
      <c r="D1289" s="37">
        <f t="shared" si="40"/>
        <v>-1.3924816995982173E-2</v>
      </c>
      <c r="E1289" s="37">
        <f t="shared" si="41"/>
        <v>-4.8034585008996204E-3</v>
      </c>
    </row>
    <row r="1290" spans="1:5" x14ac:dyDescent="0.35">
      <c r="A1290" s="35">
        <v>45450</v>
      </c>
      <c r="B1290" s="36">
        <v>176.9</v>
      </c>
      <c r="C1290" s="36">
        <v>73754.02</v>
      </c>
      <c r="D1290" s="37">
        <f t="shared" si="40"/>
        <v>-1.2614422862245987E-2</v>
      </c>
      <c r="E1290" s="37">
        <f t="shared" si="41"/>
        <v>-1.4744879467953539E-3</v>
      </c>
    </row>
    <row r="1291" spans="1:5" x14ac:dyDescent="0.35">
      <c r="A1291" s="33">
        <v>45453</v>
      </c>
      <c r="B1291" s="34">
        <v>180.02</v>
      </c>
      <c r="C1291" s="34">
        <v>73252.56</v>
      </c>
      <c r="D1291" s="37">
        <f t="shared" si="40"/>
        <v>1.7637083097795391E-2</v>
      </c>
      <c r="E1291" s="37">
        <f t="shared" si="41"/>
        <v>-6.7990870192567998E-3</v>
      </c>
    </row>
    <row r="1292" spans="1:5" x14ac:dyDescent="0.35">
      <c r="A1292" s="35">
        <v>45454</v>
      </c>
      <c r="B1292" s="36">
        <v>180.08</v>
      </c>
      <c r="C1292" s="36">
        <v>72589.490000000005</v>
      </c>
      <c r="D1292" s="37">
        <f t="shared" si="40"/>
        <v>3.3329630041107803E-4</v>
      </c>
      <c r="E1292" s="37">
        <f t="shared" si="41"/>
        <v>-9.0518338198691279E-3</v>
      </c>
    </row>
    <row r="1293" spans="1:5" x14ac:dyDescent="0.35">
      <c r="A1293" s="33">
        <v>45455</v>
      </c>
      <c r="B1293" s="34">
        <v>181.23</v>
      </c>
      <c r="C1293" s="34">
        <v>72797.429999999993</v>
      </c>
      <c r="D1293" s="37">
        <f t="shared" si="40"/>
        <v>6.3860506441580254E-3</v>
      </c>
      <c r="E1293" s="37">
        <f t="shared" si="41"/>
        <v>2.8646020243424737E-3</v>
      </c>
    </row>
    <row r="1294" spans="1:5" x14ac:dyDescent="0.35">
      <c r="A1294" s="35">
        <v>45456</v>
      </c>
      <c r="B1294" s="36">
        <v>183</v>
      </c>
      <c r="C1294" s="36">
        <v>76208.160000000003</v>
      </c>
      <c r="D1294" s="37">
        <f t="shared" si="40"/>
        <v>9.7665949346135324E-3</v>
      </c>
      <c r="E1294" s="37">
        <f t="shared" si="41"/>
        <v>4.6852340803789513E-2</v>
      </c>
    </row>
    <row r="1295" spans="1:5" x14ac:dyDescent="0.35">
      <c r="A1295" s="33">
        <v>45457</v>
      </c>
      <c r="B1295" s="34">
        <v>180.4</v>
      </c>
      <c r="C1295" s="34">
        <v>76706.77</v>
      </c>
      <c r="D1295" s="37">
        <f t="shared" si="40"/>
        <v>-1.4207650273224013E-2</v>
      </c>
      <c r="E1295" s="37">
        <f t="shared" si="41"/>
        <v>6.5427376805843439E-3</v>
      </c>
    </row>
    <row r="1296" spans="1:5" x14ac:dyDescent="0.35">
      <c r="A1296" s="35">
        <v>45463</v>
      </c>
      <c r="B1296" s="36">
        <v>182.46</v>
      </c>
      <c r="C1296" s="36">
        <v>78801.53</v>
      </c>
      <c r="D1296" s="37">
        <f t="shared" si="40"/>
        <v>1.1419068736141919E-2</v>
      </c>
      <c r="E1296" s="37">
        <f t="shared" si="41"/>
        <v>2.7308671711766701E-2</v>
      </c>
    </row>
    <row r="1297" spans="1:5" x14ac:dyDescent="0.35">
      <c r="A1297" s="33">
        <v>45464</v>
      </c>
      <c r="B1297" s="34">
        <v>181</v>
      </c>
      <c r="C1297" s="34">
        <v>78810.490000000005</v>
      </c>
      <c r="D1297" s="37">
        <f t="shared" si="40"/>
        <v>-8.0017538090540827E-3</v>
      </c>
      <c r="E1297" s="37">
        <f t="shared" si="41"/>
        <v>1.1370337606397239E-4</v>
      </c>
    </row>
    <row r="1298" spans="1:5" x14ac:dyDescent="0.35">
      <c r="A1298" s="35">
        <v>45467</v>
      </c>
      <c r="B1298" s="36">
        <v>182.74</v>
      </c>
      <c r="C1298" s="36">
        <v>78232.100000000006</v>
      </c>
      <c r="D1298" s="37">
        <f t="shared" si="40"/>
        <v>9.613259668508338E-3</v>
      </c>
      <c r="E1298" s="37">
        <f t="shared" si="41"/>
        <v>-7.3389976385123271E-3</v>
      </c>
    </row>
    <row r="1299" spans="1:5" x14ac:dyDescent="0.35">
      <c r="A1299" s="33">
        <v>45468</v>
      </c>
      <c r="B1299" s="34">
        <v>182.69</v>
      </c>
      <c r="C1299" s="34">
        <v>77940.58</v>
      </c>
      <c r="D1299" s="37">
        <f t="shared" si="40"/>
        <v>-2.7361278318929278E-4</v>
      </c>
      <c r="E1299" s="37">
        <f t="shared" si="41"/>
        <v>-3.7263476245684834E-3</v>
      </c>
    </row>
    <row r="1300" spans="1:5" x14ac:dyDescent="0.35">
      <c r="A1300" s="35">
        <v>45469</v>
      </c>
      <c r="B1300" s="36">
        <v>184.28</v>
      </c>
      <c r="C1300" s="36">
        <v>78275.649999999994</v>
      </c>
      <c r="D1300" s="37">
        <f t="shared" si="40"/>
        <v>8.7032678307515654E-3</v>
      </c>
      <c r="E1300" s="37">
        <f t="shared" si="41"/>
        <v>4.2990442206100139E-3</v>
      </c>
    </row>
    <row r="1301" spans="1:5" x14ac:dyDescent="0.35">
      <c r="A1301" s="33">
        <v>45470</v>
      </c>
      <c r="B1301" s="34">
        <v>184.95</v>
      </c>
      <c r="C1301" s="34">
        <v>78528.25</v>
      </c>
      <c r="D1301" s="37">
        <f t="shared" si="40"/>
        <v>3.6357716518340974E-3</v>
      </c>
      <c r="E1301" s="37">
        <f t="shared" si="41"/>
        <v>3.2270572010581304E-3</v>
      </c>
    </row>
    <row r="1302" spans="1:5" x14ac:dyDescent="0.35">
      <c r="A1302" s="35">
        <v>45471</v>
      </c>
      <c r="B1302" s="36">
        <v>185.9</v>
      </c>
      <c r="C1302" s="36">
        <v>78444.960000000006</v>
      </c>
      <c r="D1302" s="37">
        <f t="shared" si="40"/>
        <v>5.1365233846986597E-3</v>
      </c>
      <c r="E1302" s="37">
        <f t="shared" si="41"/>
        <v>-1.0606374139242069E-3</v>
      </c>
    </row>
    <row r="1303" spans="1:5" x14ac:dyDescent="0.35">
      <c r="A1303" s="33">
        <v>45474</v>
      </c>
      <c r="B1303" s="34">
        <v>182.78</v>
      </c>
      <c r="C1303" s="34">
        <v>78824.33</v>
      </c>
      <c r="D1303" s="37">
        <f t="shared" si="40"/>
        <v>-1.6783216783216807E-2</v>
      </c>
      <c r="E1303" s="37">
        <f t="shared" si="41"/>
        <v>4.8361296888926363E-3</v>
      </c>
    </row>
    <row r="1304" spans="1:5" x14ac:dyDescent="0.35">
      <c r="A1304" s="35">
        <v>45475</v>
      </c>
      <c r="B1304" s="36">
        <v>184.72</v>
      </c>
      <c r="C1304" s="36">
        <v>79552.89</v>
      </c>
      <c r="D1304" s="37">
        <f t="shared" si="40"/>
        <v>1.0613852719115864E-2</v>
      </c>
      <c r="E1304" s="37">
        <f t="shared" si="41"/>
        <v>9.2428314963158929E-3</v>
      </c>
    </row>
    <row r="1305" spans="1:5" x14ac:dyDescent="0.35">
      <c r="A1305" s="33">
        <v>45476</v>
      </c>
      <c r="B1305" s="34">
        <v>184.44</v>
      </c>
      <c r="C1305" s="34">
        <v>80233.67</v>
      </c>
      <c r="D1305" s="37">
        <f t="shared" si="40"/>
        <v>-1.5158077089649261E-3</v>
      </c>
      <c r="E1305" s="37">
        <f t="shared" si="41"/>
        <v>8.5575772294381614E-3</v>
      </c>
    </row>
    <row r="1306" spans="1:5" x14ac:dyDescent="0.35">
      <c r="A1306" s="35">
        <v>45477</v>
      </c>
      <c r="B1306" s="36">
        <v>184</v>
      </c>
      <c r="C1306" s="36">
        <v>80282.8</v>
      </c>
      <c r="D1306" s="37">
        <f t="shared" si="40"/>
        <v>-2.3855996530036745E-3</v>
      </c>
      <c r="E1306" s="37">
        <f t="shared" si="41"/>
        <v>6.123364417956284E-4</v>
      </c>
    </row>
    <row r="1307" spans="1:5" x14ac:dyDescent="0.35">
      <c r="A1307" s="33">
        <v>45478</v>
      </c>
      <c r="B1307" s="34">
        <v>184.5</v>
      </c>
      <c r="C1307" s="34">
        <v>80212.789999999994</v>
      </c>
      <c r="D1307" s="37">
        <f t="shared" si="40"/>
        <v>2.717391304347826E-3</v>
      </c>
      <c r="E1307" s="37">
        <f t="shared" si="41"/>
        <v>-8.7204233036228566E-4</v>
      </c>
    </row>
    <row r="1308" spans="1:5" x14ac:dyDescent="0.35">
      <c r="A1308" s="35">
        <v>45481</v>
      </c>
      <c r="B1308" s="36">
        <v>184.96</v>
      </c>
      <c r="C1308" s="36">
        <v>80566.210000000006</v>
      </c>
      <c r="D1308" s="37">
        <f t="shared" si="40"/>
        <v>2.4932249322493654E-3</v>
      </c>
      <c r="E1308" s="37">
        <f t="shared" si="41"/>
        <v>4.4060305095984425E-3</v>
      </c>
    </row>
    <row r="1309" spans="1:5" x14ac:dyDescent="0.35">
      <c r="A1309" s="33">
        <v>45482</v>
      </c>
      <c r="B1309" s="34">
        <v>184.23</v>
      </c>
      <c r="C1309" s="34">
        <v>80672.06</v>
      </c>
      <c r="D1309" s="37">
        <f t="shared" si="40"/>
        <v>-3.9467993079585753E-3</v>
      </c>
      <c r="E1309" s="37">
        <f t="shared" si="41"/>
        <v>1.3138262306243681E-3</v>
      </c>
    </row>
    <row r="1310" spans="1:5" x14ac:dyDescent="0.35">
      <c r="A1310" s="35">
        <v>45483</v>
      </c>
      <c r="B1310" s="36">
        <v>183.6</v>
      </c>
      <c r="C1310" s="36">
        <v>79841.56</v>
      </c>
      <c r="D1310" s="37">
        <f t="shared" si="40"/>
        <v>-3.4196384953590377E-3</v>
      </c>
      <c r="E1310" s="37">
        <f t="shared" si="41"/>
        <v>-1.0294766242488415E-2</v>
      </c>
    </row>
    <row r="1311" spans="1:5" x14ac:dyDescent="0.35">
      <c r="A1311" s="33">
        <v>45484</v>
      </c>
      <c r="B1311" s="34">
        <v>183.6</v>
      </c>
      <c r="C1311" s="34">
        <v>79992.350000000006</v>
      </c>
      <c r="D1311" s="37">
        <f t="shared" si="40"/>
        <v>0</v>
      </c>
      <c r="E1311" s="37">
        <f t="shared" si="41"/>
        <v>1.888615402805358E-3</v>
      </c>
    </row>
    <row r="1312" spans="1:5" x14ac:dyDescent="0.35">
      <c r="A1312" s="35">
        <v>45485</v>
      </c>
      <c r="B1312" s="36">
        <v>184.2</v>
      </c>
      <c r="C1312" s="36">
        <v>79944.100000000006</v>
      </c>
      <c r="D1312" s="37">
        <f t="shared" si="40"/>
        <v>3.2679738562091196E-3</v>
      </c>
      <c r="E1312" s="37">
        <f t="shared" si="41"/>
        <v>-6.0318267934371221E-4</v>
      </c>
    </row>
    <row r="1313" spans="1:5" x14ac:dyDescent="0.35">
      <c r="A1313" s="33">
        <v>45488</v>
      </c>
      <c r="B1313" s="34">
        <v>185</v>
      </c>
      <c r="C1313" s="34">
        <v>81155.61</v>
      </c>
      <c r="D1313" s="37">
        <f t="shared" si="40"/>
        <v>4.3431053203040791E-3</v>
      </c>
      <c r="E1313" s="37">
        <f t="shared" si="41"/>
        <v>1.5154464181846999E-2</v>
      </c>
    </row>
    <row r="1314" spans="1:5" x14ac:dyDescent="0.35">
      <c r="A1314" s="35">
        <v>45491</v>
      </c>
      <c r="B1314" s="36">
        <v>185.77</v>
      </c>
      <c r="C1314" s="36">
        <v>81839.86</v>
      </c>
      <c r="D1314" s="37">
        <f t="shared" si="40"/>
        <v>4.1621621621622173E-3</v>
      </c>
      <c r="E1314" s="37">
        <f t="shared" si="41"/>
        <v>8.4313333360441743E-3</v>
      </c>
    </row>
    <row r="1315" spans="1:5" x14ac:dyDescent="0.35">
      <c r="A1315" s="33">
        <v>45492</v>
      </c>
      <c r="B1315" s="34">
        <v>185.2</v>
      </c>
      <c r="C1315" s="34">
        <v>80117.89</v>
      </c>
      <c r="D1315" s="37">
        <f t="shared" si="40"/>
        <v>-3.0683102761480409E-3</v>
      </c>
      <c r="E1315" s="37">
        <f t="shared" si="41"/>
        <v>-2.1040725142980464E-2</v>
      </c>
    </row>
    <row r="1316" spans="1:5" x14ac:dyDescent="0.35">
      <c r="A1316" s="35">
        <v>45495</v>
      </c>
      <c r="B1316" s="36">
        <v>181.02</v>
      </c>
      <c r="C1316" s="36">
        <v>78539.19</v>
      </c>
      <c r="D1316" s="37">
        <f t="shared" si="40"/>
        <v>-2.2570194384449131E-2</v>
      </c>
      <c r="E1316" s="37">
        <f t="shared" si="41"/>
        <v>-1.9704712642831673E-2</v>
      </c>
    </row>
    <row r="1317" spans="1:5" x14ac:dyDescent="0.35">
      <c r="A1317" s="33">
        <v>45496</v>
      </c>
      <c r="B1317" s="34">
        <v>193.27</v>
      </c>
      <c r="C1317" s="34">
        <v>78987.09</v>
      </c>
      <c r="D1317" s="37">
        <f t="shared" si="40"/>
        <v>6.7672080433101314E-2</v>
      </c>
      <c r="E1317" s="37">
        <f t="shared" si="41"/>
        <v>5.7028854002695237E-3</v>
      </c>
    </row>
    <row r="1318" spans="1:5" x14ac:dyDescent="0.35">
      <c r="A1318" s="35">
        <v>45497</v>
      </c>
      <c r="B1318" s="36">
        <v>198.73</v>
      </c>
      <c r="C1318" s="36">
        <v>79397.009999999995</v>
      </c>
      <c r="D1318" s="37">
        <f t="shared" si="40"/>
        <v>2.8250633828322963E-2</v>
      </c>
      <c r="E1318" s="37">
        <f t="shared" si="41"/>
        <v>5.1897088498892453E-3</v>
      </c>
    </row>
    <row r="1319" spans="1:5" x14ac:dyDescent="0.35">
      <c r="A1319" s="33">
        <v>45498</v>
      </c>
      <c r="B1319" s="34">
        <v>190.02</v>
      </c>
      <c r="C1319" s="34">
        <v>78469.33</v>
      </c>
      <c r="D1319" s="37">
        <f t="shared" si="40"/>
        <v>-4.3828309767020478E-2</v>
      </c>
      <c r="E1319" s="37">
        <f t="shared" si="41"/>
        <v>-1.1684067195981222E-2</v>
      </c>
    </row>
    <row r="1320" spans="1:5" x14ac:dyDescent="0.35">
      <c r="A1320" s="35">
        <v>45499</v>
      </c>
      <c r="B1320" s="36">
        <v>188.23</v>
      </c>
      <c r="C1320" s="36">
        <v>78029.509999999995</v>
      </c>
      <c r="D1320" s="37">
        <f t="shared" si="40"/>
        <v>-9.4200610462057705E-3</v>
      </c>
      <c r="E1320" s="37">
        <f t="shared" si="41"/>
        <v>-5.6049924218800765E-3</v>
      </c>
    </row>
    <row r="1321" spans="1:5" x14ac:dyDescent="0.35">
      <c r="A1321" s="33">
        <v>45502</v>
      </c>
      <c r="B1321" s="34">
        <v>189.58</v>
      </c>
      <c r="C1321" s="34">
        <v>78827.740000000005</v>
      </c>
      <c r="D1321" s="37">
        <f t="shared" si="40"/>
        <v>7.1720767146577213E-3</v>
      </c>
      <c r="E1321" s="37">
        <f t="shared" si="41"/>
        <v>1.0229847656354762E-2</v>
      </c>
    </row>
    <row r="1322" spans="1:5" x14ac:dyDescent="0.35">
      <c r="A1322" s="35">
        <v>45503</v>
      </c>
      <c r="B1322" s="36">
        <v>188.22</v>
      </c>
      <c r="C1322" s="36">
        <v>78628.81</v>
      </c>
      <c r="D1322" s="37">
        <f t="shared" si="40"/>
        <v>-7.1737525055386303E-3</v>
      </c>
      <c r="E1322" s="37">
        <f t="shared" si="41"/>
        <v>-2.5236040003177506E-3</v>
      </c>
    </row>
    <row r="1323" spans="1:5" x14ac:dyDescent="0.35">
      <c r="A1323" s="33">
        <v>45504</v>
      </c>
      <c r="B1323" s="34">
        <v>184.02</v>
      </c>
      <c r="C1323" s="34">
        <v>77886.990000000005</v>
      </c>
      <c r="D1323" s="37">
        <f t="shared" si="40"/>
        <v>-2.2314313037934273E-2</v>
      </c>
      <c r="E1323" s="37">
        <f t="shared" si="41"/>
        <v>-9.4344553860091791E-3</v>
      </c>
    </row>
    <row r="1324" spans="1:5" x14ac:dyDescent="0.35">
      <c r="A1324" s="35">
        <v>45505</v>
      </c>
      <c r="B1324" s="36">
        <v>182.06</v>
      </c>
      <c r="C1324" s="36">
        <v>77740.31</v>
      </c>
      <c r="D1324" s="37">
        <f t="shared" si="40"/>
        <v>-1.0651016193892011E-2</v>
      </c>
      <c r="E1324" s="37">
        <f t="shared" si="41"/>
        <v>-1.8832413474960011E-3</v>
      </c>
    </row>
    <row r="1325" spans="1:5" x14ac:dyDescent="0.35">
      <c r="A1325" s="33">
        <v>45506</v>
      </c>
      <c r="B1325" s="34">
        <v>183.4</v>
      </c>
      <c r="C1325" s="34">
        <v>78225.98</v>
      </c>
      <c r="D1325" s="37">
        <f t="shared" si="40"/>
        <v>7.3602109194771141E-3</v>
      </c>
      <c r="E1325" s="37">
        <f t="shared" si="41"/>
        <v>6.2473380926831691E-3</v>
      </c>
    </row>
    <row r="1326" spans="1:5" x14ac:dyDescent="0.35">
      <c r="A1326" s="35">
        <v>45509</v>
      </c>
      <c r="B1326" s="36">
        <v>187.8</v>
      </c>
      <c r="C1326" s="36">
        <v>77084.490000000005</v>
      </c>
      <c r="D1326" s="37">
        <f t="shared" si="40"/>
        <v>2.3991275899672877E-2</v>
      </c>
      <c r="E1326" s="37">
        <f t="shared" si="41"/>
        <v>-1.4592210925321623E-2</v>
      </c>
    </row>
    <row r="1327" spans="1:5" x14ac:dyDescent="0.35">
      <c r="A1327" s="33">
        <v>45510</v>
      </c>
      <c r="B1327" s="34">
        <v>186.95</v>
      </c>
      <c r="C1327" s="34">
        <v>77191.34</v>
      </c>
      <c r="D1327" s="37">
        <f t="shared" si="40"/>
        <v>-4.5260915867945829E-3</v>
      </c>
      <c r="E1327" s="37">
        <f t="shared" si="41"/>
        <v>1.3861413625489546E-3</v>
      </c>
    </row>
    <row r="1328" spans="1:5" x14ac:dyDescent="0.35">
      <c r="A1328" s="35">
        <v>45511</v>
      </c>
      <c r="B1328" s="36">
        <v>185.51</v>
      </c>
      <c r="C1328" s="36">
        <v>77114.490000000005</v>
      </c>
      <c r="D1328" s="37">
        <f t="shared" si="40"/>
        <v>-7.7025942765445192E-3</v>
      </c>
      <c r="E1328" s="37">
        <f t="shared" si="41"/>
        <v>-9.9557800136636145E-4</v>
      </c>
    </row>
    <row r="1329" spans="1:5" x14ac:dyDescent="0.35">
      <c r="A1329" s="33">
        <v>45512</v>
      </c>
      <c r="B1329" s="34">
        <v>185.9</v>
      </c>
      <c r="C1329" s="34">
        <v>77874.22</v>
      </c>
      <c r="D1329" s="37">
        <f t="shared" si="40"/>
        <v>2.1023125437982576E-3</v>
      </c>
      <c r="E1329" s="37">
        <f t="shared" si="41"/>
        <v>9.8519746418603803E-3</v>
      </c>
    </row>
    <row r="1330" spans="1:5" x14ac:dyDescent="0.35">
      <c r="A1330" s="35">
        <v>45513</v>
      </c>
      <c r="B1330" s="36">
        <v>186</v>
      </c>
      <c r="C1330" s="36">
        <v>78569.59</v>
      </c>
      <c r="D1330" s="37">
        <f t="shared" si="40"/>
        <v>5.3792361484666115E-4</v>
      </c>
      <c r="E1330" s="37">
        <f t="shared" si="41"/>
        <v>8.9293992286535312E-3</v>
      </c>
    </row>
    <row r="1331" spans="1:5" x14ac:dyDescent="0.35">
      <c r="A1331" s="33">
        <v>45516</v>
      </c>
      <c r="B1331" s="34">
        <v>185.08</v>
      </c>
      <c r="C1331" s="34">
        <v>77980.289999999994</v>
      </c>
      <c r="D1331" s="37">
        <f t="shared" si="40"/>
        <v>-4.9462365591397177E-3</v>
      </c>
      <c r="E1331" s="37">
        <f t="shared" si="41"/>
        <v>-7.5003573265432968E-3</v>
      </c>
    </row>
    <row r="1332" spans="1:5" x14ac:dyDescent="0.35">
      <c r="A1332" s="35">
        <v>45517</v>
      </c>
      <c r="B1332" s="36">
        <v>183.36</v>
      </c>
      <c r="C1332" s="36">
        <v>77877.42</v>
      </c>
      <c r="D1332" s="37">
        <f t="shared" si="40"/>
        <v>-9.2932785822347017E-3</v>
      </c>
      <c r="E1332" s="37">
        <f t="shared" si="41"/>
        <v>-1.3191795003583001E-3</v>
      </c>
    </row>
    <row r="1333" spans="1:5" x14ac:dyDescent="0.35">
      <c r="A1333" s="33">
        <v>45519</v>
      </c>
      <c r="B1333" s="34">
        <v>182.01</v>
      </c>
      <c r="C1333" s="34">
        <v>78105.98</v>
      </c>
      <c r="D1333" s="37">
        <f t="shared" si="40"/>
        <v>-7.3625654450263011E-3</v>
      </c>
      <c r="E1333" s="37">
        <f t="shared" si="41"/>
        <v>2.9348686692496706E-3</v>
      </c>
    </row>
    <row r="1334" spans="1:5" x14ac:dyDescent="0.35">
      <c r="A1334" s="35">
        <v>45520</v>
      </c>
      <c r="B1334" s="36">
        <v>182.73</v>
      </c>
      <c r="C1334" s="36">
        <v>78045.31</v>
      </c>
      <c r="D1334" s="37">
        <f t="shared" si="40"/>
        <v>3.9558266029338989E-3</v>
      </c>
      <c r="E1334" s="37">
        <f t="shared" si="41"/>
        <v>-7.7676510812614162E-4</v>
      </c>
    </row>
    <row r="1335" spans="1:5" x14ac:dyDescent="0.35">
      <c r="A1335" s="33">
        <v>45523</v>
      </c>
      <c r="B1335" s="34">
        <v>184.73</v>
      </c>
      <c r="C1335" s="34">
        <v>77830.34</v>
      </c>
      <c r="D1335" s="37">
        <f t="shared" si="40"/>
        <v>1.094511027198599E-2</v>
      </c>
      <c r="E1335" s="37">
        <f t="shared" si="41"/>
        <v>-2.7544256022559352E-3</v>
      </c>
    </row>
    <row r="1336" spans="1:5" x14ac:dyDescent="0.35">
      <c r="A1336" s="35">
        <v>45524</v>
      </c>
      <c r="B1336" s="36">
        <v>185.03</v>
      </c>
      <c r="C1336" s="36">
        <v>77745.52</v>
      </c>
      <c r="D1336" s="37">
        <f t="shared" si="40"/>
        <v>1.6239917717750846E-3</v>
      </c>
      <c r="E1336" s="37">
        <f t="shared" si="41"/>
        <v>-1.0898063660006168E-3</v>
      </c>
    </row>
    <row r="1337" spans="1:5" x14ac:dyDescent="0.35">
      <c r="A1337" s="33">
        <v>45525</v>
      </c>
      <c r="B1337" s="34">
        <v>180.82</v>
      </c>
      <c r="C1337" s="34">
        <v>78260.86</v>
      </c>
      <c r="D1337" s="37">
        <f t="shared" si="40"/>
        <v>-2.2753067070204875E-2</v>
      </c>
      <c r="E1337" s="37">
        <f t="shared" si="41"/>
        <v>6.6285491434104043E-3</v>
      </c>
    </row>
    <row r="1338" spans="1:5" x14ac:dyDescent="0.35">
      <c r="A1338" s="35">
        <v>45526</v>
      </c>
      <c r="B1338" s="36">
        <v>184.23</v>
      </c>
      <c r="C1338" s="36">
        <v>78793.41</v>
      </c>
      <c r="D1338" s="37">
        <f t="shared" si="40"/>
        <v>1.8858533348080946E-2</v>
      </c>
      <c r="E1338" s="37">
        <f t="shared" si="41"/>
        <v>6.8048063872541515E-3</v>
      </c>
    </row>
    <row r="1339" spans="1:5" x14ac:dyDescent="0.35">
      <c r="A1339" s="33">
        <v>45527</v>
      </c>
      <c r="B1339" s="34">
        <v>199.41</v>
      </c>
      <c r="C1339" s="34">
        <v>78801.429999999993</v>
      </c>
      <c r="D1339" s="37">
        <f t="shared" si="40"/>
        <v>8.2397003745318387E-2</v>
      </c>
      <c r="E1339" s="37">
        <f t="shared" si="41"/>
        <v>1.0178516198232216E-4</v>
      </c>
    </row>
    <row r="1340" spans="1:5" x14ac:dyDescent="0.35">
      <c r="A1340" s="35">
        <v>45530</v>
      </c>
      <c r="B1340" s="36">
        <v>199.92</v>
      </c>
      <c r="C1340" s="36">
        <v>78571.06</v>
      </c>
      <c r="D1340" s="37">
        <f t="shared" si="40"/>
        <v>2.5575447570332023E-3</v>
      </c>
      <c r="E1340" s="37">
        <f t="shared" si="41"/>
        <v>-2.9234241053746786E-3</v>
      </c>
    </row>
    <row r="1341" spans="1:5" x14ac:dyDescent="0.35">
      <c r="A1341" s="33">
        <v>45531</v>
      </c>
      <c r="B1341" s="34">
        <v>196.4</v>
      </c>
      <c r="C1341" s="34">
        <v>78084.240000000005</v>
      </c>
      <c r="D1341" s="37">
        <f t="shared" si="40"/>
        <v>-1.7607042817126762E-2</v>
      </c>
      <c r="E1341" s="37">
        <f t="shared" si="41"/>
        <v>-6.1959199735881435E-3</v>
      </c>
    </row>
    <row r="1342" spans="1:5" x14ac:dyDescent="0.35">
      <c r="A1342" s="35">
        <v>45532</v>
      </c>
      <c r="B1342" s="36">
        <v>197.43</v>
      </c>
      <c r="C1342" s="36">
        <v>77992.789999999994</v>
      </c>
      <c r="D1342" s="37">
        <f t="shared" si="40"/>
        <v>5.2443991853360549E-3</v>
      </c>
      <c r="E1342" s="37">
        <f t="shared" si="41"/>
        <v>-1.1711710327207082E-3</v>
      </c>
    </row>
    <row r="1343" spans="1:5" x14ac:dyDescent="0.35">
      <c r="A1343" s="33">
        <v>45533</v>
      </c>
      <c r="B1343" s="34">
        <v>196.12</v>
      </c>
      <c r="C1343" s="34">
        <v>78349.66</v>
      </c>
      <c r="D1343" s="37">
        <f t="shared" si="40"/>
        <v>-6.6352631312363991E-3</v>
      </c>
      <c r="E1343" s="37">
        <f t="shared" si="41"/>
        <v>4.5756793672852318E-3</v>
      </c>
    </row>
    <row r="1344" spans="1:5" x14ac:dyDescent="0.35">
      <c r="A1344" s="35">
        <v>45534</v>
      </c>
      <c r="B1344" s="36">
        <v>200.42</v>
      </c>
      <c r="C1344" s="36">
        <v>78488.22</v>
      </c>
      <c r="D1344" s="37">
        <f t="shared" si="40"/>
        <v>2.1925351825412925E-2</v>
      </c>
      <c r="E1344" s="37">
        <f t="shared" si="41"/>
        <v>1.7684824669309052E-3</v>
      </c>
    </row>
    <row r="1345" spans="1:5" x14ac:dyDescent="0.35">
      <c r="A1345" s="33">
        <v>45537</v>
      </c>
      <c r="B1345" s="34">
        <v>200.09</v>
      </c>
      <c r="C1345" s="34">
        <v>78283.3</v>
      </c>
      <c r="D1345" s="37">
        <f t="shared" si="40"/>
        <v>-1.6465422612512927E-3</v>
      </c>
      <c r="E1345" s="37">
        <f t="shared" si="41"/>
        <v>-2.6108376518157532E-3</v>
      </c>
    </row>
    <row r="1346" spans="1:5" x14ac:dyDescent="0.35">
      <c r="A1346" s="35">
        <v>45538</v>
      </c>
      <c r="B1346" s="36">
        <v>202.54</v>
      </c>
      <c r="C1346" s="36">
        <v>78356.320000000007</v>
      </c>
      <c r="D1346" s="37">
        <f t="shared" si="40"/>
        <v>1.2244489979509164E-2</v>
      </c>
      <c r="E1346" s="37">
        <f t="shared" si="41"/>
        <v>9.3276599223594391E-4</v>
      </c>
    </row>
    <row r="1347" spans="1:5" x14ac:dyDescent="0.35">
      <c r="A1347" s="33">
        <v>45539</v>
      </c>
      <c r="B1347" s="34">
        <v>202.9</v>
      </c>
      <c r="C1347" s="34">
        <v>78848.009999999995</v>
      </c>
      <c r="D1347" s="37">
        <f t="shared" si="40"/>
        <v>1.7774266811494701E-3</v>
      </c>
      <c r="E1347" s="37">
        <f t="shared" si="41"/>
        <v>6.2750522229730512E-3</v>
      </c>
    </row>
    <row r="1348" spans="1:5" x14ac:dyDescent="0.35">
      <c r="A1348" s="35">
        <v>45540</v>
      </c>
      <c r="B1348" s="36">
        <v>201.48</v>
      </c>
      <c r="C1348" s="36">
        <v>78863.34</v>
      </c>
      <c r="D1348" s="37">
        <f t="shared" si="40"/>
        <v>-6.9985214391326562E-3</v>
      </c>
      <c r="E1348" s="37">
        <f t="shared" si="41"/>
        <v>1.9442469125094909E-4</v>
      </c>
    </row>
    <row r="1349" spans="1:5" x14ac:dyDescent="0.35">
      <c r="A1349" s="33">
        <v>45541</v>
      </c>
      <c r="B1349" s="34">
        <v>203</v>
      </c>
      <c r="C1349" s="34">
        <v>78897.73</v>
      </c>
      <c r="D1349" s="37">
        <f t="shared" ref="D1349:D1412" si="42">(B1349-B1348)/B1348</f>
        <v>7.5441731189200435E-3</v>
      </c>
      <c r="E1349" s="37">
        <f t="shared" ref="E1349:E1412" si="43">(C1349-C1348)/C1348</f>
        <v>4.3607080298652606E-4</v>
      </c>
    </row>
    <row r="1350" spans="1:5" x14ac:dyDescent="0.35">
      <c r="A1350" s="35">
        <v>45544</v>
      </c>
      <c r="B1350" s="36">
        <v>203.8</v>
      </c>
      <c r="C1350" s="36">
        <v>78615</v>
      </c>
      <c r="D1350" s="37">
        <f t="shared" si="42"/>
        <v>3.9408866995074452E-3</v>
      </c>
      <c r="E1350" s="37">
        <f t="shared" si="43"/>
        <v>-3.5834998041134507E-3</v>
      </c>
    </row>
    <row r="1351" spans="1:5" x14ac:dyDescent="0.35">
      <c r="A1351" s="33">
        <v>45545</v>
      </c>
      <c r="B1351" s="34">
        <v>203.8</v>
      </c>
      <c r="C1351" s="34">
        <v>79286.740000000005</v>
      </c>
      <c r="D1351" s="37">
        <f t="shared" si="42"/>
        <v>0</v>
      </c>
      <c r="E1351" s="37">
        <f t="shared" si="43"/>
        <v>8.5446797684920854E-3</v>
      </c>
    </row>
    <row r="1352" spans="1:5" x14ac:dyDescent="0.35">
      <c r="A1352" s="35">
        <v>45546</v>
      </c>
      <c r="B1352" s="36">
        <v>203.29</v>
      </c>
      <c r="C1352" s="36">
        <v>78651.8</v>
      </c>
      <c r="D1352" s="37">
        <f t="shared" si="42"/>
        <v>-2.5024533856723222E-3</v>
      </c>
      <c r="E1352" s="37">
        <f t="shared" si="43"/>
        <v>-8.0081486513381966E-3</v>
      </c>
    </row>
    <row r="1353" spans="1:5" x14ac:dyDescent="0.35">
      <c r="A1353" s="33">
        <v>45547</v>
      </c>
      <c r="B1353" s="34">
        <v>203.47</v>
      </c>
      <c r="C1353" s="34">
        <v>79017.62</v>
      </c>
      <c r="D1353" s="37">
        <f t="shared" si="42"/>
        <v>8.8543460081660105E-4</v>
      </c>
      <c r="E1353" s="37">
        <f t="shared" si="43"/>
        <v>4.6511332226343511E-3</v>
      </c>
    </row>
    <row r="1354" spans="1:5" x14ac:dyDescent="0.35">
      <c r="A1354" s="35">
        <v>45548</v>
      </c>
      <c r="B1354" s="36">
        <v>205.99</v>
      </c>
      <c r="C1354" s="36">
        <v>79333.06</v>
      </c>
      <c r="D1354" s="37">
        <f t="shared" si="42"/>
        <v>1.2385118199243181E-2</v>
      </c>
      <c r="E1354" s="37">
        <f t="shared" si="43"/>
        <v>3.9920210201218713E-3</v>
      </c>
    </row>
    <row r="1355" spans="1:5" x14ac:dyDescent="0.35">
      <c r="A1355" s="33">
        <v>45551</v>
      </c>
      <c r="B1355" s="34">
        <v>209.12</v>
      </c>
      <c r="C1355" s="34">
        <v>79491.14</v>
      </c>
      <c r="D1355" s="37">
        <f t="shared" si="42"/>
        <v>1.5194912374387083E-2</v>
      </c>
      <c r="E1355" s="37">
        <f t="shared" si="43"/>
        <v>1.9926119073183581E-3</v>
      </c>
    </row>
    <row r="1356" spans="1:5" x14ac:dyDescent="0.35">
      <c r="A1356" s="35">
        <v>45553</v>
      </c>
      <c r="B1356" s="36">
        <v>203.04</v>
      </c>
      <c r="C1356" s="36">
        <v>80461.34</v>
      </c>
      <c r="D1356" s="37">
        <f t="shared" si="42"/>
        <v>-2.9074215761285445E-2</v>
      </c>
      <c r="E1356" s="37">
        <f t="shared" si="43"/>
        <v>1.2205133804849158E-2</v>
      </c>
    </row>
    <row r="1357" spans="1:5" x14ac:dyDescent="0.35">
      <c r="A1357" s="33">
        <v>45554</v>
      </c>
      <c r="B1357" s="34">
        <v>215.18</v>
      </c>
      <c r="C1357" s="34">
        <v>81459.289999999994</v>
      </c>
      <c r="D1357" s="37">
        <f t="shared" si="42"/>
        <v>5.9791174152876353E-2</v>
      </c>
      <c r="E1357" s="37">
        <f t="shared" si="43"/>
        <v>1.2402850859804188E-2</v>
      </c>
    </row>
    <row r="1358" spans="1:5" x14ac:dyDescent="0.35">
      <c r="A1358" s="35">
        <v>45555</v>
      </c>
      <c r="B1358" s="36">
        <v>211.04</v>
      </c>
      <c r="C1358" s="36">
        <v>82074.45</v>
      </c>
      <c r="D1358" s="37">
        <f t="shared" si="42"/>
        <v>-1.9239706292406424E-2</v>
      </c>
      <c r="E1358" s="37">
        <f t="shared" si="43"/>
        <v>7.5517476275573179E-3</v>
      </c>
    </row>
    <row r="1359" spans="1:5" x14ac:dyDescent="0.35">
      <c r="A1359" s="33">
        <v>45558</v>
      </c>
      <c r="B1359" s="34">
        <v>203.59</v>
      </c>
      <c r="C1359" s="34">
        <v>81850.5</v>
      </c>
      <c r="D1359" s="37">
        <f t="shared" si="42"/>
        <v>-3.530136467020465E-2</v>
      </c>
      <c r="E1359" s="37">
        <f t="shared" si="43"/>
        <v>-2.7286201735131589E-3</v>
      </c>
    </row>
    <row r="1360" spans="1:5" x14ac:dyDescent="0.35">
      <c r="A1360" s="35">
        <v>45559</v>
      </c>
      <c r="B1360" s="36">
        <v>201.78</v>
      </c>
      <c r="C1360" s="36">
        <v>81483.64</v>
      </c>
      <c r="D1360" s="37">
        <f t="shared" si="42"/>
        <v>-8.890417014588153E-3</v>
      </c>
      <c r="E1360" s="37">
        <f t="shared" si="43"/>
        <v>-4.4820740252044956E-3</v>
      </c>
    </row>
    <row r="1361" spans="1:5" x14ac:dyDescent="0.35">
      <c r="A1361" s="33">
        <v>45560</v>
      </c>
      <c r="B1361" s="34">
        <v>205.62</v>
      </c>
      <c r="C1361" s="34">
        <v>82247.92</v>
      </c>
      <c r="D1361" s="37">
        <f t="shared" si="42"/>
        <v>1.9030627415997637E-2</v>
      </c>
      <c r="E1361" s="37">
        <f t="shared" si="43"/>
        <v>9.3795515271531665E-3</v>
      </c>
    </row>
    <row r="1362" spans="1:5" x14ac:dyDescent="0.35">
      <c r="A1362" s="35">
        <v>45561</v>
      </c>
      <c r="B1362" s="36">
        <v>203.06</v>
      </c>
      <c r="C1362" s="36">
        <v>81657.97</v>
      </c>
      <c r="D1362" s="37">
        <f t="shared" si="42"/>
        <v>-1.2450150763544414E-2</v>
      </c>
      <c r="E1362" s="37">
        <f t="shared" si="43"/>
        <v>-7.1728257687245717E-3</v>
      </c>
    </row>
    <row r="1363" spans="1:5" x14ac:dyDescent="0.35">
      <c r="A1363" s="33">
        <v>45562</v>
      </c>
      <c r="B1363" s="34">
        <v>204.03</v>
      </c>
      <c r="C1363" s="34">
        <v>81292.13</v>
      </c>
      <c r="D1363" s="37">
        <f t="shared" si="42"/>
        <v>4.7769132276174473E-3</v>
      </c>
      <c r="E1363" s="37">
        <f t="shared" si="43"/>
        <v>-4.4801505597064986E-3</v>
      </c>
    </row>
    <row r="1364" spans="1:5" x14ac:dyDescent="0.35">
      <c r="A1364" s="35">
        <v>45565</v>
      </c>
      <c r="B1364" s="36">
        <v>210.21</v>
      </c>
      <c r="C1364" s="36">
        <v>81114.2</v>
      </c>
      <c r="D1364" s="37">
        <f t="shared" si="42"/>
        <v>3.0289663284811089E-2</v>
      </c>
      <c r="E1364" s="37">
        <f t="shared" si="43"/>
        <v>-2.1887727631199668E-3</v>
      </c>
    </row>
    <row r="1365" spans="1:5" x14ac:dyDescent="0.35">
      <c r="A1365" s="33">
        <v>45566</v>
      </c>
      <c r="B1365" s="34">
        <v>210.15</v>
      </c>
      <c r="C1365" s="34">
        <v>81804.59</v>
      </c>
      <c r="D1365" s="37">
        <f t="shared" si="42"/>
        <v>-2.8542885685743907E-4</v>
      </c>
      <c r="E1365" s="37">
        <f t="shared" si="43"/>
        <v>8.5113334040155669E-3</v>
      </c>
    </row>
    <row r="1366" spans="1:5" x14ac:dyDescent="0.35">
      <c r="A1366" s="35">
        <v>45567</v>
      </c>
      <c r="B1366" s="36">
        <v>204.38</v>
      </c>
      <c r="C1366" s="36">
        <v>81967.009999999995</v>
      </c>
      <c r="D1366" s="37">
        <f t="shared" si="42"/>
        <v>-2.7456578634308875E-2</v>
      </c>
      <c r="E1366" s="37">
        <f t="shared" si="43"/>
        <v>1.9854631628860712E-3</v>
      </c>
    </row>
    <row r="1367" spans="1:5" x14ac:dyDescent="0.35">
      <c r="A1367" s="33">
        <v>45568</v>
      </c>
      <c r="B1367" s="34">
        <v>203.2</v>
      </c>
      <c r="C1367" s="34">
        <v>82721.77</v>
      </c>
      <c r="D1367" s="37">
        <f t="shared" si="42"/>
        <v>-5.7735590566591975E-3</v>
      </c>
      <c r="E1367" s="37">
        <f t="shared" si="43"/>
        <v>9.2080948176590724E-3</v>
      </c>
    </row>
    <row r="1368" spans="1:5" x14ac:dyDescent="0.35">
      <c r="A1368" s="35">
        <v>45569</v>
      </c>
      <c r="B1368" s="36">
        <v>208.11</v>
      </c>
      <c r="C1368" s="36">
        <v>83531.960000000006</v>
      </c>
      <c r="D1368" s="37">
        <f t="shared" si="42"/>
        <v>2.4163385826771779E-2</v>
      </c>
      <c r="E1368" s="37">
        <f t="shared" si="43"/>
        <v>9.7941569673860012E-3</v>
      </c>
    </row>
    <row r="1369" spans="1:5" x14ac:dyDescent="0.35">
      <c r="A1369" s="33">
        <v>45572</v>
      </c>
      <c r="B1369" s="34">
        <v>214.33</v>
      </c>
      <c r="C1369" s="34">
        <v>84910.3</v>
      </c>
      <c r="D1369" s="37">
        <f t="shared" si="42"/>
        <v>2.9888039978857327E-2</v>
      </c>
      <c r="E1369" s="37">
        <f t="shared" si="43"/>
        <v>1.6500750132045224E-2</v>
      </c>
    </row>
    <row r="1370" spans="1:5" x14ac:dyDescent="0.35">
      <c r="A1370" s="35">
        <v>45573</v>
      </c>
      <c r="B1370" s="36">
        <v>228.65</v>
      </c>
      <c r="C1370" s="36">
        <v>85663.98</v>
      </c>
      <c r="D1370" s="37">
        <f t="shared" si="42"/>
        <v>6.6812858675873624E-2</v>
      </c>
      <c r="E1370" s="37">
        <f t="shared" si="43"/>
        <v>8.8761905210556664E-3</v>
      </c>
    </row>
    <row r="1371" spans="1:5" x14ac:dyDescent="0.35">
      <c r="A1371" s="33">
        <v>45574</v>
      </c>
      <c r="B1371" s="34">
        <v>251.51</v>
      </c>
      <c r="C1371" s="34">
        <v>85669.28</v>
      </c>
      <c r="D1371" s="37">
        <f t="shared" si="42"/>
        <v>9.9978132516947232E-2</v>
      </c>
      <c r="E1371" s="37">
        <f t="shared" si="43"/>
        <v>6.1869644627799341E-5</v>
      </c>
    </row>
    <row r="1372" spans="1:5" x14ac:dyDescent="0.35">
      <c r="A1372" s="35">
        <v>45575</v>
      </c>
      <c r="B1372" s="36">
        <v>238.72</v>
      </c>
      <c r="C1372" s="36">
        <v>85453.22</v>
      </c>
      <c r="D1372" s="37">
        <f t="shared" si="42"/>
        <v>-5.085284879328851E-2</v>
      </c>
      <c r="E1372" s="37">
        <f t="shared" si="43"/>
        <v>-2.522024230856121E-3</v>
      </c>
    </row>
    <row r="1373" spans="1:5" x14ac:dyDescent="0.35">
      <c r="A1373" s="33">
        <v>45576</v>
      </c>
      <c r="B1373" s="34">
        <v>232.63</v>
      </c>
      <c r="C1373" s="34">
        <v>85483.4</v>
      </c>
      <c r="D1373" s="37">
        <f t="shared" si="42"/>
        <v>-2.5511058981233257E-2</v>
      </c>
      <c r="E1373" s="37">
        <f t="shared" si="43"/>
        <v>3.5317569074627046E-4</v>
      </c>
    </row>
    <row r="1374" spans="1:5" x14ac:dyDescent="0.35">
      <c r="A1374" s="35">
        <v>45579</v>
      </c>
      <c r="B1374" s="36">
        <v>229.95</v>
      </c>
      <c r="C1374" s="36">
        <v>85261.39</v>
      </c>
      <c r="D1374" s="37">
        <f t="shared" si="42"/>
        <v>-1.1520440183983179E-2</v>
      </c>
      <c r="E1374" s="37">
        <f t="shared" si="43"/>
        <v>-2.5971124218268668E-3</v>
      </c>
    </row>
    <row r="1375" spans="1:5" x14ac:dyDescent="0.35">
      <c r="A1375" s="33">
        <v>45580</v>
      </c>
      <c r="B1375" s="34">
        <v>224.84</v>
      </c>
      <c r="C1375" s="34">
        <v>85840.34</v>
      </c>
      <c r="D1375" s="37">
        <f t="shared" si="42"/>
        <v>-2.2222222222222161E-2</v>
      </c>
      <c r="E1375" s="37">
        <f t="shared" si="43"/>
        <v>6.7902951148227477E-3</v>
      </c>
    </row>
    <row r="1376" spans="1:5" x14ac:dyDescent="0.35">
      <c r="A1376" s="35">
        <v>45581</v>
      </c>
      <c r="B1376" s="36">
        <v>224.65</v>
      </c>
      <c r="C1376" s="36">
        <v>86205.66</v>
      </c>
      <c r="D1376" s="37">
        <f t="shared" si="42"/>
        <v>-8.4504536559330064E-4</v>
      </c>
      <c r="E1376" s="37">
        <f t="shared" si="43"/>
        <v>4.2558079336592449E-3</v>
      </c>
    </row>
    <row r="1377" spans="1:5" x14ac:dyDescent="0.35">
      <c r="A1377" s="33">
        <v>45582</v>
      </c>
      <c r="B1377" s="34">
        <v>224.08</v>
      </c>
      <c r="C1377" s="34">
        <v>85585.43</v>
      </c>
      <c r="D1377" s="37">
        <f t="shared" si="42"/>
        <v>-2.5372802136656718E-3</v>
      </c>
      <c r="E1377" s="37">
        <f t="shared" si="43"/>
        <v>-7.1947712017982396E-3</v>
      </c>
    </row>
    <row r="1378" spans="1:5" x14ac:dyDescent="0.35">
      <c r="A1378" s="35">
        <v>45583</v>
      </c>
      <c r="B1378" s="36">
        <v>228.99</v>
      </c>
      <c r="C1378" s="36">
        <v>85250.09</v>
      </c>
      <c r="D1378" s="37">
        <f t="shared" si="42"/>
        <v>2.1911817208139932E-2</v>
      </c>
      <c r="E1378" s="37">
        <f t="shared" si="43"/>
        <v>-3.9181902807521856E-3</v>
      </c>
    </row>
    <row r="1379" spans="1:5" x14ac:dyDescent="0.35">
      <c r="A1379" s="33">
        <v>45586</v>
      </c>
      <c r="B1379" s="34">
        <v>236</v>
      </c>
      <c r="C1379" s="34">
        <v>86057.52</v>
      </c>
      <c r="D1379" s="37">
        <f t="shared" si="42"/>
        <v>3.06126905105026E-2</v>
      </c>
      <c r="E1379" s="37">
        <f t="shared" si="43"/>
        <v>9.4713096490573519E-3</v>
      </c>
    </row>
    <row r="1380" spans="1:5" x14ac:dyDescent="0.35">
      <c r="A1380" s="35">
        <v>45587</v>
      </c>
      <c r="B1380" s="36">
        <v>235</v>
      </c>
      <c r="C1380" s="36">
        <v>86466.58</v>
      </c>
      <c r="D1380" s="37">
        <f t="shared" si="42"/>
        <v>-4.2372881355932203E-3</v>
      </c>
      <c r="E1380" s="37">
        <f t="shared" si="43"/>
        <v>4.7533324223147221E-3</v>
      </c>
    </row>
    <row r="1381" spans="1:5" x14ac:dyDescent="0.35">
      <c r="A1381" s="33">
        <v>45588</v>
      </c>
      <c r="B1381" s="34">
        <v>242</v>
      </c>
      <c r="C1381" s="34">
        <v>87194.54</v>
      </c>
      <c r="D1381" s="37">
        <f t="shared" si="42"/>
        <v>2.9787234042553193E-2</v>
      </c>
      <c r="E1381" s="37">
        <f t="shared" si="43"/>
        <v>8.4189752850175395E-3</v>
      </c>
    </row>
    <row r="1382" spans="1:5" x14ac:dyDescent="0.35">
      <c r="A1382" s="35">
        <v>45589</v>
      </c>
      <c r="B1382" s="36">
        <v>247.39</v>
      </c>
      <c r="C1382" s="36">
        <v>88945.99</v>
      </c>
      <c r="D1382" s="37">
        <f t="shared" si="42"/>
        <v>2.2272727272727215E-2</v>
      </c>
      <c r="E1382" s="37">
        <f t="shared" si="43"/>
        <v>2.0086693501680401E-2</v>
      </c>
    </row>
    <row r="1383" spans="1:5" x14ac:dyDescent="0.35">
      <c r="A1383" s="33">
        <v>45590</v>
      </c>
      <c r="B1383" s="34">
        <v>245.81</v>
      </c>
      <c r="C1383" s="34">
        <v>89993.97</v>
      </c>
      <c r="D1383" s="37">
        <f t="shared" si="42"/>
        <v>-6.3866769069080565E-3</v>
      </c>
      <c r="E1383" s="37">
        <f t="shared" si="43"/>
        <v>1.1782206257977407E-2</v>
      </c>
    </row>
    <row r="1384" spans="1:5" x14ac:dyDescent="0.35">
      <c r="A1384" s="35">
        <v>45593</v>
      </c>
      <c r="B1384" s="36">
        <v>239.58</v>
      </c>
      <c r="C1384" s="36">
        <v>90195.520000000004</v>
      </c>
      <c r="D1384" s="37">
        <f t="shared" si="42"/>
        <v>-2.5344778487449614E-2</v>
      </c>
      <c r="E1384" s="37">
        <f t="shared" si="43"/>
        <v>2.239594497275794E-3</v>
      </c>
    </row>
    <row r="1385" spans="1:5" x14ac:dyDescent="0.35">
      <c r="A1385" s="33">
        <v>45594</v>
      </c>
      <c r="B1385" s="34">
        <v>239.15</v>
      </c>
      <c r="C1385" s="34">
        <v>90864.09</v>
      </c>
      <c r="D1385" s="37">
        <f t="shared" si="42"/>
        <v>-1.7948075799315752E-3</v>
      </c>
      <c r="E1385" s="37">
        <f t="shared" si="43"/>
        <v>7.4124524144879083E-3</v>
      </c>
    </row>
    <row r="1386" spans="1:5" x14ac:dyDescent="0.35">
      <c r="A1386" s="35">
        <v>45595</v>
      </c>
      <c r="B1386" s="36">
        <v>236.2</v>
      </c>
      <c r="C1386" s="36">
        <v>90286.57</v>
      </c>
      <c r="D1386" s="37">
        <f t="shared" si="42"/>
        <v>-1.2335354380096244E-2</v>
      </c>
      <c r="E1386" s="37">
        <f t="shared" si="43"/>
        <v>-6.3558662173361282E-3</v>
      </c>
    </row>
    <row r="1387" spans="1:5" x14ac:dyDescent="0.35">
      <c r="A1387" s="33">
        <v>45596</v>
      </c>
      <c r="B1387" s="34">
        <v>234.75</v>
      </c>
      <c r="C1387" s="34">
        <v>88966.77</v>
      </c>
      <c r="D1387" s="37">
        <f t="shared" si="42"/>
        <v>-6.138865368331874E-3</v>
      </c>
      <c r="E1387" s="37">
        <f t="shared" si="43"/>
        <v>-1.4617899428453233E-2</v>
      </c>
    </row>
    <row r="1388" spans="1:5" x14ac:dyDescent="0.35">
      <c r="A1388" s="35">
        <v>45597</v>
      </c>
      <c r="B1388" s="36">
        <v>234</v>
      </c>
      <c r="C1388" s="36">
        <v>90859.85</v>
      </c>
      <c r="D1388" s="37">
        <f t="shared" si="42"/>
        <v>-3.1948881789137379E-3</v>
      </c>
      <c r="E1388" s="37">
        <f t="shared" si="43"/>
        <v>2.1278506570486955E-2</v>
      </c>
    </row>
    <row r="1389" spans="1:5" x14ac:dyDescent="0.35">
      <c r="A1389" s="33">
        <v>45600</v>
      </c>
      <c r="B1389" s="34">
        <v>239.83</v>
      </c>
      <c r="C1389" s="34">
        <v>91938.01</v>
      </c>
      <c r="D1389" s="37">
        <f t="shared" si="42"/>
        <v>2.4914529914529967E-2</v>
      </c>
      <c r="E1389" s="37">
        <f t="shared" si="43"/>
        <v>1.1866187320361951E-2</v>
      </c>
    </row>
    <row r="1390" spans="1:5" x14ac:dyDescent="0.35">
      <c r="A1390" s="35">
        <v>45601</v>
      </c>
      <c r="B1390" s="36">
        <v>236.28</v>
      </c>
      <c r="C1390" s="36">
        <v>92304.320000000007</v>
      </c>
      <c r="D1390" s="37">
        <f t="shared" si="42"/>
        <v>-1.4802151523996211E-2</v>
      </c>
      <c r="E1390" s="37">
        <f t="shared" si="43"/>
        <v>3.9843150836091868E-3</v>
      </c>
    </row>
    <row r="1391" spans="1:5" x14ac:dyDescent="0.35">
      <c r="A1391" s="33">
        <v>45602</v>
      </c>
      <c r="B1391" s="34">
        <v>238.6</v>
      </c>
      <c r="C1391" s="34">
        <v>92021.440000000002</v>
      </c>
      <c r="D1391" s="37">
        <f t="shared" si="42"/>
        <v>9.8188589808701245E-3</v>
      </c>
      <c r="E1391" s="37">
        <f t="shared" si="43"/>
        <v>-3.0646452950414955E-3</v>
      </c>
    </row>
    <row r="1392" spans="1:5" x14ac:dyDescent="0.35">
      <c r="A1392" s="35">
        <v>45603</v>
      </c>
      <c r="B1392" s="36">
        <v>235.01</v>
      </c>
      <c r="C1392" s="36">
        <v>92520.49</v>
      </c>
      <c r="D1392" s="37">
        <f t="shared" si="42"/>
        <v>-1.5046102263202027E-2</v>
      </c>
      <c r="E1392" s="37">
        <f t="shared" si="43"/>
        <v>5.423192682053257E-3</v>
      </c>
    </row>
    <row r="1393" spans="1:5" x14ac:dyDescent="0.35">
      <c r="A1393" s="33">
        <v>45604</v>
      </c>
      <c r="B1393" s="34">
        <v>234.99</v>
      </c>
      <c r="C1393" s="34">
        <v>93291.68</v>
      </c>
      <c r="D1393" s="37">
        <f t="shared" si="42"/>
        <v>-8.5102761584536022E-5</v>
      </c>
      <c r="E1393" s="37">
        <f t="shared" si="43"/>
        <v>8.3353427981195053E-3</v>
      </c>
    </row>
    <row r="1394" spans="1:5" x14ac:dyDescent="0.35">
      <c r="A1394" s="35">
        <v>45607</v>
      </c>
      <c r="B1394" s="36">
        <v>238</v>
      </c>
      <c r="C1394" s="36">
        <v>93648.33</v>
      </c>
      <c r="D1394" s="37">
        <f t="shared" si="42"/>
        <v>1.2809055704498024E-2</v>
      </c>
      <c r="E1394" s="37">
        <f t="shared" si="43"/>
        <v>3.8229561307075695E-3</v>
      </c>
    </row>
    <row r="1395" spans="1:5" x14ac:dyDescent="0.35">
      <c r="A1395" s="33">
        <v>45608</v>
      </c>
      <c r="B1395" s="34">
        <v>238.94</v>
      </c>
      <c r="C1395" s="34">
        <v>93224.56</v>
      </c>
      <c r="D1395" s="37">
        <f t="shared" si="42"/>
        <v>3.9495798319327639E-3</v>
      </c>
      <c r="E1395" s="37">
        <f t="shared" si="43"/>
        <v>-4.5251207362694461E-3</v>
      </c>
    </row>
    <row r="1396" spans="1:5" x14ac:dyDescent="0.35">
      <c r="A1396" s="35">
        <v>45609</v>
      </c>
      <c r="B1396" s="36">
        <v>234</v>
      </c>
      <c r="C1396" s="36">
        <v>93355.43</v>
      </c>
      <c r="D1396" s="37">
        <f t="shared" si="42"/>
        <v>-2.0674646354733397E-2</v>
      </c>
      <c r="E1396" s="37">
        <f t="shared" si="43"/>
        <v>1.4038146170922701E-3</v>
      </c>
    </row>
    <row r="1397" spans="1:5" x14ac:dyDescent="0.35">
      <c r="A1397" s="33">
        <v>45610</v>
      </c>
      <c r="B1397" s="34">
        <v>234.89</v>
      </c>
      <c r="C1397" s="34">
        <v>94191.89</v>
      </c>
      <c r="D1397" s="37">
        <f t="shared" si="42"/>
        <v>3.803418803418745E-3</v>
      </c>
      <c r="E1397" s="37">
        <f t="shared" si="43"/>
        <v>8.9599501603710302E-3</v>
      </c>
    </row>
    <row r="1398" spans="1:5" x14ac:dyDescent="0.35">
      <c r="A1398" s="35">
        <v>45611</v>
      </c>
      <c r="B1398" s="36">
        <v>232.89</v>
      </c>
      <c r="C1398" s="36">
        <v>94763.64</v>
      </c>
      <c r="D1398" s="37">
        <f t="shared" si="42"/>
        <v>-8.5146238664906976E-3</v>
      </c>
      <c r="E1398" s="37">
        <f t="shared" si="43"/>
        <v>6.0700555005319462E-3</v>
      </c>
    </row>
    <row r="1399" spans="1:5" x14ac:dyDescent="0.35">
      <c r="A1399" s="33">
        <v>45614</v>
      </c>
      <c r="B1399" s="34">
        <v>234.2</v>
      </c>
      <c r="C1399" s="34">
        <v>94995.67</v>
      </c>
      <c r="D1399" s="37">
        <f t="shared" si="42"/>
        <v>5.6249731632959871E-3</v>
      </c>
      <c r="E1399" s="37">
        <f t="shared" si="43"/>
        <v>2.4485129528582783E-3</v>
      </c>
    </row>
    <row r="1400" spans="1:5" x14ac:dyDescent="0.35">
      <c r="A1400" s="35">
        <v>45615</v>
      </c>
      <c r="B1400" s="36">
        <v>233.8</v>
      </c>
      <c r="C1400" s="36">
        <v>95856.67</v>
      </c>
      <c r="D1400" s="37">
        <f t="shared" si="42"/>
        <v>-1.7079419299742839E-3</v>
      </c>
      <c r="E1400" s="37">
        <f t="shared" si="43"/>
        <v>9.0635710027625466E-3</v>
      </c>
    </row>
    <row r="1401" spans="1:5" x14ac:dyDescent="0.35">
      <c r="A1401" s="33">
        <v>45616</v>
      </c>
      <c r="B1401" s="34">
        <v>233.32</v>
      </c>
      <c r="C1401" s="34">
        <v>95546.46</v>
      </c>
      <c r="D1401" s="37">
        <f t="shared" si="42"/>
        <v>-2.0530367835757835E-3</v>
      </c>
      <c r="E1401" s="37">
        <f t="shared" si="43"/>
        <v>-3.2361858595754667E-3</v>
      </c>
    </row>
    <row r="1402" spans="1:5" x14ac:dyDescent="0.35">
      <c r="A1402" s="35">
        <v>45617</v>
      </c>
      <c r="B1402" s="36">
        <v>233.99</v>
      </c>
      <c r="C1402" s="36">
        <v>97328.4</v>
      </c>
      <c r="D1402" s="37">
        <f t="shared" si="42"/>
        <v>2.8715926624379219E-3</v>
      </c>
      <c r="E1402" s="37">
        <f t="shared" si="43"/>
        <v>1.8649984520619473E-2</v>
      </c>
    </row>
    <row r="1403" spans="1:5" x14ac:dyDescent="0.35">
      <c r="A1403" s="33">
        <v>45618</v>
      </c>
      <c r="B1403" s="34">
        <v>231.74</v>
      </c>
      <c r="C1403" s="34">
        <v>97798.23</v>
      </c>
      <c r="D1403" s="37">
        <f t="shared" si="42"/>
        <v>-9.6157955468182399E-3</v>
      </c>
      <c r="E1403" s="37">
        <f t="shared" si="43"/>
        <v>4.8272652175521411E-3</v>
      </c>
    </row>
    <row r="1404" spans="1:5" x14ac:dyDescent="0.35">
      <c r="A1404" s="35">
        <v>45621</v>
      </c>
      <c r="B1404" s="36">
        <v>231.65</v>
      </c>
      <c r="C1404" s="36">
        <v>98079.78</v>
      </c>
      <c r="D1404" s="37">
        <f t="shared" si="42"/>
        <v>-3.883662725468344E-4</v>
      </c>
      <c r="E1404" s="37">
        <f t="shared" si="43"/>
        <v>2.8788864583745833E-3</v>
      </c>
    </row>
    <row r="1405" spans="1:5" x14ac:dyDescent="0.35">
      <c r="A1405" s="33">
        <v>45622</v>
      </c>
      <c r="B1405" s="34">
        <v>227.62</v>
      </c>
      <c r="C1405" s="34">
        <v>94574.16</v>
      </c>
      <c r="D1405" s="37">
        <f t="shared" si="42"/>
        <v>-1.7396935031297221E-2</v>
      </c>
      <c r="E1405" s="37">
        <f t="shared" si="43"/>
        <v>-3.5742535311559583E-2</v>
      </c>
    </row>
    <row r="1406" spans="1:5" x14ac:dyDescent="0.35">
      <c r="A1406" s="35">
        <v>45623</v>
      </c>
      <c r="B1406" s="36">
        <v>228.78</v>
      </c>
      <c r="C1406" s="36">
        <v>99269.25</v>
      </c>
      <c r="D1406" s="37">
        <f t="shared" si="42"/>
        <v>5.0962129865565267E-3</v>
      </c>
      <c r="E1406" s="37">
        <f t="shared" si="43"/>
        <v>4.9644532925272572E-2</v>
      </c>
    </row>
    <row r="1407" spans="1:5" x14ac:dyDescent="0.35">
      <c r="A1407" s="33">
        <v>45624</v>
      </c>
      <c r="B1407" s="34">
        <v>229.78</v>
      </c>
      <c r="C1407" s="34">
        <v>100082.77</v>
      </c>
      <c r="D1407" s="37">
        <f t="shared" si="42"/>
        <v>4.3710114520500044E-3</v>
      </c>
      <c r="E1407" s="37">
        <f t="shared" si="43"/>
        <v>8.1950855879338678E-3</v>
      </c>
    </row>
    <row r="1408" spans="1:5" x14ac:dyDescent="0.35">
      <c r="A1408" s="35">
        <v>45625</v>
      </c>
      <c r="B1408" s="36">
        <v>228.27</v>
      </c>
      <c r="C1408" s="36">
        <v>101357.32</v>
      </c>
      <c r="D1408" s="37">
        <f t="shared" si="42"/>
        <v>-6.5715031769518276E-3</v>
      </c>
      <c r="E1408" s="37">
        <f t="shared" si="43"/>
        <v>1.2734959274208766E-2</v>
      </c>
    </row>
    <row r="1409" spans="1:5" x14ac:dyDescent="0.35">
      <c r="A1409" s="33">
        <v>45628</v>
      </c>
      <c r="B1409" s="34">
        <v>232.53</v>
      </c>
      <c r="C1409" s="34">
        <v>103274.95</v>
      </c>
      <c r="D1409" s="37">
        <f t="shared" si="42"/>
        <v>1.8662110658430764E-2</v>
      </c>
      <c r="E1409" s="37">
        <f t="shared" si="43"/>
        <v>1.8919501817924841E-2</v>
      </c>
    </row>
    <row r="1410" spans="1:5" x14ac:dyDescent="0.35">
      <c r="A1410" s="35">
        <v>45629</v>
      </c>
      <c r="B1410" s="36">
        <v>232.4</v>
      </c>
      <c r="C1410" s="36">
        <v>104559.07</v>
      </c>
      <c r="D1410" s="37">
        <f t="shared" si="42"/>
        <v>-5.5906764718528985E-4</v>
      </c>
      <c r="E1410" s="37">
        <f t="shared" si="43"/>
        <v>1.2433992947951172E-2</v>
      </c>
    </row>
    <row r="1411" spans="1:5" x14ac:dyDescent="0.35">
      <c r="A1411" s="33">
        <v>45630</v>
      </c>
      <c r="B1411" s="34">
        <v>231.36</v>
      </c>
      <c r="C1411" s="34">
        <v>105104.34</v>
      </c>
      <c r="D1411" s="37">
        <f t="shared" si="42"/>
        <v>-4.4750430292598625E-3</v>
      </c>
      <c r="E1411" s="37">
        <f t="shared" si="43"/>
        <v>5.2149469194780473E-3</v>
      </c>
    </row>
    <row r="1412" spans="1:5" x14ac:dyDescent="0.35">
      <c r="A1412" s="35">
        <v>45631</v>
      </c>
      <c r="B1412" s="36">
        <v>230.61</v>
      </c>
      <c r="C1412" s="36">
        <v>108238.97</v>
      </c>
      <c r="D1412" s="37">
        <f t="shared" si="42"/>
        <v>-3.2417012448132778E-3</v>
      </c>
      <c r="E1412" s="37">
        <f t="shared" si="43"/>
        <v>2.9823982530122018E-2</v>
      </c>
    </row>
    <row r="1413" spans="1:5" x14ac:dyDescent="0.35">
      <c r="A1413" s="33">
        <v>45632</v>
      </c>
      <c r="B1413" s="34">
        <v>228.54</v>
      </c>
      <c r="C1413" s="34">
        <v>109053.95</v>
      </c>
      <c r="D1413" s="37">
        <f t="shared" ref="D1413:D1476" si="44">(B1413-B1412)/B1412</f>
        <v>-8.9761935735658532E-3</v>
      </c>
      <c r="E1413" s="37">
        <f t="shared" ref="E1413:E1476" si="45">(C1413-C1412)/C1412</f>
        <v>7.5294508068581576E-3</v>
      </c>
    </row>
    <row r="1414" spans="1:5" x14ac:dyDescent="0.35">
      <c r="A1414" s="35">
        <v>45635</v>
      </c>
      <c r="B1414" s="36">
        <v>218.98</v>
      </c>
      <c r="C1414" s="36">
        <v>109970.39</v>
      </c>
      <c r="D1414" s="37">
        <f t="shared" si="44"/>
        <v>-4.1830751728362661E-2</v>
      </c>
      <c r="E1414" s="37">
        <f t="shared" si="45"/>
        <v>8.403547051711582E-3</v>
      </c>
    </row>
    <row r="1415" spans="1:5" x14ac:dyDescent="0.35">
      <c r="A1415" s="33">
        <v>45636</v>
      </c>
      <c r="B1415" s="34">
        <v>226.29</v>
      </c>
      <c r="C1415" s="34">
        <v>108896.65</v>
      </c>
      <c r="D1415" s="37">
        <f t="shared" si="44"/>
        <v>3.3382044022285152E-2</v>
      </c>
      <c r="E1415" s="37">
        <f t="shared" si="45"/>
        <v>-9.7639009918943209E-3</v>
      </c>
    </row>
    <row r="1416" spans="1:5" x14ac:dyDescent="0.35">
      <c r="A1416" s="35">
        <v>45637</v>
      </c>
      <c r="B1416" s="36">
        <v>226.1</v>
      </c>
      <c r="C1416" s="36">
        <v>110810.22</v>
      </c>
      <c r="D1416" s="37">
        <f t="shared" si="44"/>
        <v>-8.3963056255246691E-4</v>
      </c>
      <c r="E1416" s="37">
        <f t="shared" si="45"/>
        <v>1.7572349562635831E-2</v>
      </c>
    </row>
    <row r="1417" spans="1:5" x14ac:dyDescent="0.35">
      <c r="A1417" s="33">
        <v>45638</v>
      </c>
      <c r="B1417" s="34">
        <v>223.33</v>
      </c>
      <c r="C1417" s="34">
        <v>114180.51</v>
      </c>
      <c r="D1417" s="37">
        <f t="shared" si="44"/>
        <v>-1.2251216275983998E-2</v>
      </c>
      <c r="E1417" s="37">
        <f t="shared" si="45"/>
        <v>3.0414974358863232E-2</v>
      </c>
    </row>
    <row r="1418" spans="1:5" x14ac:dyDescent="0.35">
      <c r="A1418" s="35">
        <v>45639</v>
      </c>
      <c r="B1418" s="36">
        <v>219.57</v>
      </c>
      <c r="C1418" s="36">
        <v>114301.8</v>
      </c>
      <c r="D1418" s="37">
        <f t="shared" si="44"/>
        <v>-1.683607218018188E-2</v>
      </c>
      <c r="E1418" s="37">
        <f t="shared" si="45"/>
        <v>1.0622653550943866E-3</v>
      </c>
    </row>
    <row r="1419" spans="1:5" x14ac:dyDescent="0.35">
      <c r="A1419" s="33">
        <v>45642</v>
      </c>
      <c r="B1419" s="34">
        <v>227.03</v>
      </c>
      <c r="C1419" s="34">
        <v>116169.41</v>
      </c>
      <c r="D1419" s="37">
        <f t="shared" si="44"/>
        <v>3.397549756341945E-2</v>
      </c>
      <c r="E1419" s="37">
        <f t="shared" si="45"/>
        <v>1.6339287745249859E-2</v>
      </c>
    </row>
    <row r="1420" spans="1:5" x14ac:dyDescent="0.35">
      <c r="A1420" s="35">
        <v>45643</v>
      </c>
      <c r="B1420" s="36">
        <v>215.98</v>
      </c>
      <c r="C1420" s="36">
        <v>114860.69</v>
      </c>
      <c r="D1420" s="37">
        <f t="shared" si="44"/>
        <v>-4.8671981676430477E-2</v>
      </c>
      <c r="E1420" s="37">
        <f t="shared" si="45"/>
        <v>-1.1265616309835792E-2</v>
      </c>
    </row>
    <row r="1421" spans="1:5" x14ac:dyDescent="0.35">
      <c r="A1421" s="33">
        <v>45644</v>
      </c>
      <c r="B1421" s="34">
        <v>211.01</v>
      </c>
      <c r="C1421" s="34">
        <v>111070.29</v>
      </c>
      <c r="D1421" s="37">
        <f t="shared" si="44"/>
        <v>-2.3011389943513285E-2</v>
      </c>
      <c r="E1421" s="37">
        <f t="shared" si="45"/>
        <v>-3.2999975883829434E-2</v>
      </c>
    </row>
    <row r="1422" spans="1:5" x14ac:dyDescent="0.35">
      <c r="A1422" s="35">
        <v>45645</v>
      </c>
      <c r="B1422" s="36">
        <v>205.08</v>
      </c>
      <c r="C1422" s="36">
        <v>106274.98</v>
      </c>
      <c r="D1422" s="37">
        <f t="shared" si="44"/>
        <v>-2.8102933510260077E-2</v>
      </c>
      <c r="E1422" s="37">
        <f t="shared" si="45"/>
        <v>-4.3173651567849497E-2</v>
      </c>
    </row>
    <row r="1423" spans="1:5" x14ac:dyDescent="0.35">
      <c r="A1423" s="33">
        <v>45646</v>
      </c>
      <c r="B1423" s="34">
        <v>207.76</v>
      </c>
      <c r="C1423" s="34">
        <v>109513.15</v>
      </c>
      <c r="D1423" s="37">
        <f t="shared" si="44"/>
        <v>1.3068070996684115E-2</v>
      </c>
      <c r="E1423" s="37">
        <f t="shared" si="45"/>
        <v>3.0469730504771662E-2</v>
      </c>
    </row>
    <row r="1424" spans="1:5" x14ac:dyDescent="0.35">
      <c r="A1424" s="35">
        <v>45649</v>
      </c>
      <c r="B1424" s="36">
        <v>210.22</v>
      </c>
      <c r="C1424" s="36">
        <v>113924.42</v>
      </c>
      <c r="D1424" s="37">
        <f t="shared" si="44"/>
        <v>1.18405852907201E-2</v>
      </c>
      <c r="E1424" s="37">
        <f t="shared" si="45"/>
        <v>4.02807334096408E-2</v>
      </c>
    </row>
    <row r="1425" spans="1:5" x14ac:dyDescent="0.35">
      <c r="A1425" s="33">
        <v>45650</v>
      </c>
      <c r="B1425" s="34">
        <v>214.79</v>
      </c>
      <c r="C1425" s="34">
        <v>112414.81</v>
      </c>
      <c r="D1425" s="37">
        <f t="shared" si="44"/>
        <v>2.1739130434782577E-2</v>
      </c>
      <c r="E1425" s="37">
        <f t="shared" si="45"/>
        <v>-1.3250978148495298E-2</v>
      </c>
    </row>
    <row r="1426" spans="1:5" x14ac:dyDescent="0.35">
      <c r="A1426" s="35">
        <v>45652</v>
      </c>
      <c r="B1426" s="36">
        <v>209.9</v>
      </c>
      <c r="C1426" s="36">
        <v>110423.32</v>
      </c>
      <c r="D1426" s="37">
        <f t="shared" si="44"/>
        <v>-2.2766423017831307E-2</v>
      </c>
      <c r="E1426" s="37">
        <f t="shared" si="45"/>
        <v>-1.7715548333889376E-2</v>
      </c>
    </row>
    <row r="1427" spans="1:5" x14ac:dyDescent="0.35">
      <c r="A1427" s="33">
        <v>45653</v>
      </c>
      <c r="B1427" s="34">
        <v>212.14</v>
      </c>
      <c r="C1427" s="34">
        <v>111351.18</v>
      </c>
      <c r="D1427" s="37">
        <f t="shared" si="44"/>
        <v>1.0671748451643547E-2</v>
      </c>
      <c r="E1427" s="37">
        <f t="shared" si="45"/>
        <v>8.4027540559366079E-3</v>
      </c>
    </row>
    <row r="1428" spans="1:5" x14ac:dyDescent="0.35">
      <c r="A1428" s="35">
        <v>45656</v>
      </c>
      <c r="B1428" s="36">
        <v>212.77</v>
      </c>
      <c r="C1428" s="36">
        <v>115259</v>
      </c>
      <c r="D1428" s="37">
        <f t="shared" si="44"/>
        <v>2.9697369661545389E-3</v>
      </c>
      <c r="E1428" s="37">
        <f t="shared" si="45"/>
        <v>3.5094554004726372E-2</v>
      </c>
    </row>
    <row r="1429" spans="1:5" x14ac:dyDescent="0.35">
      <c r="A1429" s="33">
        <v>45657</v>
      </c>
      <c r="B1429" s="34">
        <v>215.24</v>
      </c>
      <c r="C1429" s="34">
        <v>115126.9</v>
      </c>
      <c r="D1429" s="37">
        <f t="shared" si="44"/>
        <v>1.1608779433190764E-2</v>
      </c>
      <c r="E1429" s="37">
        <f t="shared" si="45"/>
        <v>-1.1461144032136824E-3</v>
      </c>
    </row>
    <row r="1430" spans="1:5" x14ac:dyDescent="0.35">
      <c r="A1430" s="35">
        <v>45658</v>
      </c>
      <c r="B1430" s="36">
        <v>221.9</v>
      </c>
      <c r="C1430" s="36">
        <v>117008.08</v>
      </c>
      <c r="D1430" s="37">
        <f t="shared" si="44"/>
        <v>3.0942204051291566E-2</v>
      </c>
      <c r="E1430" s="37">
        <f t="shared" si="45"/>
        <v>1.6340056059878341E-2</v>
      </c>
    </row>
    <row r="1431" spans="1:5" x14ac:dyDescent="0.35">
      <c r="A1431" s="33">
        <v>45659</v>
      </c>
      <c r="B1431" s="34">
        <v>217.17</v>
      </c>
      <c r="C1431" s="34">
        <v>117119.66</v>
      </c>
      <c r="D1431" s="37">
        <f t="shared" si="44"/>
        <v>-2.1315908066696792E-2</v>
      </c>
      <c r="E1431" s="37">
        <f t="shared" si="45"/>
        <v>9.5360935757600452E-4</v>
      </c>
    </row>
    <row r="1432" spans="1:5" x14ac:dyDescent="0.35">
      <c r="A1432" s="35">
        <v>45660</v>
      </c>
      <c r="B1432" s="36">
        <v>215.14</v>
      </c>
      <c r="C1432" s="36">
        <v>117586.98</v>
      </c>
      <c r="D1432" s="37">
        <f t="shared" si="44"/>
        <v>-9.3475157710549393E-3</v>
      </c>
      <c r="E1432" s="37">
        <f t="shared" si="45"/>
        <v>3.9901072117182754E-3</v>
      </c>
    </row>
    <row r="1433" spans="1:5" x14ac:dyDescent="0.35">
      <c r="A1433" s="33">
        <v>45663</v>
      </c>
      <c r="B1433" s="34">
        <v>219.3</v>
      </c>
      <c r="C1433" s="34">
        <v>116255.13</v>
      </c>
      <c r="D1433" s="37">
        <f t="shared" si="44"/>
        <v>1.9336246165287837E-2</v>
      </c>
      <c r="E1433" s="37">
        <f t="shared" si="45"/>
        <v>-1.1326509108406315E-2</v>
      </c>
    </row>
    <row r="1434" spans="1:5" x14ac:dyDescent="0.35">
      <c r="A1434" s="35">
        <v>45664</v>
      </c>
      <c r="B1434" s="36">
        <v>229.63</v>
      </c>
      <c r="C1434" s="36">
        <v>116052.68</v>
      </c>
      <c r="D1434" s="37">
        <f t="shared" si="44"/>
        <v>4.7104423164614606E-2</v>
      </c>
      <c r="E1434" s="37">
        <f t="shared" si="45"/>
        <v>-1.7414285287884641E-3</v>
      </c>
    </row>
    <row r="1435" spans="1:5" x14ac:dyDescent="0.35">
      <c r="A1435" s="33">
        <v>45665</v>
      </c>
      <c r="B1435" s="34">
        <v>224.11</v>
      </c>
      <c r="C1435" s="34">
        <v>114148.46</v>
      </c>
      <c r="D1435" s="37">
        <f t="shared" si="44"/>
        <v>-2.403867090536943E-2</v>
      </c>
      <c r="E1435" s="37">
        <f t="shared" si="45"/>
        <v>-1.6408238051891493E-2</v>
      </c>
    </row>
    <row r="1436" spans="1:5" x14ac:dyDescent="0.35">
      <c r="A1436" s="35">
        <v>45666</v>
      </c>
      <c r="B1436" s="36">
        <v>224.81</v>
      </c>
      <c r="C1436" s="36">
        <v>112638.26</v>
      </c>
      <c r="D1436" s="37">
        <f t="shared" si="44"/>
        <v>3.1234661550131122E-3</v>
      </c>
      <c r="E1436" s="37">
        <f t="shared" si="45"/>
        <v>-1.3230139066265209E-2</v>
      </c>
    </row>
    <row r="1437" spans="1:5" x14ac:dyDescent="0.35">
      <c r="A1437" s="33">
        <v>45667</v>
      </c>
      <c r="B1437" s="34">
        <v>221.53</v>
      </c>
      <c r="C1437" s="34">
        <v>113247.29</v>
      </c>
      <c r="D1437" s="37">
        <f t="shared" si="44"/>
        <v>-1.4590098305235537E-2</v>
      </c>
      <c r="E1437" s="37">
        <f t="shared" si="45"/>
        <v>5.4069549724933509E-3</v>
      </c>
    </row>
    <row r="1438" spans="1:5" x14ac:dyDescent="0.35">
      <c r="A1438" s="35">
        <v>45670</v>
      </c>
      <c r="B1438" s="36">
        <v>222.06</v>
      </c>
      <c r="C1438" s="36">
        <v>114230.06</v>
      </c>
      <c r="D1438" s="37">
        <f t="shared" si="44"/>
        <v>2.3924524895048128E-3</v>
      </c>
      <c r="E1438" s="37">
        <f t="shared" si="45"/>
        <v>8.6780884558032619E-3</v>
      </c>
    </row>
    <row r="1439" spans="1:5" x14ac:dyDescent="0.35">
      <c r="A1439" s="33">
        <v>45671</v>
      </c>
      <c r="B1439" s="34">
        <v>227.76</v>
      </c>
      <c r="C1439" s="34">
        <v>114804.17</v>
      </c>
      <c r="D1439" s="37">
        <f t="shared" si="44"/>
        <v>2.5668738178870523E-2</v>
      </c>
      <c r="E1439" s="37">
        <f t="shared" si="45"/>
        <v>5.0259099925186118E-3</v>
      </c>
    </row>
    <row r="1440" spans="1:5" x14ac:dyDescent="0.35">
      <c r="A1440" s="35">
        <v>45672</v>
      </c>
      <c r="B1440" s="36">
        <v>227.05</v>
      </c>
      <c r="C1440" s="36">
        <v>114495.71</v>
      </c>
      <c r="D1440" s="37">
        <f t="shared" si="44"/>
        <v>-3.1173164734807674E-3</v>
      </c>
      <c r="E1440" s="37">
        <f t="shared" si="45"/>
        <v>-2.6868362011588241E-3</v>
      </c>
    </row>
    <row r="1441" spans="1:5" x14ac:dyDescent="0.35">
      <c r="A1441" s="33">
        <v>45673</v>
      </c>
      <c r="B1441" s="34">
        <v>227</v>
      </c>
      <c r="C1441" s="34">
        <v>113836.74</v>
      </c>
      <c r="D1441" s="37">
        <f t="shared" si="44"/>
        <v>-2.2021581149531542E-4</v>
      </c>
      <c r="E1441" s="37">
        <f t="shared" si="45"/>
        <v>-5.7554121460096728E-3</v>
      </c>
    </row>
    <row r="1442" spans="1:5" x14ac:dyDescent="0.35">
      <c r="A1442" s="35">
        <v>45674</v>
      </c>
      <c r="B1442" s="36">
        <v>228.91</v>
      </c>
      <c r="C1442" s="36">
        <v>115272.08</v>
      </c>
      <c r="D1442" s="37">
        <f t="shared" si="44"/>
        <v>8.4140969162995443E-3</v>
      </c>
      <c r="E1442" s="37">
        <f t="shared" si="45"/>
        <v>1.2608758824260045E-2</v>
      </c>
    </row>
    <row r="1443" spans="1:5" x14ac:dyDescent="0.35">
      <c r="A1443" s="33">
        <v>45677</v>
      </c>
      <c r="B1443" s="34">
        <v>229.46</v>
      </c>
      <c r="C1443" s="34">
        <v>115844.82</v>
      </c>
      <c r="D1443" s="37">
        <f t="shared" si="44"/>
        <v>2.4026910139356575E-3</v>
      </c>
      <c r="E1443" s="37">
        <f t="shared" si="45"/>
        <v>4.9685925681223521E-3</v>
      </c>
    </row>
    <row r="1444" spans="1:5" x14ac:dyDescent="0.35">
      <c r="A1444" s="35">
        <v>45678</v>
      </c>
      <c r="B1444" s="36">
        <v>227.69</v>
      </c>
      <c r="C1444" s="36">
        <v>115042.25</v>
      </c>
      <c r="D1444" s="37">
        <f t="shared" si="44"/>
        <v>-7.7137627473198387E-3</v>
      </c>
      <c r="E1444" s="37">
        <f t="shared" si="45"/>
        <v>-6.9279748546374961E-3</v>
      </c>
    </row>
    <row r="1445" spans="1:5" x14ac:dyDescent="0.35">
      <c r="A1445" s="33">
        <v>45679</v>
      </c>
      <c r="B1445" s="34">
        <v>225.03</v>
      </c>
      <c r="C1445" s="34">
        <v>113443.43</v>
      </c>
      <c r="D1445" s="37">
        <f t="shared" si="44"/>
        <v>-1.168255083666387E-2</v>
      </c>
      <c r="E1445" s="37">
        <f t="shared" si="45"/>
        <v>-1.3897676723117003E-2</v>
      </c>
    </row>
    <row r="1446" spans="1:5" x14ac:dyDescent="0.35">
      <c r="A1446" s="35">
        <v>45680</v>
      </c>
      <c r="B1446" s="36">
        <v>222.12</v>
      </c>
      <c r="C1446" s="36">
        <v>114037.79</v>
      </c>
      <c r="D1446" s="37">
        <f t="shared" si="44"/>
        <v>-1.2931609118784148E-2</v>
      </c>
      <c r="E1446" s="37">
        <f t="shared" si="45"/>
        <v>5.2392633050675624E-3</v>
      </c>
    </row>
    <row r="1447" spans="1:5" x14ac:dyDescent="0.35">
      <c r="A1447" s="33">
        <v>45681</v>
      </c>
      <c r="B1447" s="34">
        <v>226.1</v>
      </c>
      <c r="C1447" s="34">
        <v>114880.49</v>
      </c>
      <c r="D1447" s="37">
        <f t="shared" si="44"/>
        <v>1.7918242391500045E-2</v>
      </c>
      <c r="E1447" s="37">
        <f t="shared" si="45"/>
        <v>7.3896556571292002E-3</v>
      </c>
    </row>
    <row r="1448" spans="1:5" x14ac:dyDescent="0.35">
      <c r="A1448" s="35">
        <v>45684</v>
      </c>
      <c r="B1448" s="36">
        <v>229.07</v>
      </c>
      <c r="C1448" s="36">
        <v>113520.32000000001</v>
      </c>
      <c r="D1448" s="37">
        <f t="shared" si="44"/>
        <v>1.3135780628040685E-2</v>
      </c>
      <c r="E1448" s="37">
        <f t="shared" si="45"/>
        <v>-1.1839869415598751E-2</v>
      </c>
    </row>
    <row r="1449" spans="1:5" x14ac:dyDescent="0.35">
      <c r="A1449" s="33">
        <v>45685</v>
      </c>
      <c r="B1449" s="34">
        <v>235.04</v>
      </c>
      <c r="C1449" s="34">
        <v>112030.36</v>
      </c>
      <c r="D1449" s="37">
        <f t="shared" si="44"/>
        <v>2.6061902475225909E-2</v>
      </c>
      <c r="E1449" s="37">
        <f t="shared" si="45"/>
        <v>-1.3125051092174567E-2</v>
      </c>
    </row>
    <row r="1450" spans="1:5" x14ac:dyDescent="0.35">
      <c r="A1450" s="35">
        <v>45686</v>
      </c>
      <c r="B1450" s="36">
        <v>238.76</v>
      </c>
      <c r="C1450" s="36">
        <v>111487.36</v>
      </c>
      <c r="D1450" s="37">
        <f t="shared" si="44"/>
        <v>1.5827093260721577E-2</v>
      </c>
      <c r="E1450" s="37">
        <f t="shared" si="45"/>
        <v>-4.8469004294907202E-3</v>
      </c>
    </row>
    <row r="1451" spans="1:5" x14ac:dyDescent="0.35">
      <c r="A1451" s="33">
        <v>45687</v>
      </c>
      <c r="B1451" s="34">
        <v>235.05</v>
      </c>
      <c r="C1451" s="34">
        <v>113206.39999999999</v>
      </c>
      <c r="D1451" s="37">
        <f t="shared" si="44"/>
        <v>-1.553861618361526E-2</v>
      </c>
      <c r="E1451" s="37">
        <f t="shared" si="45"/>
        <v>1.5419147067434313E-2</v>
      </c>
    </row>
    <row r="1452" spans="1:5" x14ac:dyDescent="0.35">
      <c r="A1452" s="35">
        <v>45688</v>
      </c>
      <c r="B1452" s="36">
        <v>235.99</v>
      </c>
      <c r="C1452" s="36">
        <v>114255.73</v>
      </c>
      <c r="D1452" s="37">
        <f t="shared" si="44"/>
        <v>3.9991491172090944E-3</v>
      </c>
      <c r="E1452" s="37">
        <f t="shared" si="45"/>
        <v>9.2691755943127042E-3</v>
      </c>
    </row>
    <row r="1453" spans="1:5" x14ac:dyDescent="0.35">
      <c r="A1453" s="33">
        <v>45691</v>
      </c>
      <c r="B1453" s="34">
        <v>234.88</v>
      </c>
      <c r="C1453" s="34">
        <v>112745.01</v>
      </c>
      <c r="D1453" s="37">
        <f t="shared" si="44"/>
        <v>-4.7035891351329025E-3</v>
      </c>
      <c r="E1453" s="37">
        <f t="shared" si="45"/>
        <v>-1.3222269027557753E-2</v>
      </c>
    </row>
    <row r="1454" spans="1:5" x14ac:dyDescent="0.35">
      <c r="A1454" s="35">
        <v>45692</v>
      </c>
      <c r="B1454" s="36">
        <v>233.63</v>
      </c>
      <c r="C1454" s="36">
        <v>111935.38</v>
      </c>
      <c r="D1454" s="37">
        <f t="shared" si="44"/>
        <v>-5.3218664850136245E-3</v>
      </c>
      <c r="E1454" s="37">
        <f t="shared" si="45"/>
        <v>-7.1810716944367657E-3</v>
      </c>
    </row>
    <row r="1455" spans="1:5" x14ac:dyDescent="0.35">
      <c r="A1455" s="33">
        <v>45694</v>
      </c>
      <c r="B1455" s="34">
        <v>223.9</v>
      </c>
      <c r="C1455" s="34">
        <v>110301.16</v>
      </c>
      <c r="D1455" s="37">
        <f t="shared" si="44"/>
        <v>-4.1647048752300603E-2</v>
      </c>
      <c r="E1455" s="37">
        <f t="shared" si="45"/>
        <v>-1.4599673490186937E-2</v>
      </c>
    </row>
    <row r="1456" spans="1:5" x14ac:dyDescent="0.35">
      <c r="A1456" s="35">
        <v>45695</v>
      </c>
      <c r="B1456" s="36">
        <v>224.86</v>
      </c>
      <c r="C1456" s="36">
        <v>110322.94</v>
      </c>
      <c r="D1456" s="37">
        <f t="shared" si="44"/>
        <v>4.2876284055382219E-3</v>
      </c>
      <c r="E1456" s="37">
        <f t="shared" si="45"/>
        <v>1.9745939208616514E-4</v>
      </c>
    </row>
    <row r="1457" spans="1:5" x14ac:dyDescent="0.35">
      <c r="A1457" s="33">
        <v>45698</v>
      </c>
      <c r="B1457" s="34">
        <v>222.58</v>
      </c>
      <c r="C1457" s="34">
        <v>111377.97</v>
      </c>
      <c r="D1457" s="37">
        <f t="shared" si="44"/>
        <v>-1.0139642444187498E-2</v>
      </c>
      <c r="E1457" s="37">
        <f t="shared" si="45"/>
        <v>9.563106276899427E-3</v>
      </c>
    </row>
    <row r="1458" spans="1:5" x14ac:dyDescent="0.35">
      <c r="A1458" s="35">
        <v>45699</v>
      </c>
      <c r="B1458" s="36">
        <v>224.05</v>
      </c>
      <c r="C1458" s="36">
        <v>113010.38</v>
      </c>
      <c r="D1458" s="37">
        <f t="shared" si="44"/>
        <v>6.6043669691796154E-3</v>
      </c>
      <c r="E1458" s="37">
        <f t="shared" si="45"/>
        <v>1.4656489070504729E-2</v>
      </c>
    </row>
    <row r="1459" spans="1:5" x14ac:dyDescent="0.35">
      <c r="A1459" s="33">
        <v>45700</v>
      </c>
      <c r="B1459" s="34">
        <v>224.02</v>
      </c>
      <c r="C1459" s="34">
        <v>112924.94</v>
      </c>
      <c r="D1459" s="37">
        <f t="shared" si="44"/>
        <v>-1.3389868332961899E-4</v>
      </c>
      <c r="E1459" s="37">
        <f t="shared" si="45"/>
        <v>-7.5603674635907185E-4</v>
      </c>
    </row>
    <row r="1460" spans="1:5" x14ac:dyDescent="0.35">
      <c r="A1460" s="35">
        <v>45701</v>
      </c>
      <c r="B1460" s="36">
        <v>223.22</v>
      </c>
      <c r="C1460" s="36">
        <v>112564.08</v>
      </c>
      <c r="D1460" s="37">
        <f t="shared" si="44"/>
        <v>-3.5711097223462699E-3</v>
      </c>
      <c r="E1460" s="37">
        <f t="shared" si="45"/>
        <v>-3.1955739803802472E-3</v>
      </c>
    </row>
    <row r="1461" spans="1:5" x14ac:dyDescent="0.35">
      <c r="A1461" s="33">
        <v>45702</v>
      </c>
      <c r="B1461" s="34">
        <v>236.65</v>
      </c>
      <c r="C1461" s="34">
        <v>112085.3</v>
      </c>
      <c r="D1461" s="37">
        <f t="shared" si="44"/>
        <v>6.0164859779589672E-2</v>
      </c>
      <c r="E1461" s="37">
        <f t="shared" si="45"/>
        <v>-4.2533994858750578E-3</v>
      </c>
    </row>
    <row r="1462" spans="1:5" x14ac:dyDescent="0.35">
      <c r="A1462" s="35">
        <v>45705</v>
      </c>
      <c r="B1462" s="36">
        <v>230.19</v>
      </c>
      <c r="C1462" s="36">
        <v>111743.53</v>
      </c>
      <c r="D1462" s="37">
        <f t="shared" si="44"/>
        <v>-2.7297697020917E-2</v>
      </c>
      <c r="E1462" s="37">
        <f t="shared" si="45"/>
        <v>-3.0491955680183223E-3</v>
      </c>
    </row>
    <row r="1463" spans="1:5" x14ac:dyDescent="0.35">
      <c r="A1463" s="33">
        <v>45706</v>
      </c>
      <c r="B1463" s="34">
        <v>232.62</v>
      </c>
      <c r="C1463" s="34">
        <v>113088.48</v>
      </c>
      <c r="D1463" s="37">
        <f t="shared" si="44"/>
        <v>1.0556496806985564E-2</v>
      </c>
      <c r="E1463" s="37">
        <f t="shared" si="45"/>
        <v>1.2036043608072854E-2</v>
      </c>
    </row>
    <row r="1464" spans="1:5" x14ac:dyDescent="0.35">
      <c r="A1464" s="35">
        <v>45707</v>
      </c>
      <c r="B1464" s="36">
        <v>237.96</v>
      </c>
      <c r="C1464" s="36">
        <v>113342.44</v>
      </c>
      <c r="D1464" s="37">
        <f t="shared" si="44"/>
        <v>2.2955893732267231E-2</v>
      </c>
      <c r="E1464" s="37">
        <f t="shared" si="45"/>
        <v>2.2456752447287858E-3</v>
      </c>
    </row>
    <row r="1465" spans="1:5" x14ac:dyDescent="0.35">
      <c r="A1465" s="33">
        <v>45708</v>
      </c>
      <c r="B1465" s="34">
        <v>249.61</v>
      </c>
      <c r="C1465" s="34">
        <v>113739.16</v>
      </c>
      <c r="D1465" s="37">
        <f t="shared" si="44"/>
        <v>4.8957808034963884E-2</v>
      </c>
      <c r="E1465" s="37">
        <f t="shared" si="45"/>
        <v>3.5001893377273434E-3</v>
      </c>
    </row>
    <row r="1466" spans="1:5" x14ac:dyDescent="0.35">
      <c r="A1466" s="35">
        <v>45709</v>
      </c>
      <c r="B1466" s="36">
        <v>252.56</v>
      </c>
      <c r="C1466" s="36">
        <v>112800.93</v>
      </c>
      <c r="D1466" s="37">
        <f t="shared" si="44"/>
        <v>1.1818436761347657E-2</v>
      </c>
      <c r="E1466" s="37">
        <f t="shared" si="45"/>
        <v>-8.2489619230528034E-3</v>
      </c>
    </row>
    <row r="1467" spans="1:5" x14ac:dyDescent="0.35">
      <c r="A1467" s="33">
        <v>45712</v>
      </c>
      <c r="B1467" s="34">
        <v>248.71</v>
      </c>
      <c r="C1467" s="34">
        <v>114330.1</v>
      </c>
      <c r="D1467" s="37">
        <f t="shared" si="44"/>
        <v>-1.5243902439024367E-2</v>
      </c>
      <c r="E1467" s="37">
        <f t="shared" si="45"/>
        <v>1.3556359863345213E-2</v>
      </c>
    </row>
    <row r="1468" spans="1:5" x14ac:dyDescent="0.35">
      <c r="A1468" s="35">
        <v>45713</v>
      </c>
      <c r="B1468" s="36">
        <v>244.1</v>
      </c>
      <c r="C1468" s="36">
        <v>114528.09</v>
      </c>
      <c r="D1468" s="37">
        <f t="shared" si="44"/>
        <v>-1.8535643922640881E-2</v>
      </c>
      <c r="E1468" s="37">
        <f t="shared" si="45"/>
        <v>1.7317399355024677E-3</v>
      </c>
    </row>
    <row r="1469" spans="1:5" x14ac:dyDescent="0.35">
      <c r="A1469" s="33">
        <v>45714</v>
      </c>
      <c r="B1469" s="34">
        <v>244.86</v>
      </c>
      <c r="C1469" s="34">
        <v>113862.33</v>
      </c>
      <c r="D1469" s="37">
        <f t="shared" si="44"/>
        <v>3.1134780827530495E-3</v>
      </c>
      <c r="E1469" s="37">
        <f t="shared" si="45"/>
        <v>-5.8130717101804001E-3</v>
      </c>
    </row>
    <row r="1470" spans="1:5" x14ac:dyDescent="0.35">
      <c r="A1470" s="35">
        <v>45715</v>
      </c>
      <c r="B1470" s="36">
        <v>245.04</v>
      </c>
      <c r="C1470" s="36">
        <v>113784.31</v>
      </c>
      <c r="D1470" s="37">
        <f t="shared" si="44"/>
        <v>7.3511394266102424E-4</v>
      </c>
      <c r="E1470" s="37">
        <f t="shared" si="45"/>
        <v>-6.8521345031323413E-4</v>
      </c>
    </row>
    <row r="1471" spans="1:5" x14ac:dyDescent="0.35">
      <c r="A1471" s="33">
        <v>45716</v>
      </c>
      <c r="B1471" s="34">
        <v>250.44</v>
      </c>
      <c r="C1471" s="34">
        <v>113251.67</v>
      </c>
      <c r="D1471" s="37">
        <f t="shared" si="44"/>
        <v>2.2037218413320299E-2</v>
      </c>
      <c r="E1471" s="37">
        <f t="shared" si="45"/>
        <v>-4.6811374960220743E-3</v>
      </c>
    </row>
    <row r="1472" spans="1:5" x14ac:dyDescent="0.35">
      <c r="A1472" s="35">
        <v>45719</v>
      </c>
      <c r="B1472" s="36">
        <v>249.67</v>
      </c>
      <c r="C1472" s="36">
        <v>111986.89</v>
      </c>
      <c r="D1472" s="37">
        <f t="shared" si="44"/>
        <v>-3.0745887238460717E-3</v>
      </c>
      <c r="E1472" s="37">
        <f t="shared" si="45"/>
        <v>-1.1167870637139381E-2</v>
      </c>
    </row>
    <row r="1473" spans="1:5" x14ac:dyDescent="0.35">
      <c r="A1473" s="33">
        <v>45720</v>
      </c>
      <c r="B1473" s="34">
        <v>249.16</v>
      </c>
      <c r="C1473" s="34">
        <v>112743.8</v>
      </c>
      <c r="D1473" s="37">
        <f t="shared" si="44"/>
        <v>-2.0426963591940999E-3</v>
      </c>
      <c r="E1473" s="37">
        <f t="shared" si="45"/>
        <v>6.7589161552749927E-3</v>
      </c>
    </row>
    <row r="1474" spans="1:5" x14ac:dyDescent="0.35">
      <c r="A1474" s="35">
        <v>45721</v>
      </c>
      <c r="B1474" s="36">
        <v>253.07</v>
      </c>
      <c r="C1474" s="36">
        <v>112253.75999999999</v>
      </c>
      <c r="D1474" s="37">
        <f t="shared" si="44"/>
        <v>1.56927275646171E-2</v>
      </c>
      <c r="E1474" s="37">
        <f t="shared" si="45"/>
        <v>-4.3464917804793531E-3</v>
      </c>
    </row>
    <row r="1475" spans="1:5" x14ac:dyDescent="0.35">
      <c r="A1475" s="33">
        <v>45722</v>
      </c>
      <c r="B1475" s="34">
        <v>256.07</v>
      </c>
      <c r="C1475" s="34">
        <v>113713.18</v>
      </c>
      <c r="D1475" s="37">
        <f t="shared" si="44"/>
        <v>1.1854427628719327E-2</v>
      </c>
      <c r="E1475" s="37">
        <f t="shared" si="45"/>
        <v>1.3001078983902173E-2</v>
      </c>
    </row>
    <row r="1476" spans="1:5" x14ac:dyDescent="0.35">
      <c r="A1476" s="35">
        <v>45723</v>
      </c>
      <c r="B1476" s="36">
        <v>272.07</v>
      </c>
      <c r="C1476" s="36">
        <v>114398.7</v>
      </c>
      <c r="D1476" s="37">
        <f t="shared" si="44"/>
        <v>6.2482914827976729E-2</v>
      </c>
      <c r="E1476" s="37">
        <f t="shared" si="45"/>
        <v>6.0285008298950407E-3</v>
      </c>
    </row>
    <row r="1477" spans="1:5" x14ac:dyDescent="0.35">
      <c r="A1477" s="33">
        <v>45726</v>
      </c>
      <c r="B1477" s="34">
        <v>270.38</v>
      </c>
      <c r="C1477" s="34">
        <v>114356.34</v>
      </c>
      <c r="D1477" s="37">
        <f t="shared" ref="D1477:D1540" si="46">(B1477-B1476)/B1476</f>
        <v>-6.2116367111405071E-3</v>
      </c>
      <c r="E1477" s="37">
        <f t="shared" ref="E1477:E1540" si="47">(C1477-C1476)/C1476</f>
        <v>-3.7028392805163506E-4</v>
      </c>
    </row>
    <row r="1478" spans="1:5" x14ac:dyDescent="0.35">
      <c r="A1478" s="35">
        <v>45727</v>
      </c>
      <c r="B1478" s="36">
        <v>273.31</v>
      </c>
      <c r="C1478" s="36">
        <v>114177.66</v>
      </c>
      <c r="D1478" s="37">
        <f t="shared" si="46"/>
        <v>1.0836600340261879E-2</v>
      </c>
      <c r="E1478" s="37">
        <f t="shared" si="47"/>
        <v>-1.5624844236882102E-3</v>
      </c>
    </row>
    <row r="1479" spans="1:5" x14ac:dyDescent="0.35">
      <c r="A1479" s="33">
        <v>45728</v>
      </c>
      <c r="B1479" s="34">
        <v>272</v>
      </c>
      <c r="C1479" s="34">
        <v>114084.54</v>
      </c>
      <c r="D1479" s="37">
        <f t="shared" si="46"/>
        <v>-4.7930920932274792E-3</v>
      </c>
      <c r="E1479" s="37">
        <f t="shared" si="47"/>
        <v>-8.1557110208783305E-4</v>
      </c>
    </row>
    <row r="1480" spans="1:5" x14ac:dyDescent="0.35">
      <c r="A1480" s="35">
        <v>45729</v>
      </c>
      <c r="B1480" s="36">
        <v>271.62</v>
      </c>
      <c r="C1480" s="36">
        <v>115094.24</v>
      </c>
      <c r="D1480" s="37">
        <f t="shared" si="46"/>
        <v>-1.3970588235293951E-3</v>
      </c>
      <c r="E1480" s="37">
        <f t="shared" si="47"/>
        <v>8.8504542333256702E-3</v>
      </c>
    </row>
    <row r="1481" spans="1:5" x14ac:dyDescent="0.35">
      <c r="A1481" s="33">
        <v>45730</v>
      </c>
      <c r="B1481" s="34">
        <v>269.67</v>
      </c>
      <c r="C1481" s="34">
        <v>115536.17</v>
      </c>
      <c r="D1481" s="37">
        <f t="shared" si="46"/>
        <v>-7.1791473381930216E-3</v>
      </c>
      <c r="E1481" s="37">
        <f t="shared" si="47"/>
        <v>3.8397229956945978E-3</v>
      </c>
    </row>
    <row r="1482" spans="1:5" x14ac:dyDescent="0.35">
      <c r="A1482" s="35">
        <v>45733</v>
      </c>
      <c r="B1482" s="36">
        <v>274.95999999999998</v>
      </c>
      <c r="C1482" s="36">
        <v>116199.59</v>
      </c>
      <c r="D1482" s="37">
        <f t="shared" si="46"/>
        <v>1.9616568398412738E-2</v>
      </c>
      <c r="E1482" s="37">
        <f t="shared" si="47"/>
        <v>5.7420979075210668E-3</v>
      </c>
    </row>
    <row r="1483" spans="1:5" x14ac:dyDescent="0.35">
      <c r="A1483" s="33">
        <v>45734</v>
      </c>
      <c r="B1483" s="34">
        <v>273.27999999999997</v>
      </c>
      <c r="C1483" s="34">
        <v>117001.09</v>
      </c>
      <c r="D1483" s="37">
        <f t="shared" si="46"/>
        <v>-6.109979633401247E-3</v>
      </c>
      <c r="E1483" s="37">
        <f t="shared" si="47"/>
        <v>6.8976146989847388E-3</v>
      </c>
    </row>
    <row r="1484" spans="1:5" x14ac:dyDescent="0.35">
      <c r="A1484" s="35">
        <v>45735</v>
      </c>
      <c r="B1484" s="36">
        <v>277.74</v>
      </c>
      <c r="C1484" s="36">
        <v>117974.03</v>
      </c>
      <c r="D1484" s="37">
        <f t="shared" si="46"/>
        <v>1.6320257611241354E-2</v>
      </c>
      <c r="E1484" s="37">
        <f t="shared" si="47"/>
        <v>8.3156490251501281E-3</v>
      </c>
    </row>
    <row r="1485" spans="1:5" x14ac:dyDescent="0.35">
      <c r="A1485" s="33">
        <v>45736</v>
      </c>
      <c r="B1485" s="34">
        <v>278.14999999999998</v>
      </c>
      <c r="C1485" s="34">
        <v>118769.77</v>
      </c>
      <c r="D1485" s="37">
        <f t="shared" si="46"/>
        <v>1.4762007633036946E-3</v>
      </c>
      <c r="E1485" s="37">
        <f t="shared" si="47"/>
        <v>6.7450438032845474E-3</v>
      </c>
    </row>
    <row r="1486" spans="1:5" x14ac:dyDescent="0.35">
      <c r="A1486" s="35">
        <v>45737</v>
      </c>
      <c r="B1486" s="36">
        <v>277.48</v>
      </c>
      <c r="C1486" s="36">
        <v>118442.18</v>
      </c>
      <c r="D1486" s="37">
        <f t="shared" si="46"/>
        <v>-2.4087722451912965E-3</v>
      </c>
      <c r="E1486" s="37">
        <f t="shared" si="47"/>
        <v>-2.7581934359223819E-3</v>
      </c>
    </row>
    <row r="1487" spans="1:5" x14ac:dyDescent="0.35">
      <c r="A1487" s="33">
        <v>45740</v>
      </c>
      <c r="B1487" s="34">
        <v>274.39999999999998</v>
      </c>
      <c r="C1487" s="34">
        <v>116439.62</v>
      </c>
      <c r="D1487" s="37">
        <f t="shared" si="46"/>
        <v>-1.1099899091826584E-2</v>
      </c>
      <c r="E1487" s="37">
        <f t="shared" si="47"/>
        <v>-1.6907490220122577E-2</v>
      </c>
    </row>
    <row r="1488" spans="1:5" x14ac:dyDescent="0.35">
      <c r="A1488" s="35">
        <v>45741</v>
      </c>
      <c r="B1488" s="36">
        <v>272.24</v>
      </c>
      <c r="C1488" s="36">
        <v>116633.17</v>
      </c>
      <c r="D1488" s="37">
        <f t="shared" si="46"/>
        <v>-7.8717201166179605E-3</v>
      </c>
      <c r="E1488" s="37">
        <f t="shared" si="47"/>
        <v>1.6622348990833439E-3</v>
      </c>
    </row>
    <row r="1489" spans="1:5" x14ac:dyDescent="0.35">
      <c r="A1489" s="33">
        <v>45742</v>
      </c>
      <c r="B1489" s="34">
        <v>274.07</v>
      </c>
      <c r="C1489" s="34">
        <v>117772.31</v>
      </c>
      <c r="D1489" s="37">
        <f t="shared" si="46"/>
        <v>6.7220099911841904E-3</v>
      </c>
      <c r="E1489" s="37">
        <f t="shared" si="47"/>
        <v>9.7668613482768188E-3</v>
      </c>
    </row>
    <row r="1490" spans="1:5" x14ac:dyDescent="0.35">
      <c r="A1490" s="35">
        <v>45743</v>
      </c>
      <c r="B1490" s="36">
        <v>276.08</v>
      </c>
      <c r="C1490" s="36">
        <v>117806.75</v>
      </c>
      <c r="D1490" s="37">
        <f t="shared" si="46"/>
        <v>7.3338928011091728E-3</v>
      </c>
      <c r="E1490" s="37">
        <f t="shared" si="47"/>
        <v>2.9242867020271853E-4</v>
      </c>
    </row>
    <row r="1491" spans="1:5" x14ac:dyDescent="0.35">
      <c r="A1491" s="33">
        <v>45750</v>
      </c>
      <c r="B1491" s="34">
        <v>273.8</v>
      </c>
      <c r="C1491" s="34">
        <v>118938.11</v>
      </c>
      <c r="D1491" s="37">
        <f t="shared" si="46"/>
        <v>-8.2584758041146511E-3</v>
      </c>
      <c r="E1491" s="37">
        <f t="shared" si="47"/>
        <v>9.6035244160457747E-3</v>
      </c>
    </row>
    <row r="1492" spans="1:5" x14ac:dyDescent="0.35">
      <c r="A1492" s="35">
        <v>45751</v>
      </c>
      <c r="B1492" s="36">
        <v>273.27</v>
      </c>
      <c r="C1492" s="36">
        <v>118791.66</v>
      </c>
      <c r="D1492" s="37">
        <f t="shared" si="46"/>
        <v>-1.9357195032871787E-3</v>
      </c>
      <c r="E1492" s="37">
        <f t="shared" si="47"/>
        <v>-1.2313126549597694E-3</v>
      </c>
    </row>
    <row r="1493" spans="1:5" x14ac:dyDescent="0.35">
      <c r="A1493" s="33">
        <v>45754</v>
      </c>
      <c r="B1493" s="34">
        <v>261.79000000000002</v>
      </c>
      <c r="C1493" s="34">
        <v>114909.49</v>
      </c>
      <c r="D1493" s="37">
        <f t="shared" si="46"/>
        <v>-4.2009733962747327E-2</v>
      </c>
      <c r="E1493" s="37">
        <f t="shared" si="47"/>
        <v>-3.2680492889820702E-2</v>
      </c>
    </row>
    <row r="1494" spans="1:5" x14ac:dyDescent="0.35">
      <c r="A1494" s="35">
        <v>45755</v>
      </c>
      <c r="B1494" s="36">
        <v>264.54000000000002</v>
      </c>
      <c r="C1494" s="36">
        <v>115532.43</v>
      </c>
      <c r="D1494" s="37">
        <f t="shared" si="46"/>
        <v>1.0504602926009396E-2</v>
      </c>
      <c r="E1494" s="37">
        <f t="shared" si="47"/>
        <v>5.4211362351359125E-3</v>
      </c>
    </row>
    <row r="1495" spans="1:5" x14ac:dyDescent="0.35">
      <c r="A1495" s="33">
        <v>45756</v>
      </c>
      <c r="B1495" s="34">
        <v>262.10000000000002</v>
      </c>
      <c r="C1495" s="34">
        <v>114153.16</v>
      </c>
      <c r="D1495" s="37">
        <f t="shared" si="46"/>
        <v>-9.2235578740455029E-3</v>
      </c>
      <c r="E1495" s="37">
        <f t="shared" si="47"/>
        <v>-1.1938379552823303E-2</v>
      </c>
    </row>
    <row r="1496" spans="1:5" x14ac:dyDescent="0.35">
      <c r="A1496" s="35">
        <v>45757</v>
      </c>
      <c r="B1496" s="36">
        <v>271.64999999999998</v>
      </c>
      <c r="C1496" s="36">
        <v>116189.21</v>
      </c>
      <c r="D1496" s="37">
        <f t="shared" si="46"/>
        <v>3.6436474628004402E-2</v>
      </c>
      <c r="E1496" s="37">
        <f t="shared" si="47"/>
        <v>1.7836124729267266E-2</v>
      </c>
    </row>
    <row r="1497" spans="1:5" x14ac:dyDescent="0.35">
      <c r="A1497" s="33">
        <v>45758</v>
      </c>
      <c r="B1497" s="34">
        <v>272</v>
      </c>
      <c r="C1497" s="34">
        <v>114853.33</v>
      </c>
      <c r="D1497" s="37">
        <f t="shared" si="46"/>
        <v>1.288422602613741E-3</v>
      </c>
      <c r="E1497" s="37">
        <f t="shared" si="47"/>
        <v>-1.1497453162819547E-2</v>
      </c>
    </row>
    <row r="1498" spans="1:5" x14ac:dyDescent="0.35">
      <c r="A1498" s="35">
        <v>45761</v>
      </c>
      <c r="B1498" s="36">
        <v>276.60000000000002</v>
      </c>
      <c r="C1498" s="36">
        <v>116390.04</v>
      </c>
      <c r="D1498" s="37">
        <f t="shared" si="46"/>
        <v>1.6911764705882435E-2</v>
      </c>
      <c r="E1498" s="37">
        <f t="shared" si="47"/>
        <v>1.3379760081836476E-2</v>
      </c>
    </row>
    <row r="1499" spans="1:5" x14ac:dyDescent="0.35">
      <c r="A1499" s="33">
        <v>45762</v>
      </c>
      <c r="B1499" s="34">
        <v>279.20999999999998</v>
      </c>
      <c r="C1499" s="34">
        <v>116775.5</v>
      </c>
      <c r="D1499" s="37">
        <f t="shared" si="46"/>
        <v>9.436008676789431E-3</v>
      </c>
      <c r="E1499" s="37">
        <f t="shared" si="47"/>
        <v>3.3117954079232761E-3</v>
      </c>
    </row>
    <row r="1500" spans="1:5" x14ac:dyDescent="0.35">
      <c r="A1500" s="35">
        <v>45763</v>
      </c>
      <c r="B1500" s="36">
        <v>288.14999999999998</v>
      </c>
      <c r="C1500" s="36">
        <v>116020.11</v>
      </c>
      <c r="D1500" s="37">
        <f t="shared" si="46"/>
        <v>3.201891049747501E-2</v>
      </c>
      <c r="E1500" s="37">
        <f t="shared" si="47"/>
        <v>-6.4687370210360856E-3</v>
      </c>
    </row>
    <row r="1501" spans="1:5" x14ac:dyDescent="0.35">
      <c r="A1501" s="33">
        <v>45764</v>
      </c>
      <c r="B1501" s="34">
        <v>296.52</v>
      </c>
      <c r="C1501" s="34">
        <v>116901.13</v>
      </c>
      <c r="D1501" s="37">
        <f t="shared" si="46"/>
        <v>2.9047371160853739E-2</v>
      </c>
      <c r="E1501" s="37">
        <f t="shared" si="47"/>
        <v>7.5936835433098974E-3</v>
      </c>
    </row>
    <row r="1502" spans="1:5" x14ac:dyDescent="0.35">
      <c r="A1502" s="35">
        <v>45765</v>
      </c>
      <c r="B1502" s="36">
        <v>294.01</v>
      </c>
      <c r="C1502" s="36">
        <v>117315.59</v>
      </c>
      <c r="D1502" s="37">
        <f t="shared" si="46"/>
        <v>-8.4648590314312395E-3</v>
      </c>
      <c r="E1502" s="37">
        <f t="shared" si="47"/>
        <v>3.5453891677522009E-3</v>
      </c>
    </row>
    <row r="1503" spans="1:5" x14ac:dyDescent="0.35">
      <c r="A1503" s="33">
        <v>45768</v>
      </c>
      <c r="B1503" s="34">
        <v>297.88</v>
      </c>
      <c r="C1503" s="34">
        <v>118383.38</v>
      </c>
      <c r="D1503" s="37">
        <f t="shared" si="46"/>
        <v>1.3162817591238409E-2</v>
      </c>
      <c r="E1503" s="37">
        <f t="shared" si="47"/>
        <v>9.1018593521969941E-3</v>
      </c>
    </row>
    <row r="1504" spans="1:5" x14ac:dyDescent="0.35">
      <c r="A1504" s="35">
        <v>45769</v>
      </c>
      <c r="B1504" s="36">
        <v>299.89999999999998</v>
      </c>
      <c r="C1504" s="36">
        <v>118430.35</v>
      </c>
      <c r="D1504" s="37">
        <f t="shared" si="46"/>
        <v>6.7812541963206052E-3</v>
      </c>
      <c r="E1504" s="37">
        <f t="shared" si="47"/>
        <v>3.9676177517486969E-4</v>
      </c>
    </row>
    <row r="1505" spans="1:5" x14ac:dyDescent="0.35">
      <c r="A1505" s="33">
        <v>45770</v>
      </c>
      <c r="B1505" s="34">
        <v>287.12</v>
      </c>
      <c r="C1505" s="34">
        <v>117226.15</v>
      </c>
      <c r="D1505" s="37">
        <f t="shared" si="46"/>
        <v>-4.2614204734911551E-2</v>
      </c>
      <c r="E1505" s="37">
        <f t="shared" si="47"/>
        <v>-1.0168001698888939E-2</v>
      </c>
    </row>
    <row r="1506" spans="1:5" x14ac:dyDescent="0.35">
      <c r="A1506" s="35">
        <v>45771</v>
      </c>
      <c r="B1506" s="36">
        <v>289.05</v>
      </c>
      <c r="C1506" s="36">
        <v>115019.82</v>
      </c>
      <c r="D1506" s="37">
        <f t="shared" si="46"/>
        <v>6.7219281136807144E-3</v>
      </c>
      <c r="E1506" s="37">
        <f t="shared" si="47"/>
        <v>-1.8821141869796009E-2</v>
      </c>
    </row>
    <row r="1507" spans="1:5" x14ac:dyDescent="0.35">
      <c r="A1507" s="33">
        <v>45772</v>
      </c>
      <c r="B1507" s="34">
        <v>287.08999999999997</v>
      </c>
      <c r="C1507" s="34">
        <v>115469.35</v>
      </c>
      <c r="D1507" s="37">
        <f t="shared" si="46"/>
        <v>-6.780833765784592E-3</v>
      </c>
      <c r="E1507" s="37">
        <f t="shared" si="47"/>
        <v>3.9082829376710796E-3</v>
      </c>
    </row>
    <row r="1508" spans="1:5" x14ac:dyDescent="0.35">
      <c r="A1508" s="35">
        <v>45775</v>
      </c>
      <c r="B1508" s="36">
        <v>283.17</v>
      </c>
      <c r="C1508" s="36">
        <v>114063.9</v>
      </c>
      <c r="D1508" s="37">
        <f t="shared" si="46"/>
        <v>-1.3654254763314499E-2</v>
      </c>
      <c r="E1508" s="37">
        <f t="shared" si="47"/>
        <v>-1.2171628228616612E-2</v>
      </c>
    </row>
    <row r="1509" spans="1:5" x14ac:dyDescent="0.35">
      <c r="A1509" s="33">
        <v>45776</v>
      </c>
      <c r="B1509" s="34">
        <v>281.58</v>
      </c>
      <c r="C1509" s="34">
        <v>114872.18</v>
      </c>
      <c r="D1509" s="37">
        <f t="shared" si="46"/>
        <v>-5.615001589151505E-3</v>
      </c>
      <c r="E1509" s="37">
        <f t="shared" si="47"/>
        <v>7.0862034350920745E-3</v>
      </c>
    </row>
    <row r="1510" spans="1:5" x14ac:dyDescent="0.35">
      <c r="A1510" s="35">
        <v>45777</v>
      </c>
      <c r="B1510" s="36">
        <v>277.64999999999998</v>
      </c>
      <c r="C1510" s="36">
        <v>111326.58</v>
      </c>
      <c r="D1510" s="37">
        <f t="shared" si="46"/>
        <v>-1.3956957170253595E-2</v>
      </c>
      <c r="E1510" s="37">
        <f t="shared" si="47"/>
        <v>-3.0865610803242276E-2</v>
      </c>
    </row>
    <row r="1511" spans="1:5" x14ac:dyDescent="0.35">
      <c r="A1511" s="33">
        <v>45779</v>
      </c>
      <c r="B1511" s="34">
        <v>281.58</v>
      </c>
      <c r="C1511" s="34">
        <v>114113.94</v>
      </c>
      <c r="D1511" s="37">
        <f t="shared" si="46"/>
        <v>1.4154511075094569E-2</v>
      </c>
      <c r="E1511" s="37">
        <f t="shared" si="47"/>
        <v>2.5037686417744984E-2</v>
      </c>
    </row>
    <row r="1512" spans="1:5" x14ac:dyDescent="0.35">
      <c r="A1512" s="35">
        <v>45782</v>
      </c>
      <c r="B1512" s="36">
        <v>279.8</v>
      </c>
      <c r="C1512" s="36">
        <v>114102.24</v>
      </c>
      <c r="D1512" s="37">
        <f t="shared" si="46"/>
        <v>-6.3214716954328176E-3</v>
      </c>
      <c r="E1512" s="37">
        <f t="shared" si="47"/>
        <v>-1.0252910380622287E-4</v>
      </c>
    </row>
    <row r="1513" spans="1:5" x14ac:dyDescent="0.35">
      <c r="A1513" s="33">
        <v>45783</v>
      </c>
      <c r="B1513" s="34">
        <v>277.69</v>
      </c>
      <c r="C1513" s="34">
        <v>113568.51</v>
      </c>
      <c r="D1513" s="37">
        <f t="shared" si="46"/>
        <v>-7.5411007862759595E-3</v>
      </c>
      <c r="E1513" s="37">
        <f t="shared" si="47"/>
        <v>-4.6776469944850374E-3</v>
      </c>
    </row>
    <row r="1514" spans="1:5" x14ac:dyDescent="0.35">
      <c r="A1514" s="35">
        <v>45784</v>
      </c>
      <c r="B1514" s="36">
        <v>271.89999999999998</v>
      </c>
      <c r="C1514" s="36">
        <v>110009.03</v>
      </c>
      <c r="D1514" s="37">
        <f t="shared" si="46"/>
        <v>-2.0850588786056466E-2</v>
      </c>
      <c r="E1514" s="37">
        <f t="shared" si="47"/>
        <v>-3.1342138767163505E-2</v>
      </c>
    </row>
    <row r="1515" spans="1:5" x14ac:dyDescent="0.35">
      <c r="A1515" s="33">
        <v>45785</v>
      </c>
      <c r="B1515" s="34">
        <v>259.33</v>
      </c>
      <c r="C1515" s="34">
        <v>103526.82</v>
      </c>
      <c r="D1515" s="37">
        <f t="shared" si="46"/>
        <v>-4.62302317028319E-2</v>
      </c>
      <c r="E1515" s="37">
        <f t="shared" si="47"/>
        <v>-5.8924344665160597E-2</v>
      </c>
    </row>
    <row r="1516" spans="1:5" x14ac:dyDescent="0.35">
      <c r="A1516" s="35">
        <v>45786</v>
      </c>
      <c r="B1516" s="36">
        <v>265.47000000000003</v>
      </c>
      <c r="C1516" s="36">
        <v>107174.64</v>
      </c>
      <c r="D1516" s="37">
        <f t="shared" si="46"/>
        <v>2.3676396868854522E-2</v>
      </c>
      <c r="E1516" s="37">
        <f t="shared" si="47"/>
        <v>3.5235507088887619E-2</v>
      </c>
    </row>
    <row r="1517" spans="1:5" x14ac:dyDescent="0.35">
      <c r="A1517" s="33">
        <v>45789</v>
      </c>
      <c r="B1517" s="34">
        <v>292</v>
      </c>
      <c r="C1517" s="34">
        <v>117297.73</v>
      </c>
      <c r="D1517" s="37">
        <f t="shared" si="46"/>
        <v>9.9935962632312386E-2</v>
      </c>
      <c r="E1517" s="37">
        <f t="shared" si="47"/>
        <v>9.4454154452956379E-2</v>
      </c>
    </row>
    <row r="1518" spans="1:5" x14ac:dyDescent="0.35">
      <c r="A1518" s="35">
        <v>45790</v>
      </c>
      <c r="B1518" s="36">
        <v>311.47000000000003</v>
      </c>
      <c r="C1518" s="36">
        <v>118575.89</v>
      </c>
      <c r="D1518" s="37">
        <f t="shared" si="46"/>
        <v>6.667808219178091E-2</v>
      </c>
      <c r="E1518" s="37">
        <f t="shared" si="47"/>
        <v>1.0896715563037781E-2</v>
      </c>
    </row>
    <row r="1519" spans="1:5" x14ac:dyDescent="0.35">
      <c r="A1519" s="33">
        <v>45791</v>
      </c>
      <c r="B1519" s="34">
        <v>312.75</v>
      </c>
      <c r="C1519" s="34">
        <v>118536.53</v>
      </c>
      <c r="D1519" s="37">
        <f t="shared" si="46"/>
        <v>4.1095450605193838E-3</v>
      </c>
      <c r="E1519" s="37">
        <f t="shared" si="47"/>
        <v>-3.3193931751219059E-4</v>
      </c>
    </row>
    <row r="1520" spans="1:5" x14ac:dyDescent="0.35">
      <c r="A1520" s="35">
        <v>45792</v>
      </c>
      <c r="B1520" s="36">
        <v>314.13</v>
      </c>
      <c r="C1520" s="36">
        <v>119961.91</v>
      </c>
      <c r="D1520" s="37">
        <f t="shared" si="46"/>
        <v>4.4124700239808008E-3</v>
      </c>
      <c r="E1520" s="37">
        <f t="shared" si="47"/>
        <v>1.2024816316117948E-2</v>
      </c>
    </row>
    <row r="1521" spans="1:5" x14ac:dyDescent="0.35">
      <c r="A1521" s="33">
        <v>45793</v>
      </c>
      <c r="B1521" s="34">
        <v>315.23</v>
      </c>
      <c r="C1521" s="34">
        <v>119649.14</v>
      </c>
      <c r="D1521" s="37">
        <f t="shared" si="46"/>
        <v>3.5017349504982737E-3</v>
      </c>
      <c r="E1521" s="37">
        <f t="shared" si="47"/>
        <v>-2.6072442494455453E-3</v>
      </c>
    </row>
    <row r="1522" spans="1:5" x14ac:dyDescent="0.35">
      <c r="A1522" s="35">
        <v>45796</v>
      </c>
      <c r="B1522" s="36">
        <v>313.11</v>
      </c>
      <c r="C1522" s="36">
        <v>119689.63</v>
      </c>
      <c r="D1522" s="37">
        <f t="shared" si="46"/>
        <v>-6.7252482314500662E-3</v>
      </c>
      <c r="E1522" s="37">
        <f t="shared" si="47"/>
        <v>3.3840610973054412E-4</v>
      </c>
    </row>
    <row r="1523" spans="1:5" x14ac:dyDescent="0.35">
      <c r="A1523" s="33">
        <v>45797</v>
      </c>
      <c r="B1523" s="34">
        <v>310.61</v>
      </c>
      <c r="C1523" s="34">
        <v>118971.13</v>
      </c>
      <c r="D1523" s="37">
        <f t="shared" si="46"/>
        <v>-7.9844144230462131E-3</v>
      </c>
      <c r="E1523" s="37">
        <f t="shared" si="47"/>
        <v>-6.0030263273434794E-3</v>
      </c>
    </row>
    <row r="1524" spans="1:5" x14ac:dyDescent="0.35">
      <c r="A1524" s="35">
        <v>45798</v>
      </c>
      <c r="B1524" s="36">
        <v>309.98</v>
      </c>
      <c r="C1524" s="36">
        <v>119931.46</v>
      </c>
      <c r="D1524" s="37">
        <f t="shared" si="46"/>
        <v>-2.0282669585653889E-3</v>
      </c>
      <c r="E1524" s="37">
        <f t="shared" si="47"/>
        <v>8.0719582977820063E-3</v>
      </c>
    </row>
    <row r="1525" spans="1:5" x14ac:dyDescent="0.35">
      <c r="A1525" s="33">
        <v>45799</v>
      </c>
      <c r="B1525" s="34">
        <v>308.10000000000002</v>
      </c>
      <c r="C1525" s="34">
        <v>119153.04</v>
      </c>
      <c r="D1525" s="37">
        <f t="shared" si="46"/>
        <v>-6.0649074133814936E-3</v>
      </c>
      <c r="E1525" s="37">
        <f t="shared" si="47"/>
        <v>-6.4905405137235285E-3</v>
      </c>
    </row>
    <row r="1526" spans="1:5" x14ac:dyDescent="0.35">
      <c r="A1526" s="35">
        <v>45800</v>
      </c>
      <c r="B1526" s="36">
        <v>307.10000000000002</v>
      </c>
      <c r="C1526" s="36">
        <v>119102.67</v>
      </c>
      <c r="D1526" s="37">
        <f t="shared" si="46"/>
        <v>-3.2456994482310936E-3</v>
      </c>
      <c r="E1526" s="37">
        <f t="shared" si="47"/>
        <v>-4.2273365413081652E-4</v>
      </c>
    </row>
    <row r="1527" spans="1:5" x14ac:dyDescent="0.35">
      <c r="A1527" s="33">
        <v>45803</v>
      </c>
      <c r="B1527" s="34">
        <v>305.3</v>
      </c>
      <c r="C1527" s="34">
        <v>118221.12</v>
      </c>
      <c r="D1527" s="37">
        <f t="shared" si="46"/>
        <v>-5.8612829697167416E-3</v>
      </c>
      <c r="E1527" s="37">
        <f t="shared" si="47"/>
        <v>-7.4015972941664778E-3</v>
      </c>
    </row>
    <row r="1528" spans="1:5" x14ac:dyDescent="0.35">
      <c r="A1528" s="35">
        <v>45804</v>
      </c>
      <c r="B1528" s="36">
        <v>304.36</v>
      </c>
      <c r="C1528" s="36">
        <v>118332.91</v>
      </c>
      <c r="D1528" s="37">
        <f t="shared" si="46"/>
        <v>-3.0789387487716925E-3</v>
      </c>
      <c r="E1528" s="37">
        <f t="shared" si="47"/>
        <v>9.4560092139211798E-4</v>
      </c>
    </row>
    <row r="1529" spans="1:5" x14ac:dyDescent="0.35">
      <c r="A1529" s="33">
        <v>45806</v>
      </c>
      <c r="B1529" s="34">
        <v>306.64999999999998</v>
      </c>
      <c r="C1529" s="34">
        <v>118971.41</v>
      </c>
      <c r="D1529" s="37">
        <f t="shared" si="46"/>
        <v>7.5239847548953988E-3</v>
      </c>
      <c r="E1529" s="37">
        <f t="shared" si="47"/>
        <v>5.395793951150191E-3</v>
      </c>
    </row>
    <row r="1530" spans="1:5" x14ac:dyDescent="0.35">
      <c r="A1530" s="35">
        <v>45807</v>
      </c>
      <c r="B1530" s="36">
        <v>307.08999999999997</v>
      </c>
      <c r="C1530" s="36">
        <v>119691.09</v>
      </c>
      <c r="D1530" s="37">
        <f t="shared" si="46"/>
        <v>1.4348605902494628E-3</v>
      </c>
      <c r="E1530" s="37">
        <f t="shared" si="47"/>
        <v>6.0491844217026008E-3</v>
      </c>
    </row>
    <row r="1531" spans="1:5" x14ac:dyDescent="0.35">
      <c r="A1531" s="33">
        <v>45810</v>
      </c>
      <c r="B1531" s="34">
        <v>306.29000000000002</v>
      </c>
      <c r="C1531" s="34">
        <v>118877.81</v>
      </c>
      <c r="D1531" s="37">
        <f t="shared" si="46"/>
        <v>-2.6050994822363299E-3</v>
      </c>
      <c r="E1531" s="37">
        <f t="shared" si="47"/>
        <v>-6.7948249113613957E-3</v>
      </c>
    </row>
    <row r="1532" spans="1:5" x14ac:dyDescent="0.35">
      <c r="A1532" s="35">
        <v>45811</v>
      </c>
      <c r="B1532" s="36">
        <v>312.5</v>
      </c>
      <c r="C1532" s="36">
        <v>120450.87</v>
      </c>
      <c r="D1532" s="37">
        <f t="shared" si="46"/>
        <v>2.0274902869829178E-2</v>
      </c>
      <c r="E1532" s="37">
        <f t="shared" si="47"/>
        <v>1.3232578897609214E-2</v>
      </c>
    </row>
    <row r="1533" spans="1:5" x14ac:dyDescent="0.35">
      <c r="A1533" s="33">
        <v>45812</v>
      </c>
      <c r="B1533" s="34">
        <v>311.73</v>
      </c>
      <c r="C1533" s="34">
        <v>121798.87</v>
      </c>
      <c r="D1533" s="37">
        <f t="shared" si="46"/>
        <v>-2.4639999999999419E-3</v>
      </c>
      <c r="E1533" s="37">
        <f t="shared" si="47"/>
        <v>1.1191284878224624E-2</v>
      </c>
    </row>
    <row r="1534" spans="1:5" x14ac:dyDescent="0.35">
      <c r="A1534" s="35">
        <v>45813</v>
      </c>
      <c r="B1534" s="36">
        <v>310.74</v>
      </c>
      <c r="C1534" s="36">
        <v>121641</v>
      </c>
      <c r="D1534" s="37">
        <f t="shared" si="46"/>
        <v>-3.1758252333750651E-3</v>
      </c>
      <c r="E1534" s="37">
        <f t="shared" si="47"/>
        <v>-1.2961532401737008E-3</v>
      </c>
    </row>
    <row r="1535" spans="1:5" x14ac:dyDescent="0.35">
      <c r="A1535" s="33">
        <v>45818</v>
      </c>
      <c r="B1535" s="34">
        <v>308.06</v>
      </c>
      <c r="C1535" s="34">
        <v>122024.44</v>
      </c>
      <c r="D1535" s="37">
        <f t="shared" si="46"/>
        <v>-8.6245735985068118E-3</v>
      </c>
      <c r="E1535" s="37">
        <f t="shared" si="47"/>
        <v>3.152226634111873E-3</v>
      </c>
    </row>
    <row r="1536" spans="1:5" x14ac:dyDescent="0.35">
      <c r="A1536" s="35">
        <v>45819</v>
      </c>
      <c r="B1536" s="36">
        <v>313.39</v>
      </c>
      <c r="C1536" s="36">
        <v>124352.68</v>
      </c>
      <c r="D1536" s="37">
        <f t="shared" si="46"/>
        <v>1.7301824319937622E-2</v>
      </c>
      <c r="E1536" s="37">
        <f t="shared" si="47"/>
        <v>1.9080112148025352E-2</v>
      </c>
    </row>
    <row r="1537" spans="1:5" x14ac:dyDescent="0.35">
      <c r="A1537" s="33">
        <v>45820</v>
      </c>
      <c r="B1537" s="34">
        <v>311.87</v>
      </c>
      <c r="C1537" s="34">
        <v>124093.12</v>
      </c>
      <c r="D1537" s="37">
        <f t="shared" si="46"/>
        <v>-4.8501866683684286E-3</v>
      </c>
      <c r="E1537" s="37">
        <f t="shared" si="47"/>
        <v>-2.0872891521115404E-3</v>
      </c>
    </row>
    <row r="1538" spans="1:5" x14ac:dyDescent="0.35">
      <c r="A1538" s="35">
        <v>45821</v>
      </c>
      <c r="B1538" s="36">
        <v>306.7</v>
      </c>
      <c r="C1538" s="36">
        <v>122143.57</v>
      </c>
      <c r="D1538" s="37">
        <f t="shared" si="46"/>
        <v>-1.6577420078879072E-2</v>
      </c>
      <c r="E1538" s="37">
        <f t="shared" si="47"/>
        <v>-1.5710379431188356E-2</v>
      </c>
    </row>
    <row r="1539" spans="1:5" x14ac:dyDescent="0.35">
      <c r="A1539" s="33">
        <v>45824</v>
      </c>
      <c r="B1539" s="34">
        <v>308.64999999999998</v>
      </c>
      <c r="C1539" s="34">
        <v>122225.36</v>
      </c>
      <c r="D1539" s="37">
        <f t="shared" si="46"/>
        <v>6.3580045647211895E-3</v>
      </c>
      <c r="E1539" s="37">
        <f t="shared" si="47"/>
        <v>6.696218229088407E-4</v>
      </c>
    </row>
    <row r="1540" spans="1:5" x14ac:dyDescent="0.35">
      <c r="A1540" s="35">
        <v>45825</v>
      </c>
      <c r="B1540" s="36">
        <v>308.8</v>
      </c>
      <c r="C1540" s="36">
        <v>121971.04</v>
      </c>
      <c r="D1540" s="37">
        <f t="shared" si="46"/>
        <v>4.8598736432863801E-4</v>
      </c>
      <c r="E1540" s="37">
        <f t="shared" si="47"/>
        <v>-2.080746581560545E-3</v>
      </c>
    </row>
    <row r="1541" spans="1:5" x14ac:dyDescent="0.35">
      <c r="A1541" s="33">
        <v>45826</v>
      </c>
      <c r="B1541" s="34">
        <v>308.33</v>
      </c>
      <c r="C1541" s="34">
        <v>120465.93</v>
      </c>
      <c r="D1541" s="37">
        <f t="shared" ref="D1541:D1604" si="48">(B1541-B1540)/B1540</f>
        <v>-1.5220207253886892E-3</v>
      </c>
      <c r="E1541" s="37">
        <f t="shared" ref="E1541:E1604" si="49">(C1541-C1540)/C1540</f>
        <v>-1.2339896421314441E-2</v>
      </c>
    </row>
    <row r="1542" spans="1:5" x14ac:dyDescent="0.35">
      <c r="A1542" s="35">
        <v>45827</v>
      </c>
      <c r="B1542" s="36">
        <v>308.05</v>
      </c>
      <c r="C1542" s="36">
        <v>120002.59</v>
      </c>
      <c r="D1542" s="37">
        <f t="shared" si="48"/>
        <v>-9.0811792559910719E-4</v>
      </c>
      <c r="E1542" s="37">
        <f t="shared" si="49"/>
        <v>-3.8462327066249896E-3</v>
      </c>
    </row>
    <row r="1543" spans="1:5" x14ac:dyDescent="0.35">
      <c r="A1543" s="33">
        <v>45828</v>
      </c>
      <c r="B1543" s="34">
        <v>303.45999999999998</v>
      </c>
      <c r="C1543" s="34">
        <v>120023.24</v>
      </c>
      <c r="D1543" s="37">
        <f t="shared" si="48"/>
        <v>-1.4900178542444511E-2</v>
      </c>
      <c r="E1543" s="37">
        <f t="shared" si="49"/>
        <v>1.7207961928162327E-4</v>
      </c>
    </row>
    <row r="1544" spans="1:5" x14ac:dyDescent="0.35">
      <c r="A1544" s="35">
        <v>45831</v>
      </c>
      <c r="B1544" s="36">
        <v>302.32</v>
      </c>
      <c r="C1544" s="36">
        <v>116167.47</v>
      </c>
      <c r="D1544" s="37">
        <f t="shared" si="48"/>
        <v>-3.7566730376325922E-3</v>
      </c>
      <c r="E1544" s="37">
        <f t="shared" si="49"/>
        <v>-3.2125195087218145E-2</v>
      </c>
    </row>
    <row r="1545" spans="1:5" x14ac:dyDescent="0.35">
      <c r="A1545" s="33">
        <v>45832</v>
      </c>
      <c r="B1545" s="34">
        <v>310.12</v>
      </c>
      <c r="C1545" s="34">
        <v>122246.64</v>
      </c>
      <c r="D1545" s="37">
        <f t="shared" si="48"/>
        <v>2.5800476316485882E-2</v>
      </c>
      <c r="E1545" s="37">
        <f t="shared" si="49"/>
        <v>5.2331087179569274E-2</v>
      </c>
    </row>
    <row r="1546" spans="1:5" x14ac:dyDescent="0.35">
      <c r="A1546" s="35">
        <v>45833</v>
      </c>
      <c r="B1546" s="36">
        <v>310.49</v>
      </c>
      <c r="C1546" s="36">
        <v>122761.64</v>
      </c>
      <c r="D1546" s="37">
        <f t="shared" si="48"/>
        <v>1.193086547143056E-3</v>
      </c>
      <c r="E1546" s="37">
        <f t="shared" si="49"/>
        <v>4.2127947238468069E-3</v>
      </c>
    </row>
    <row r="1547" spans="1:5" x14ac:dyDescent="0.35">
      <c r="A1547" s="33">
        <v>45834</v>
      </c>
      <c r="B1547" s="34">
        <v>312.61</v>
      </c>
      <c r="C1547" s="34">
        <v>122046.46</v>
      </c>
      <c r="D1547" s="37">
        <f t="shared" si="48"/>
        <v>6.8279171631936758E-3</v>
      </c>
      <c r="E1547" s="37">
        <f t="shared" si="49"/>
        <v>-5.825761206839474E-3</v>
      </c>
    </row>
    <row r="1548" spans="1:5" x14ac:dyDescent="0.35">
      <c r="A1548" s="35">
        <v>45835</v>
      </c>
      <c r="B1548" s="36">
        <v>315.7</v>
      </c>
      <c r="C1548" s="36">
        <v>124379.07</v>
      </c>
      <c r="D1548" s="37">
        <f t="shared" si="48"/>
        <v>9.8845206487315658E-3</v>
      </c>
      <c r="E1548" s="37">
        <f t="shared" si="49"/>
        <v>1.9112475691634156E-2</v>
      </c>
    </row>
    <row r="1549" spans="1:5" x14ac:dyDescent="0.35">
      <c r="A1549" s="33">
        <v>45838</v>
      </c>
      <c r="B1549" s="34">
        <v>317.85000000000002</v>
      </c>
      <c r="C1549" s="34">
        <v>125627.31</v>
      </c>
      <c r="D1549" s="37">
        <f t="shared" si="48"/>
        <v>6.8102629078239914E-3</v>
      </c>
      <c r="E1549" s="37">
        <f t="shared" si="49"/>
        <v>1.0035772095739184E-2</v>
      </c>
    </row>
    <row r="1550" spans="1:5" x14ac:dyDescent="0.35">
      <c r="A1550" s="35">
        <v>45839</v>
      </c>
      <c r="B1550" s="36">
        <v>320.3</v>
      </c>
      <c r="C1550" s="36">
        <v>128199.43</v>
      </c>
      <c r="D1550" s="37">
        <f t="shared" si="48"/>
        <v>7.7080383828849724E-3</v>
      </c>
      <c r="E1550" s="37">
        <f t="shared" si="49"/>
        <v>2.0474210583670025E-2</v>
      </c>
    </row>
    <row r="1551" spans="1:5" x14ac:dyDescent="0.35">
      <c r="A1551" s="33">
        <v>45840</v>
      </c>
      <c r="B1551" s="34">
        <v>315.44</v>
      </c>
      <c r="C1551" s="34">
        <v>130344.03</v>
      </c>
      <c r="D1551" s="37">
        <f t="shared" si="48"/>
        <v>-1.517327505463632E-2</v>
      </c>
      <c r="E1551" s="37">
        <f t="shared" si="49"/>
        <v>1.6728623520401033E-2</v>
      </c>
    </row>
    <row r="1552" spans="1:5" x14ac:dyDescent="0.35">
      <c r="A1552" s="35">
        <v>45841</v>
      </c>
      <c r="B1552" s="36">
        <v>316.74</v>
      </c>
      <c r="C1552" s="36">
        <v>130686.66</v>
      </c>
      <c r="D1552" s="37">
        <f t="shared" si="48"/>
        <v>4.1212274917575807E-3</v>
      </c>
      <c r="E1552" s="37">
        <f t="shared" si="49"/>
        <v>2.6286589420321336E-3</v>
      </c>
    </row>
    <row r="1553" spans="1:5" x14ac:dyDescent="0.35">
      <c r="A1553" s="33">
        <v>45842</v>
      </c>
      <c r="B1553" s="34">
        <v>316.08999999999997</v>
      </c>
      <c r="C1553" s="34">
        <v>131949.06</v>
      </c>
      <c r="D1553" s="37">
        <f t="shared" si="48"/>
        <v>-2.0521563427417884E-3</v>
      </c>
      <c r="E1553" s="37">
        <f t="shared" si="49"/>
        <v>9.6597464500201794E-3</v>
      </c>
    </row>
    <row r="1554" spans="1:5" x14ac:dyDescent="0.35">
      <c r="A1554" s="35">
        <v>45845</v>
      </c>
      <c r="B1554" s="36">
        <v>347.7</v>
      </c>
      <c r="C1554" s="36">
        <v>133370.16</v>
      </c>
      <c r="D1554" s="37">
        <f t="shared" si="48"/>
        <v>0.10000316365592084</v>
      </c>
      <c r="E1554" s="37">
        <f t="shared" si="49"/>
        <v>1.0770065357040103E-2</v>
      </c>
    </row>
    <row r="1555" spans="1:5" x14ac:dyDescent="0.35">
      <c r="A1555" s="33">
        <v>45846</v>
      </c>
      <c r="B1555" s="34">
        <v>357.89</v>
      </c>
      <c r="C1555" s="34">
        <v>133403.19</v>
      </c>
      <c r="D1555" s="37">
        <f t="shared" si="48"/>
        <v>2.9306873741731371E-2</v>
      </c>
      <c r="E1555" s="37">
        <f t="shared" si="49"/>
        <v>2.4765659724783139E-4</v>
      </c>
    </row>
    <row r="1556" spans="1:5" x14ac:dyDescent="0.35">
      <c r="A1556" s="35">
        <v>45847</v>
      </c>
      <c r="B1556" s="36">
        <v>357.81</v>
      </c>
      <c r="C1556" s="36">
        <v>132576.98000000001</v>
      </c>
      <c r="D1556" s="37">
        <f t="shared" si="48"/>
        <v>-2.235323702813269E-4</v>
      </c>
      <c r="E1556" s="37">
        <f t="shared" si="49"/>
        <v>-6.193330159496125E-3</v>
      </c>
    </row>
    <row r="1557" spans="1:5" x14ac:dyDescent="0.35">
      <c r="A1557" s="33">
        <v>45848</v>
      </c>
      <c r="B1557" s="34">
        <v>356.66</v>
      </c>
      <c r="C1557" s="34">
        <v>133782.34</v>
      </c>
      <c r="D1557" s="37">
        <f t="shared" si="48"/>
        <v>-3.2139962549956047E-3</v>
      </c>
      <c r="E1557" s="37">
        <f t="shared" si="49"/>
        <v>9.0917744543584107E-3</v>
      </c>
    </row>
    <row r="1558" spans="1:5" x14ac:dyDescent="0.35">
      <c r="A1558" s="35">
        <v>45849</v>
      </c>
      <c r="B1558" s="36">
        <v>353.07</v>
      </c>
      <c r="C1558" s="36">
        <v>134299.76999999999</v>
      </c>
      <c r="D1558" s="37">
        <f t="shared" si="48"/>
        <v>-1.0065608702966499E-2</v>
      </c>
      <c r="E1558" s="37">
        <f t="shared" si="49"/>
        <v>3.8677003257679078E-3</v>
      </c>
    </row>
    <row r="1559" spans="1:5" x14ac:dyDescent="0.35">
      <c r="A1559" s="33">
        <v>45852</v>
      </c>
      <c r="B1559" s="34">
        <v>355.52</v>
      </c>
      <c r="C1559" s="34">
        <v>136502.54999999999</v>
      </c>
      <c r="D1559" s="37">
        <f t="shared" si="48"/>
        <v>6.9391338827994127E-3</v>
      </c>
      <c r="E1559" s="37">
        <f t="shared" si="49"/>
        <v>1.640196405399651E-2</v>
      </c>
    </row>
    <row r="1560" spans="1:5" x14ac:dyDescent="0.35">
      <c r="A1560" s="35">
        <v>45853</v>
      </c>
      <c r="B1560" s="36">
        <v>355.72</v>
      </c>
      <c r="C1560" s="36">
        <v>135939.88</v>
      </c>
      <c r="D1560" s="37">
        <f t="shared" si="48"/>
        <v>5.6255625562569051E-4</v>
      </c>
      <c r="E1560" s="37">
        <f t="shared" si="49"/>
        <v>-4.1220475368407682E-3</v>
      </c>
    </row>
    <row r="1561" spans="1:5" x14ac:dyDescent="0.35">
      <c r="A1561" s="33">
        <v>45854</v>
      </c>
      <c r="B1561" s="34">
        <v>355.93</v>
      </c>
      <c r="C1561" s="34">
        <v>136379.97</v>
      </c>
      <c r="D1561" s="37">
        <f t="shared" si="48"/>
        <v>5.9035196221741688E-4</v>
      </c>
      <c r="E1561" s="37">
        <f t="shared" si="49"/>
        <v>3.23738699784049E-3</v>
      </c>
    </row>
    <row r="1562" spans="1:5" x14ac:dyDescent="0.35">
      <c r="A1562" s="35">
        <v>45855</v>
      </c>
      <c r="B1562" s="36">
        <v>357.89</v>
      </c>
      <c r="C1562" s="36">
        <v>138665.5</v>
      </c>
      <c r="D1562" s="37">
        <f t="shared" si="48"/>
        <v>5.5067007557665255E-3</v>
      </c>
      <c r="E1562" s="37">
        <f t="shared" si="49"/>
        <v>1.675854599469408E-2</v>
      </c>
    </row>
    <row r="1563" spans="1:5" x14ac:dyDescent="0.35">
      <c r="A1563" s="33">
        <v>45856</v>
      </c>
      <c r="B1563" s="34">
        <v>359.97</v>
      </c>
      <c r="C1563" s="34">
        <v>138597.35999999999</v>
      </c>
      <c r="D1563" s="37">
        <f t="shared" si="48"/>
        <v>5.8118416273157704E-3</v>
      </c>
      <c r="E1563" s="37">
        <f t="shared" si="49"/>
        <v>-4.9139836513057659E-4</v>
      </c>
    </row>
    <row r="1564" spans="1:5" x14ac:dyDescent="0.35">
      <c r="A1564" s="35">
        <v>45859</v>
      </c>
      <c r="B1564" s="36">
        <v>368.98</v>
      </c>
      <c r="C1564" s="36">
        <v>138217.57999999999</v>
      </c>
      <c r="D1564" s="37">
        <f t="shared" si="48"/>
        <v>2.5029863599744396E-2</v>
      </c>
      <c r="E1564" s="37">
        <f t="shared" si="49"/>
        <v>-2.7401676337846471E-3</v>
      </c>
    </row>
    <row r="1565" spans="1:5" x14ac:dyDescent="0.35">
      <c r="A1565" s="33">
        <v>45860</v>
      </c>
      <c r="B1565" s="34">
        <v>367.84</v>
      </c>
      <c r="C1565" s="34">
        <v>139419.63</v>
      </c>
      <c r="D1565" s="37">
        <f t="shared" si="48"/>
        <v>-3.0895983522143291E-3</v>
      </c>
      <c r="E1565" s="37">
        <f t="shared" si="49"/>
        <v>8.6967952991219896E-3</v>
      </c>
    </row>
    <row r="1566" spans="1:5" x14ac:dyDescent="0.35">
      <c r="A1566" s="35">
        <v>45861</v>
      </c>
      <c r="B1566" s="36">
        <v>362.07</v>
      </c>
      <c r="C1566" s="36">
        <v>139254.35999999999</v>
      </c>
      <c r="D1566" s="37">
        <f t="shared" si="48"/>
        <v>-1.5686167899086511E-2</v>
      </c>
      <c r="E1566" s="37">
        <f t="shared" si="49"/>
        <v>-1.185414134293848E-3</v>
      </c>
    </row>
    <row r="1567" spans="1:5" x14ac:dyDescent="0.35">
      <c r="A1567" s="33">
        <v>45862</v>
      </c>
      <c r="B1567" s="34">
        <v>360.42</v>
      </c>
      <c r="C1567" s="34">
        <v>138692.67000000001</v>
      </c>
      <c r="D1567" s="37">
        <f t="shared" si="48"/>
        <v>-4.5571298367718324E-3</v>
      </c>
      <c r="E1567" s="37">
        <f t="shared" si="49"/>
        <v>-4.0335541379097452E-3</v>
      </c>
    </row>
    <row r="1568" spans="1:5" x14ac:dyDescent="0.35">
      <c r="A1568" s="35">
        <v>45863</v>
      </c>
      <c r="B1568" s="36">
        <v>364.83</v>
      </c>
      <c r="C1568" s="36">
        <v>139207.29999999999</v>
      </c>
      <c r="D1568" s="37">
        <f t="shared" si="48"/>
        <v>1.2235724987514478E-2</v>
      </c>
      <c r="E1568" s="37">
        <f t="shared" si="49"/>
        <v>3.7105782158492985E-3</v>
      </c>
    </row>
    <row r="1569" spans="1:5" x14ac:dyDescent="0.35">
      <c r="A1569" s="33">
        <v>45866</v>
      </c>
      <c r="B1569" s="34">
        <v>375.58</v>
      </c>
      <c r="C1569" s="34">
        <v>139380.06</v>
      </c>
      <c r="D1569" s="37">
        <f t="shared" si="48"/>
        <v>2.9465778581805227E-2</v>
      </c>
      <c r="E1569" s="37">
        <f t="shared" si="49"/>
        <v>1.2410268714356885E-3</v>
      </c>
    </row>
    <row r="1570" spans="1:5" x14ac:dyDescent="0.35">
      <c r="A1570" s="35">
        <v>45867</v>
      </c>
      <c r="B1570" s="36">
        <v>379.85</v>
      </c>
      <c r="C1570" s="36">
        <v>137964.81</v>
      </c>
      <c r="D1570" s="37">
        <f t="shared" si="48"/>
        <v>1.1369082485755468E-2</v>
      </c>
      <c r="E1570" s="37">
        <f t="shared" si="49"/>
        <v>-1.0153891453339883E-2</v>
      </c>
    </row>
    <row r="1571" spans="1:5" x14ac:dyDescent="0.35">
      <c r="A1571" s="33">
        <v>45868</v>
      </c>
      <c r="B1571" s="34">
        <v>386.41</v>
      </c>
      <c r="C1571" s="34">
        <v>138412.25</v>
      </c>
      <c r="D1571" s="37">
        <f t="shared" si="48"/>
        <v>1.7269974990127689E-2</v>
      </c>
      <c r="E1571" s="37">
        <f t="shared" si="49"/>
        <v>3.2431458427696334E-3</v>
      </c>
    </row>
    <row r="1572" spans="1:5" x14ac:dyDescent="0.35">
      <c r="A1572" s="35">
        <v>45869</v>
      </c>
      <c r="B1572" s="36">
        <v>381.9</v>
      </c>
      <c r="C1572" s="36">
        <v>139390.42000000001</v>
      </c>
      <c r="D1572" s="37">
        <f t="shared" si="48"/>
        <v>-1.167154059159972E-2</v>
      </c>
      <c r="E1572" s="37">
        <f t="shared" si="49"/>
        <v>7.0670767941422297E-3</v>
      </c>
    </row>
    <row r="1573" spans="1:5" x14ac:dyDescent="0.35">
      <c r="A1573" s="33">
        <v>45870</v>
      </c>
      <c r="B1573" s="34">
        <v>371.71</v>
      </c>
      <c r="C1573" s="34">
        <v>141034.98000000001</v>
      </c>
      <c r="D1573" s="37">
        <f t="shared" si="48"/>
        <v>-2.668237758575543E-2</v>
      </c>
      <c r="E1573" s="37">
        <f t="shared" si="49"/>
        <v>1.1798228314399207E-2</v>
      </c>
    </row>
    <row r="1574" spans="1:5" x14ac:dyDescent="0.35">
      <c r="A1574" s="35">
        <v>45873</v>
      </c>
      <c r="B1574" s="36">
        <v>375.52</v>
      </c>
      <c r="C1574" s="36">
        <v>142052.66</v>
      </c>
      <c r="D1574" s="37">
        <f t="shared" si="48"/>
        <v>1.0249926017594368E-2</v>
      </c>
      <c r="E1574" s="37">
        <f t="shared" si="49"/>
        <v>7.2157985203386635E-3</v>
      </c>
    </row>
    <row r="1575" spans="1:5" x14ac:dyDescent="0.35">
      <c r="A1575" s="33">
        <v>45874</v>
      </c>
      <c r="B1575" s="34">
        <v>369.93</v>
      </c>
      <c r="C1575" s="34">
        <v>143037.17000000001</v>
      </c>
      <c r="D1575" s="37">
        <f t="shared" si="48"/>
        <v>-1.4886024712398742E-2</v>
      </c>
      <c r="E1575" s="37">
        <f t="shared" si="49"/>
        <v>6.9305988356712879E-3</v>
      </c>
    </row>
    <row r="1576" spans="1:5" x14ac:dyDescent="0.35">
      <c r="A1576" s="35">
        <v>45875</v>
      </c>
      <c r="B1576" s="36">
        <v>361.66</v>
      </c>
      <c r="C1576" s="36">
        <v>145088.5</v>
      </c>
      <c r="D1576" s="37">
        <f t="shared" si="48"/>
        <v>-2.2355580785553972E-2</v>
      </c>
      <c r="E1576" s="37">
        <f t="shared" si="49"/>
        <v>1.4341237316146475E-2</v>
      </c>
    </row>
    <row r="1577" spans="1:5" x14ac:dyDescent="0.35">
      <c r="A1577" s="33">
        <v>45876</v>
      </c>
      <c r="B1577" s="34">
        <v>361.22</v>
      </c>
      <c r="C1577" s="34">
        <v>145647.14000000001</v>
      </c>
      <c r="D1577" s="37">
        <f t="shared" si="48"/>
        <v>-1.2166122877841003E-3</v>
      </c>
      <c r="E1577" s="37">
        <f t="shared" si="49"/>
        <v>3.8503396203008093E-3</v>
      </c>
    </row>
    <row r="1578" spans="1:5" x14ac:dyDescent="0.35">
      <c r="A1578" s="35">
        <v>45877</v>
      </c>
      <c r="B1578" s="36">
        <v>356.04</v>
      </c>
      <c r="C1578" s="36">
        <v>145382.79999999999</v>
      </c>
      <c r="D1578" s="37">
        <f t="shared" si="48"/>
        <v>-1.4340291235258309E-2</v>
      </c>
      <c r="E1578" s="37">
        <f t="shared" si="49"/>
        <v>-1.8149343680900674E-3</v>
      </c>
    </row>
    <row r="1579" spans="1:5" x14ac:dyDescent="0.35">
      <c r="A1579" s="33">
        <v>45880</v>
      </c>
      <c r="B1579" s="34">
        <v>358.72</v>
      </c>
      <c r="C1579" s="34">
        <v>146929.84</v>
      </c>
      <c r="D1579" s="37">
        <f t="shared" si="48"/>
        <v>7.5272441298730669E-3</v>
      </c>
      <c r="E1579" s="37">
        <f t="shared" si="49"/>
        <v>1.0641148746619327E-2</v>
      </c>
    </row>
    <row r="1580" spans="1:5" x14ac:dyDescent="0.35">
      <c r="A1580" s="35">
        <v>45881</v>
      </c>
      <c r="B1580" s="36">
        <v>357.01</v>
      </c>
      <c r="C1580" s="36">
        <v>147005.31</v>
      </c>
      <c r="D1580" s="37">
        <f t="shared" si="48"/>
        <v>-4.7669491525424738E-3</v>
      </c>
      <c r="E1580" s="37">
        <f t="shared" si="49"/>
        <v>5.1364651319297128E-4</v>
      </c>
    </row>
    <row r="1581" spans="1:5" x14ac:dyDescent="0.35">
      <c r="A1581" s="33">
        <v>45882</v>
      </c>
      <c r="B1581" s="34">
        <v>357.38</v>
      </c>
      <c r="C1581" s="34">
        <v>146529.31</v>
      </c>
      <c r="D1581" s="37">
        <f t="shared" si="48"/>
        <v>1.0363855354191887E-3</v>
      </c>
      <c r="E1581" s="37">
        <f t="shared" si="49"/>
        <v>-3.2379782743902244E-3</v>
      </c>
    </row>
    <row r="1582" spans="1:5" x14ac:dyDescent="0.35">
      <c r="A1582" s="35">
        <v>45884</v>
      </c>
      <c r="B1582" s="36">
        <v>357.55</v>
      </c>
      <c r="C1582" s="36">
        <v>146491.63</v>
      </c>
      <c r="D1582" s="37">
        <f t="shared" si="48"/>
        <v>4.7568414572728168E-4</v>
      </c>
      <c r="E1582" s="37">
        <f t="shared" si="49"/>
        <v>-2.5714991765123996E-4</v>
      </c>
    </row>
    <row r="1583" spans="1:5" x14ac:dyDescent="0.35">
      <c r="A1583" s="33">
        <v>45887</v>
      </c>
      <c r="B1583" s="34">
        <v>354.28</v>
      </c>
      <c r="C1583" s="34">
        <v>148196.42000000001</v>
      </c>
      <c r="D1583" s="37">
        <f t="shared" si="48"/>
        <v>-9.1455740455881375E-3</v>
      </c>
      <c r="E1583" s="37">
        <f t="shared" si="49"/>
        <v>1.1637456692918279E-2</v>
      </c>
    </row>
    <row r="1584" spans="1:5" x14ac:dyDescent="0.35">
      <c r="A1584" s="35">
        <v>45888</v>
      </c>
      <c r="B1584" s="36">
        <v>353.41</v>
      </c>
      <c r="C1584" s="36">
        <v>149770.75</v>
      </c>
      <c r="D1584" s="37">
        <f t="shared" si="48"/>
        <v>-2.4556847691090317E-3</v>
      </c>
      <c r="E1584" s="37">
        <f t="shared" si="49"/>
        <v>1.0623266068100613E-2</v>
      </c>
    </row>
    <row r="1585" spans="1:5" x14ac:dyDescent="0.35">
      <c r="A1585" s="33">
        <v>45889</v>
      </c>
      <c r="B1585" s="34">
        <v>348.46</v>
      </c>
      <c r="C1585" s="34">
        <v>150591</v>
      </c>
      <c r="D1585" s="37">
        <f t="shared" si="48"/>
        <v>-1.4006394838855848E-2</v>
      </c>
      <c r="E1585" s="37">
        <f t="shared" si="49"/>
        <v>5.4767035619438372E-3</v>
      </c>
    </row>
    <row r="1586" spans="1:5" x14ac:dyDescent="0.35">
      <c r="A1586" s="35">
        <v>45890</v>
      </c>
      <c r="B1586" s="36">
        <v>346.56</v>
      </c>
      <c r="C1586" s="36">
        <v>149235.26999999999</v>
      </c>
      <c r="D1586" s="37">
        <f t="shared" si="48"/>
        <v>-5.4525627044710364E-3</v>
      </c>
      <c r="E1586" s="37">
        <f t="shared" si="49"/>
        <v>-9.0027292467678051E-3</v>
      </c>
    </row>
    <row r="1587" spans="1:5" x14ac:dyDescent="0.35">
      <c r="A1587" s="33">
        <v>45891</v>
      </c>
      <c r="B1587" s="34">
        <v>341.03</v>
      </c>
      <c r="C1587" s="34">
        <v>149493.06</v>
      </c>
      <c r="D1587" s="37">
        <f t="shared" si="48"/>
        <v>-1.59568328716529E-2</v>
      </c>
      <c r="E1587" s="37">
        <f t="shared" si="49"/>
        <v>1.7274066646578129E-3</v>
      </c>
    </row>
    <row r="1588" spans="1:5" x14ac:dyDescent="0.35">
      <c r="A1588" s="35">
        <v>45894</v>
      </c>
      <c r="B1588" s="36">
        <v>337.69</v>
      </c>
      <c r="C1588" s="36">
        <v>148815.31</v>
      </c>
      <c r="D1588" s="37">
        <f t="shared" si="48"/>
        <v>-9.7938597777320925E-3</v>
      </c>
      <c r="E1588" s="37">
        <f t="shared" si="49"/>
        <v>-4.5336552746997084E-3</v>
      </c>
    </row>
    <row r="1589" spans="1:5" x14ac:dyDescent="0.35">
      <c r="A1589" s="33">
        <v>45895</v>
      </c>
      <c r="B1589" s="34">
        <v>336.39</v>
      </c>
      <c r="C1589" s="34">
        <v>148435.06</v>
      </c>
      <c r="D1589" s="37">
        <f t="shared" si="48"/>
        <v>-3.8496846219906169E-3</v>
      </c>
      <c r="E1589" s="37">
        <f t="shared" si="49"/>
        <v>-2.55518064639989E-3</v>
      </c>
    </row>
    <row r="1590" spans="1:5" x14ac:dyDescent="0.35">
      <c r="A1590" s="35">
        <v>45896</v>
      </c>
      <c r="B1590" s="36">
        <v>326.5</v>
      </c>
      <c r="C1590" s="36">
        <v>147494.03</v>
      </c>
      <c r="D1590" s="37">
        <f t="shared" si="48"/>
        <v>-2.9400398347156534E-2</v>
      </c>
      <c r="E1590" s="37">
        <f t="shared" si="49"/>
        <v>-6.3396747372217784E-3</v>
      </c>
    </row>
    <row r="1591" spans="1:5" x14ac:dyDescent="0.35">
      <c r="A1591" s="33">
        <v>45897</v>
      </c>
      <c r="B1591" s="34">
        <v>326.39</v>
      </c>
      <c r="C1591" s="34">
        <v>147343.51999999999</v>
      </c>
      <c r="D1591" s="37">
        <f t="shared" si="48"/>
        <v>-3.3690658499238482E-4</v>
      </c>
      <c r="E1591" s="37">
        <f t="shared" si="49"/>
        <v>-1.0204480818648003E-3</v>
      </c>
    </row>
    <row r="1592" spans="1:5" x14ac:dyDescent="0.35">
      <c r="A1592" s="35">
        <v>45898</v>
      </c>
      <c r="B1592" s="36">
        <v>328.82</v>
      </c>
      <c r="C1592" s="36">
        <v>148617.78</v>
      </c>
      <c r="D1592" s="37">
        <f t="shared" si="48"/>
        <v>7.4450810380220197E-3</v>
      </c>
      <c r="E1592" s="37">
        <f t="shared" si="49"/>
        <v>8.6482255887466875E-3</v>
      </c>
    </row>
    <row r="1593" spans="1:5" x14ac:dyDescent="0.35">
      <c r="A1593" s="33">
        <v>45901</v>
      </c>
      <c r="B1593" s="34">
        <v>328.23</v>
      </c>
      <c r="C1593" s="34">
        <v>149971.13</v>
      </c>
      <c r="D1593" s="37">
        <f t="shared" si="48"/>
        <v>-1.7942947509274831E-3</v>
      </c>
      <c r="E1593" s="37">
        <f t="shared" si="49"/>
        <v>9.1062455649654154E-3</v>
      </c>
    </row>
    <row r="1594" spans="1:5" x14ac:dyDescent="0.35">
      <c r="A1594" s="35">
        <v>45902</v>
      </c>
      <c r="B1594" s="36">
        <v>326.68</v>
      </c>
      <c r="C1594" s="36">
        <v>150975.48000000001</v>
      </c>
      <c r="D1594" s="37">
        <f t="shared" si="48"/>
        <v>-4.7222983883252944E-3</v>
      </c>
      <c r="E1594" s="37">
        <f t="shared" si="49"/>
        <v>6.6969556073892744E-3</v>
      </c>
    </row>
    <row r="1595" spans="1:5" x14ac:dyDescent="0.35">
      <c r="A1595" s="33">
        <v>45903</v>
      </c>
      <c r="B1595" s="34">
        <v>322.75</v>
      </c>
      <c r="C1595" s="34">
        <v>152201.88</v>
      </c>
      <c r="D1595" s="37">
        <f t="shared" si="48"/>
        <v>-1.203012121954208E-2</v>
      </c>
      <c r="E1595" s="37">
        <f t="shared" si="49"/>
        <v>8.1231733788824124E-3</v>
      </c>
    </row>
    <row r="1596" spans="1:5" x14ac:dyDescent="0.35">
      <c r="A1596" s="35">
        <v>45904</v>
      </c>
      <c r="B1596" s="36">
        <v>318.86</v>
      </c>
      <c r="C1596" s="36">
        <v>152665.72</v>
      </c>
      <c r="D1596" s="37">
        <f t="shared" si="48"/>
        <v>-1.2052672347017773E-2</v>
      </c>
      <c r="E1596" s="37">
        <f t="shared" si="49"/>
        <v>3.0475313445536712E-3</v>
      </c>
    </row>
    <row r="1597" spans="1:5" x14ac:dyDescent="0.35">
      <c r="A1597" s="33">
        <v>45905</v>
      </c>
      <c r="B1597" s="34">
        <v>316.83</v>
      </c>
      <c r="C1597" s="34">
        <v>154277.19</v>
      </c>
      <c r="D1597" s="37">
        <f t="shared" si="48"/>
        <v>-6.3664304083297669E-3</v>
      </c>
      <c r="E1597" s="37">
        <f t="shared" si="49"/>
        <v>1.0555545802947781E-2</v>
      </c>
    </row>
    <row r="1598" spans="1:5" x14ac:dyDescent="0.35">
      <c r="A1598" s="35">
        <v>45908</v>
      </c>
      <c r="B1598" s="36">
        <v>311.91000000000003</v>
      </c>
      <c r="C1598" s="36">
        <v>156087.31</v>
      </c>
      <c r="D1598" s="37">
        <f t="shared" si="48"/>
        <v>-1.5528832496922511E-2</v>
      </c>
      <c r="E1598" s="37">
        <f t="shared" si="49"/>
        <v>1.1732907502398736E-2</v>
      </c>
    </row>
    <row r="1599" spans="1:5" x14ac:dyDescent="0.35">
      <c r="A1599" s="33">
        <v>45909</v>
      </c>
      <c r="B1599" s="34">
        <v>303.57</v>
      </c>
      <c r="C1599" s="34">
        <v>156563.53</v>
      </c>
      <c r="D1599" s="37">
        <f t="shared" si="48"/>
        <v>-2.6738482254496588E-2</v>
      </c>
      <c r="E1599" s="37">
        <f t="shared" si="49"/>
        <v>3.0509847341209299E-3</v>
      </c>
    </row>
    <row r="1600" spans="1:5" x14ac:dyDescent="0.35">
      <c r="A1600" s="35">
        <v>45910</v>
      </c>
      <c r="B1600" s="36">
        <v>333.93</v>
      </c>
      <c r="C1600" s="36">
        <v>157020.79999999999</v>
      </c>
      <c r="D1600" s="37">
        <f t="shared" si="48"/>
        <v>0.10000988239944664</v>
      </c>
      <c r="E1600" s="37">
        <f t="shared" si="49"/>
        <v>2.9206674121360801E-3</v>
      </c>
    </row>
    <row r="1601" spans="1:5" x14ac:dyDescent="0.35">
      <c r="A1601" s="33">
        <v>45911</v>
      </c>
      <c r="B1601" s="34">
        <v>350.04</v>
      </c>
      <c r="C1601" s="34">
        <v>156141.25</v>
      </c>
      <c r="D1601" s="37">
        <f t="shared" si="48"/>
        <v>4.8243643877459386E-2</v>
      </c>
      <c r="E1601" s="37">
        <f t="shared" si="49"/>
        <v>-5.6014871915057649E-3</v>
      </c>
    </row>
    <row r="1602" spans="1:5" x14ac:dyDescent="0.35">
      <c r="A1602" s="35">
        <v>45912</v>
      </c>
      <c r="B1602" s="36">
        <v>342.59</v>
      </c>
      <c r="C1602" s="36">
        <v>154439.69</v>
      </c>
      <c r="D1602" s="37">
        <f t="shared" si="48"/>
        <v>-2.1283281910638913E-2</v>
      </c>
      <c r="E1602" s="37">
        <f t="shared" si="49"/>
        <v>-1.0897568707820628E-2</v>
      </c>
    </row>
    <row r="1603" spans="1:5" x14ac:dyDescent="0.35">
      <c r="A1603" s="33">
        <v>45915</v>
      </c>
      <c r="B1603" s="34">
        <v>345.36</v>
      </c>
      <c r="C1603" s="34">
        <v>155384.51999999999</v>
      </c>
      <c r="D1603" s="37">
        <f t="shared" si="48"/>
        <v>8.0854665927202751E-3</v>
      </c>
      <c r="E1603" s="37">
        <f t="shared" si="49"/>
        <v>6.1177926477318572E-3</v>
      </c>
    </row>
    <row r="1604" spans="1:5" x14ac:dyDescent="0.35">
      <c r="A1604" s="35">
        <v>45916</v>
      </c>
      <c r="B1604" s="36">
        <v>344.23</v>
      </c>
      <c r="C1604" s="36">
        <v>156180.94</v>
      </c>
      <c r="D1604" s="37">
        <f t="shared" si="48"/>
        <v>-3.2719481121148814E-3</v>
      </c>
      <c r="E1604" s="37">
        <f t="shared" si="49"/>
        <v>5.1254783938581069E-3</v>
      </c>
    </row>
    <row r="1605" spans="1:5" x14ac:dyDescent="0.35">
      <c r="A1605" s="33">
        <v>45917</v>
      </c>
      <c r="B1605" s="34">
        <v>344.92</v>
      </c>
      <c r="C1605" s="34">
        <v>156177.81</v>
      </c>
      <c r="D1605" s="37">
        <f t="shared" ref="D1605:D1668" si="50">(B1605-B1604)/B1604</f>
        <v>2.0044737530139664E-3</v>
      </c>
      <c r="E1605" s="37">
        <f t="shared" ref="E1605:E1668" si="51">(C1605-C1604)/C1604</f>
        <v>-2.0040857738496492E-5</v>
      </c>
    </row>
    <row r="1606" spans="1:5" x14ac:dyDescent="0.35">
      <c r="A1606" s="35">
        <v>45918</v>
      </c>
      <c r="B1606" s="36">
        <v>338.99</v>
      </c>
      <c r="C1606" s="36">
        <v>157953.47</v>
      </c>
      <c r="D1606" s="37">
        <f t="shared" si="50"/>
        <v>-1.7192392438826413E-2</v>
      </c>
      <c r="E1606" s="37">
        <f t="shared" si="51"/>
        <v>1.1369476880230319E-2</v>
      </c>
    </row>
    <row r="1607" spans="1:5" x14ac:dyDescent="0.35">
      <c r="A1607" s="33">
        <v>45919</v>
      </c>
      <c r="B1607" s="34">
        <v>334.67</v>
      </c>
      <c r="C1607" s="34">
        <v>158037.38</v>
      </c>
      <c r="D1607" s="37">
        <f t="shared" si="50"/>
        <v>-1.2743738753355535E-2</v>
      </c>
      <c r="E1607" s="37">
        <f t="shared" si="51"/>
        <v>5.3123239394489718E-4</v>
      </c>
    </row>
    <row r="1608" spans="1:5" x14ac:dyDescent="0.35">
      <c r="A1608" s="35">
        <v>45922</v>
      </c>
      <c r="B1608" s="36">
        <v>325.14999999999998</v>
      </c>
      <c r="C1608" s="36">
        <v>157554.66</v>
      </c>
      <c r="D1608" s="37">
        <f t="shared" si="50"/>
        <v>-2.8445931813428266E-2</v>
      </c>
      <c r="E1608" s="37">
        <f t="shared" si="51"/>
        <v>-3.0544672405984023E-3</v>
      </c>
    </row>
    <row r="1609" spans="1:5" x14ac:dyDescent="0.35">
      <c r="A1609" s="33">
        <v>45923</v>
      </c>
      <c r="B1609" s="34">
        <v>328.13</v>
      </c>
      <c r="C1609" s="34">
        <v>157945.03</v>
      </c>
      <c r="D1609" s="37">
        <f t="shared" si="50"/>
        <v>9.1650007688759607E-3</v>
      </c>
      <c r="E1609" s="37">
        <f t="shared" si="51"/>
        <v>2.4776798096609477E-3</v>
      </c>
    </row>
    <row r="1610" spans="1:5" x14ac:dyDescent="0.35">
      <c r="A1610" s="35">
        <v>45924</v>
      </c>
      <c r="B1610" s="36">
        <v>327.61</v>
      </c>
      <c r="C1610" s="36">
        <v>158236.69</v>
      </c>
      <c r="D1610" s="37">
        <f t="shared" si="50"/>
        <v>-1.5847377563769902E-3</v>
      </c>
      <c r="E1610" s="37">
        <f t="shared" si="51"/>
        <v>1.8465918174190318E-3</v>
      </c>
    </row>
    <row r="1611" spans="1:5" x14ac:dyDescent="0.35">
      <c r="A1611" s="33">
        <v>45925</v>
      </c>
      <c r="B1611" s="34">
        <v>330.88</v>
      </c>
      <c r="C1611" s="34">
        <v>159280.09</v>
      </c>
      <c r="D1611" s="37">
        <f t="shared" si="50"/>
        <v>9.9813802997465936E-3</v>
      </c>
      <c r="E1611" s="37">
        <f t="shared" si="51"/>
        <v>6.5939195265016862E-3</v>
      </c>
    </row>
    <row r="1612" spans="1:5" x14ac:dyDescent="0.35">
      <c r="A1612" s="35">
        <v>45926</v>
      </c>
      <c r="B1612" s="36">
        <v>328.68</v>
      </c>
      <c r="C1612" s="36">
        <v>162257.01999999999</v>
      </c>
      <c r="D1612" s="37">
        <f t="shared" si="50"/>
        <v>-6.6489361702127313E-3</v>
      </c>
      <c r="E1612" s="37">
        <f t="shared" si="51"/>
        <v>1.8689906566476656E-2</v>
      </c>
    </row>
    <row r="1613" spans="1:5" x14ac:dyDescent="0.35">
      <c r="A1613" s="33">
        <v>45929</v>
      </c>
      <c r="B1613" s="34">
        <v>329.83</v>
      </c>
      <c r="C1613" s="34">
        <v>163847.69</v>
      </c>
      <c r="D1613" s="37">
        <f t="shared" si="50"/>
        <v>3.4988438602895741E-3</v>
      </c>
      <c r="E1613" s="37">
        <f t="shared" si="51"/>
        <v>9.8033971041746795E-3</v>
      </c>
    </row>
    <row r="1614" spans="1:5" x14ac:dyDescent="0.35">
      <c r="A1614" s="35">
        <v>45930</v>
      </c>
      <c r="B1614" s="36">
        <v>335.26</v>
      </c>
      <c r="C1614" s="36">
        <v>165493.59</v>
      </c>
      <c r="D1614" s="37">
        <f t="shared" si="50"/>
        <v>1.64630264075433E-2</v>
      </c>
      <c r="E1614" s="37">
        <f t="shared" si="51"/>
        <v>1.0045304880404442E-2</v>
      </c>
    </row>
    <row r="1615" spans="1:5" x14ac:dyDescent="0.35">
      <c r="A1615" s="33">
        <v>45931</v>
      </c>
      <c r="B1615" s="34">
        <v>329.05</v>
      </c>
      <c r="C1615" s="34">
        <v>165640.34</v>
      </c>
      <c r="D1615" s="37">
        <f t="shared" si="50"/>
        <v>-1.8522937421702499E-2</v>
      </c>
      <c r="E1615" s="37">
        <f t="shared" si="51"/>
        <v>8.8674129312198743E-4</v>
      </c>
    </row>
    <row r="1616" spans="1:5" x14ac:dyDescent="0.35">
      <c r="A1616" s="35">
        <v>45932</v>
      </c>
      <c r="B1616" s="36">
        <v>332.82</v>
      </c>
      <c r="C1616" s="36">
        <v>168489.63</v>
      </c>
      <c r="D1616" s="37">
        <f t="shared" si="50"/>
        <v>1.1457225345692089E-2</v>
      </c>
      <c r="E1616" s="37">
        <f t="shared" si="51"/>
        <v>1.7201667178418062E-2</v>
      </c>
    </row>
    <row r="1617" spans="1:5" x14ac:dyDescent="0.35">
      <c r="A1617" s="33">
        <v>45933</v>
      </c>
      <c r="B1617" s="34">
        <v>331.18</v>
      </c>
      <c r="C1617" s="34">
        <v>168990.06</v>
      </c>
      <c r="D1617" s="37">
        <f t="shared" si="50"/>
        <v>-4.9275884862688135E-3</v>
      </c>
      <c r="E1617" s="37">
        <f t="shared" si="51"/>
        <v>2.970093767788516E-3</v>
      </c>
    </row>
    <row r="1618" spans="1:5" x14ac:dyDescent="0.35">
      <c r="A1618" s="35">
        <v>45936</v>
      </c>
      <c r="B1618" s="36">
        <v>327.39</v>
      </c>
      <c r="C1618" s="36">
        <v>167752.41</v>
      </c>
      <c r="D1618" s="37">
        <f t="shared" si="50"/>
        <v>-1.1443927773416331E-2</v>
      </c>
      <c r="E1618" s="37">
        <f t="shared" si="51"/>
        <v>-7.3238035420544511E-3</v>
      </c>
    </row>
    <row r="1619" spans="1:5" x14ac:dyDescent="0.35">
      <c r="A1619" s="33">
        <v>45937</v>
      </c>
      <c r="B1619" s="34">
        <v>326.27999999999997</v>
      </c>
      <c r="C1619" s="34">
        <v>166173.75</v>
      </c>
      <c r="D1619" s="37">
        <f t="shared" si="50"/>
        <v>-3.3904517547879093E-3</v>
      </c>
      <c r="E1619" s="37">
        <f t="shared" si="51"/>
        <v>-9.4106546666006367E-3</v>
      </c>
    </row>
    <row r="1620" spans="1:5" x14ac:dyDescent="0.35">
      <c r="A1620" s="35">
        <v>45938</v>
      </c>
      <c r="B1620" s="36">
        <v>322.48</v>
      </c>
      <c r="C1620" s="36">
        <v>165266.75</v>
      </c>
      <c r="D1620" s="37">
        <f t="shared" si="50"/>
        <v>-1.1646438641657333E-2</v>
      </c>
      <c r="E1620" s="37">
        <f t="shared" si="51"/>
        <v>-5.4581424563145504E-3</v>
      </c>
    </row>
    <row r="1621" spans="1:5" x14ac:dyDescent="0.35">
      <c r="A1621" s="33">
        <v>45939</v>
      </c>
      <c r="B1621" s="34">
        <v>322.54000000000002</v>
      </c>
      <c r="C1621" s="34">
        <v>164530.81</v>
      </c>
      <c r="D1621" s="37">
        <f t="shared" si="50"/>
        <v>1.8605805011164187E-4</v>
      </c>
      <c r="E1621" s="37">
        <f t="shared" si="51"/>
        <v>-4.4530433375134584E-3</v>
      </c>
    </row>
    <row r="1622" spans="1:5" x14ac:dyDescent="0.35">
      <c r="A1622" s="35">
        <v>45940</v>
      </c>
      <c r="B1622" s="36">
        <v>320.51</v>
      </c>
      <c r="C1622" s="36">
        <v>163098.19</v>
      </c>
      <c r="D1622" s="37">
        <f t="shared" si="50"/>
        <v>-6.293793017920349E-3</v>
      </c>
      <c r="E1622" s="37">
        <f t="shared" si="51"/>
        <v>-8.7073053369152893E-3</v>
      </c>
    </row>
    <row r="1623" spans="1:5" x14ac:dyDescent="0.35">
      <c r="A1623" s="33">
        <v>45943</v>
      </c>
      <c r="B1623" s="34">
        <v>311.7</v>
      </c>
      <c r="C1623" s="34">
        <v>158443.42000000001</v>
      </c>
      <c r="D1623" s="37">
        <f t="shared" si="50"/>
        <v>-2.7487441889488637E-2</v>
      </c>
      <c r="E1623" s="37">
        <f t="shared" si="51"/>
        <v>-2.8539679073078552E-2</v>
      </c>
    </row>
    <row r="1624" spans="1:5" x14ac:dyDescent="0.35">
      <c r="A1624" s="35">
        <v>45944</v>
      </c>
      <c r="B1624" s="36">
        <v>324.91000000000003</v>
      </c>
      <c r="C1624" s="36">
        <v>165476.01999999999</v>
      </c>
      <c r="D1624" s="37">
        <f t="shared" si="50"/>
        <v>4.2380494064806019E-2</v>
      </c>
      <c r="E1624" s="37">
        <f t="shared" si="51"/>
        <v>4.4385560473259013E-2</v>
      </c>
    </row>
    <row r="1625" spans="1:5" x14ac:dyDescent="0.35">
      <c r="A1625" s="33">
        <v>45945</v>
      </c>
      <c r="B1625" s="34">
        <v>324.01</v>
      </c>
      <c r="C1625" s="34">
        <v>165686.38</v>
      </c>
      <c r="D1625" s="37">
        <f t="shared" si="50"/>
        <v>-2.7699978455573361E-3</v>
      </c>
      <c r="E1625" s="37">
        <f t="shared" si="51"/>
        <v>1.2712415974230897E-3</v>
      </c>
    </row>
    <row r="1626" spans="1:5" x14ac:dyDescent="0.35">
      <c r="A1626" s="35">
        <v>45946</v>
      </c>
      <c r="B1626" s="36">
        <v>318.17</v>
      </c>
      <c r="C1626" s="36">
        <v>164444.72</v>
      </c>
      <c r="D1626" s="37">
        <f t="shared" si="50"/>
        <v>-1.8024135057559874E-2</v>
      </c>
      <c r="E1626" s="37">
        <f t="shared" si="51"/>
        <v>-7.494037832198419E-3</v>
      </c>
    </row>
    <row r="1627" spans="1:5" x14ac:dyDescent="0.35">
      <c r="A1627" s="33">
        <v>45947</v>
      </c>
      <c r="B1627" s="34">
        <v>319.24</v>
      </c>
      <c r="C1627" s="34">
        <v>163806.22</v>
      </c>
      <c r="D1627" s="37">
        <f t="shared" si="50"/>
        <v>3.3629820536191127E-3</v>
      </c>
      <c r="E1627" s="37">
        <f t="shared" si="51"/>
        <v>-3.8827637640174765E-3</v>
      </c>
    </row>
    <row r="1628" spans="1:5" x14ac:dyDescent="0.35">
      <c r="A1628" s="35">
        <v>45950</v>
      </c>
      <c r="B1628" s="36">
        <v>317.52999999999997</v>
      </c>
      <c r="C1628" s="36">
        <v>166242.91</v>
      </c>
      <c r="D1628" s="37">
        <f t="shared" si="50"/>
        <v>-5.3564716200978461E-3</v>
      </c>
      <c r="E1628" s="37">
        <f t="shared" si="51"/>
        <v>1.4875442458778441E-2</v>
      </c>
    </row>
    <row r="1629" spans="1:5" x14ac:dyDescent="0.35">
      <c r="A1629" s="33">
        <v>45951</v>
      </c>
      <c r="B1629" s="34">
        <v>318.83999999999997</v>
      </c>
      <c r="C1629" s="34">
        <v>167346.82999999999</v>
      </c>
      <c r="D1629" s="37">
        <f t="shared" si="50"/>
        <v>4.1255944320221782E-3</v>
      </c>
      <c r="E1629" s="37">
        <f t="shared" si="51"/>
        <v>6.6404034914931635E-3</v>
      </c>
    </row>
    <row r="1630" spans="1:5" x14ac:dyDescent="0.35">
      <c r="A1630" s="35">
        <v>45952</v>
      </c>
      <c r="B1630" s="36">
        <v>319.70999999999998</v>
      </c>
      <c r="C1630" s="36">
        <v>166553.28</v>
      </c>
      <c r="D1630" s="37">
        <f t="shared" si="50"/>
        <v>2.7286413248024232E-3</v>
      </c>
      <c r="E1630" s="37">
        <f t="shared" si="51"/>
        <v>-4.7419482042174834E-3</v>
      </c>
    </row>
    <row r="1631" spans="1:5" x14ac:dyDescent="0.35">
      <c r="A1631" s="33">
        <v>45953</v>
      </c>
      <c r="B1631" s="34">
        <v>318.01</v>
      </c>
      <c r="C1631" s="34">
        <v>164590.41</v>
      </c>
      <c r="D1631" s="37">
        <f t="shared" si="50"/>
        <v>-5.3173188201807537E-3</v>
      </c>
      <c r="E1631" s="37">
        <f t="shared" si="51"/>
        <v>-1.1785237732934443E-2</v>
      </c>
    </row>
    <row r="1632" spans="1:5" x14ac:dyDescent="0.35">
      <c r="A1632" s="35">
        <v>45954</v>
      </c>
      <c r="B1632" s="36">
        <v>311.98</v>
      </c>
      <c r="C1632" s="36">
        <v>163304.13</v>
      </c>
      <c r="D1632" s="37">
        <f t="shared" si="50"/>
        <v>-1.896166787207941E-2</v>
      </c>
      <c r="E1632" s="37">
        <f t="shared" si="51"/>
        <v>-7.8150361251302473E-3</v>
      </c>
    </row>
    <row r="1633" spans="1:5" x14ac:dyDescent="0.35">
      <c r="A1633" s="33">
        <v>45957</v>
      </c>
      <c r="B1633" s="34">
        <v>308.72000000000003</v>
      </c>
      <c r="C1633" s="34">
        <v>162163.81</v>
      </c>
      <c r="D1633" s="37">
        <f t="shared" si="50"/>
        <v>-1.0449387781268001E-2</v>
      </c>
      <c r="E1633" s="37">
        <f t="shared" si="51"/>
        <v>-6.9827995164605267E-3</v>
      </c>
    </row>
    <row r="1634" spans="1:5" x14ac:dyDescent="0.35">
      <c r="A1634" s="35">
        <v>45958</v>
      </c>
      <c r="B1634" s="36">
        <v>305.57</v>
      </c>
      <c r="C1634" s="36">
        <v>160101.03</v>
      </c>
      <c r="D1634" s="37">
        <f t="shared" si="50"/>
        <v>-1.0203420575278678E-2</v>
      </c>
      <c r="E1634" s="37">
        <f t="shared" si="51"/>
        <v>-1.2720347406736427E-2</v>
      </c>
    </row>
    <row r="1635" spans="1:5" x14ac:dyDescent="0.35">
      <c r="A1635" s="33">
        <v>45959</v>
      </c>
      <c r="B1635" s="34">
        <v>301.88</v>
      </c>
      <c r="C1635" s="34">
        <v>158465.06</v>
      </c>
      <c r="D1635" s="37">
        <f t="shared" si="50"/>
        <v>-1.2075792780704905E-2</v>
      </c>
      <c r="E1635" s="37">
        <f t="shared" si="51"/>
        <v>-1.0218360244153339E-2</v>
      </c>
    </row>
    <row r="1636" spans="1:5" x14ac:dyDescent="0.35">
      <c r="A1636" s="35">
        <v>45960</v>
      </c>
      <c r="B1636" s="36">
        <v>299.33999999999997</v>
      </c>
      <c r="C1636" s="36">
        <v>156732.88</v>
      </c>
      <c r="D1636" s="37">
        <f t="shared" si="50"/>
        <v>-8.413939313634624E-3</v>
      </c>
      <c r="E1636" s="37">
        <f t="shared" si="51"/>
        <v>-1.0930990087026081E-2</v>
      </c>
    </row>
    <row r="1637" spans="1:5" x14ac:dyDescent="0.35">
      <c r="A1637" s="33">
        <v>45961</v>
      </c>
      <c r="B1637" s="34">
        <v>303.02</v>
      </c>
      <c r="C1637" s="34">
        <v>161631.73000000001</v>
      </c>
      <c r="D1637" s="37">
        <f t="shared" si="50"/>
        <v>1.2293712834903478E-2</v>
      </c>
      <c r="E1637" s="37">
        <f t="shared" si="51"/>
        <v>3.1256045317357824E-2</v>
      </c>
    </row>
    <row r="1638" spans="1:5" x14ac:dyDescent="0.35">
      <c r="A1638" s="35">
        <v>45964</v>
      </c>
      <c r="B1638" s="36">
        <v>308.18</v>
      </c>
      <c r="C1638" s="36">
        <v>162803.16</v>
      </c>
      <c r="D1638" s="37">
        <f t="shared" si="50"/>
        <v>1.702857897168512E-2</v>
      </c>
      <c r="E1638" s="37">
        <f t="shared" si="51"/>
        <v>7.2475249754487747E-3</v>
      </c>
    </row>
    <row r="1639" spans="1:5" x14ac:dyDescent="0.35">
      <c r="A1639" s="33">
        <v>45965</v>
      </c>
      <c r="B1639" s="34">
        <v>306.23</v>
      </c>
      <c r="C1639" s="34">
        <v>161281.76999999999</v>
      </c>
      <c r="D1639" s="37">
        <f t="shared" si="50"/>
        <v>-6.3274709585306914E-3</v>
      </c>
      <c r="E1639" s="37">
        <f t="shared" si="51"/>
        <v>-9.3449660313719585E-3</v>
      </c>
    </row>
    <row r="1640" spans="1:5" x14ac:dyDescent="0.35">
      <c r="A1640" s="35">
        <v>45966</v>
      </c>
      <c r="B1640" s="36">
        <v>304.41000000000003</v>
      </c>
      <c r="C1640" s="36">
        <v>159578.19</v>
      </c>
      <c r="D1640" s="37">
        <f t="shared" si="50"/>
        <v>-5.9432452731606735E-3</v>
      </c>
      <c r="E1640" s="37">
        <f t="shared" si="51"/>
        <v>-1.0562756100704918E-2</v>
      </c>
    </row>
    <row r="1641" spans="1:5" x14ac:dyDescent="0.35">
      <c r="A1641" s="33">
        <v>45967</v>
      </c>
      <c r="B1641" s="34">
        <v>304.06</v>
      </c>
      <c r="C1641" s="34">
        <v>159096.79999999999</v>
      </c>
      <c r="D1641" s="37">
        <f t="shared" si="50"/>
        <v>-1.1497651194113949E-3</v>
      </c>
      <c r="E1641" s="37">
        <f t="shared" si="51"/>
        <v>-3.0166403065482444E-3</v>
      </c>
    </row>
    <row r="1642" spans="1:5" x14ac:dyDescent="0.35">
      <c r="A1642" s="35">
        <v>45968</v>
      </c>
      <c r="B1642" s="36">
        <v>305.27999999999997</v>
      </c>
      <c r="C1642" s="36">
        <v>159592.91</v>
      </c>
      <c r="D1642" s="37">
        <f t="shared" si="50"/>
        <v>4.0123659803985084E-3</v>
      </c>
      <c r="E1642" s="37">
        <f t="shared" si="51"/>
        <v>3.1182902484526097E-3</v>
      </c>
    </row>
    <row r="1643" spans="1:5" x14ac:dyDescent="0.35">
      <c r="A1643" s="33">
        <v>45971</v>
      </c>
      <c r="B1643" s="34">
        <v>307.27999999999997</v>
      </c>
      <c r="C1643" s="34">
        <v>161538.41</v>
      </c>
      <c r="D1643" s="37">
        <f t="shared" si="50"/>
        <v>6.5513626834381557E-3</v>
      </c>
      <c r="E1643" s="37">
        <f t="shared" si="51"/>
        <v>1.2190391164620031E-2</v>
      </c>
    </row>
    <row r="1644" spans="1:5" x14ac:dyDescent="0.35">
      <c r="A1644" s="35">
        <v>45972</v>
      </c>
      <c r="B1644" s="36">
        <v>307.10000000000002</v>
      </c>
      <c r="C1644" s="36">
        <v>157870.5</v>
      </c>
      <c r="D1644" s="37">
        <f t="shared" si="50"/>
        <v>-5.8578495183529678E-4</v>
      </c>
      <c r="E1644" s="37">
        <f t="shared" si="51"/>
        <v>-2.2706116768142038E-2</v>
      </c>
    </row>
    <row r="1645" spans="1:5" x14ac:dyDescent="0.35">
      <c r="A1645" s="33">
        <v>45973</v>
      </c>
      <c r="B1645" s="34">
        <v>304.39999999999998</v>
      </c>
      <c r="C1645" s="34">
        <v>158183.95000000001</v>
      </c>
      <c r="D1645" s="37">
        <f t="shared" si="50"/>
        <v>-8.7919244545752052E-3</v>
      </c>
      <c r="E1645" s="37">
        <f t="shared" si="51"/>
        <v>1.985488105757641E-3</v>
      </c>
    </row>
    <row r="1646" spans="1:5" x14ac:dyDescent="0.35">
      <c r="A1646" s="35">
        <v>45974</v>
      </c>
      <c r="B1646" s="36">
        <v>304.79000000000002</v>
      </c>
      <c r="C1646" s="36">
        <v>160657.5</v>
      </c>
      <c r="D1646" s="37">
        <f t="shared" si="50"/>
        <v>1.2812089356111802E-3</v>
      </c>
      <c r="E1646" s="37">
        <f t="shared" si="51"/>
        <v>1.5637174315093209E-2</v>
      </c>
    </row>
    <row r="1647" spans="1:5" x14ac:dyDescent="0.35">
      <c r="A1647" s="33">
        <v>45975</v>
      </c>
      <c r="B1647" s="34">
        <v>305.81</v>
      </c>
      <c r="C1647" s="34">
        <v>161935.19</v>
      </c>
      <c r="D1647" s="37">
        <f t="shared" si="50"/>
        <v>3.3465664884017904E-3</v>
      </c>
      <c r="E1647" s="37">
        <f t="shared" si="51"/>
        <v>7.952881129110077E-3</v>
      </c>
    </row>
    <row r="1648" spans="1:5" x14ac:dyDescent="0.35">
      <c r="A1648" s="35">
        <v>45978</v>
      </c>
      <c r="B1648" s="36">
        <v>305.5</v>
      </c>
      <c r="C1648" s="36">
        <v>161687.19</v>
      </c>
      <c r="D1648" s="37">
        <f t="shared" si="50"/>
        <v>-1.0137013178117206E-3</v>
      </c>
      <c r="E1648" s="37">
        <f t="shared" si="51"/>
        <v>-1.5314768828196021E-3</v>
      </c>
    </row>
    <row r="1649" spans="1:5" x14ac:dyDescent="0.35">
      <c r="A1649" s="33">
        <v>45979</v>
      </c>
      <c r="B1649" s="34">
        <v>304.56</v>
      </c>
      <c r="C1649" s="34">
        <v>160935.13</v>
      </c>
      <c r="D1649" s="37">
        <f t="shared" si="50"/>
        <v>-3.0769230769230695E-3</v>
      </c>
      <c r="E1649" s="37">
        <f t="shared" si="51"/>
        <v>-4.6513270469973386E-3</v>
      </c>
    </row>
    <row r="1650" spans="1:5" x14ac:dyDescent="0.35">
      <c r="A1650" s="35">
        <v>45980</v>
      </c>
      <c r="B1650" s="36">
        <v>305.95</v>
      </c>
      <c r="C1650" s="36">
        <v>162226.28</v>
      </c>
      <c r="D1650" s="37">
        <f t="shared" si="50"/>
        <v>4.5639611242447673E-3</v>
      </c>
      <c r="E1650" s="37">
        <f t="shared" si="51"/>
        <v>8.0227977570838278E-3</v>
      </c>
    </row>
    <row r="1651" spans="1:5" x14ac:dyDescent="0.35">
      <c r="A1651" s="33">
        <v>45981</v>
      </c>
      <c r="B1651" s="34">
        <v>305.99</v>
      </c>
      <c r="C1651" s="34">
        <v>162936.94</v>
      </c>
      <c r="D1651" s="37">
        <f t="shared" si="50"/>
        <v>1.3074031704533572E-4</v>
      </c>
      <c r="E1651" s="37">
        <f t="shared" si="51"/>
        <v>4.3806712451275069E-3</v>
      </c>
    </row>
    <row r="1652" spans="1:5" x14ac:dyDescent="0.35">
      <c r="A1652" s="35">
        <v>45982</v>
      </c>
      <c r="B1652" s="36">
        <v>305.91000000000003</v>
      </c>
      <c r="C1652" s="36">
        <v>162102.92000000001</v>
      </c>
      <c r="D1652" s="37">
        <f t="shared" si="50"/>
        <v>-2.6144645249839566E-4</v>
      </c>
      <c r="E1652" s="37">
        <f t="shared" si="51"/>
        <v>-5.118667381380732E-3</v>
      </c>
    </row>
    <row r="1653" spans="1:5" x14ac:dyDescent="0.35">
      <c r="A1653" s="33">
        <v>45985</v>
      </c>
      <c r="B1653" s="34">
        <v>306.99</v>
      </c>
      <c r="C1653" s="34">
        <v>161984.09</v>
      </c>
      <c r="D1653" s="37">
        <f t="shared" si="50"/>
        <v>3.5304501323918276E-3</v>
      </c>
      <c r="E1653" s="37">
        <f t="shared" si="51"/>
        <v>-7.3305280373738046E-4</v>
      </c>
    </row>
    <row r="1654" spans="1:5" x14ac:dyDescent="0.35">
      <c r="A1654" s="35">
        <v>45986</v>
      </c>
      <c r="B1654" s="36">
        <v>303.25</v>
      </c>
      <c r="C1654" s="36">
        <v>161692.48000000001</v>
      </c>
      <c r="D1654" s="37">
        <f t="shared" si="50"/>
        <v>-1.2182807257565422E-2</v>
      </c>
      <c r="E1654" s="37">
        <f t="shared" si="51"/>
        <v>-1.8002385295987158E-3</v>
      </c>
    </row>
    <row r="1655" spans="1:5" x14ac:dyDescent="0.35">
      <c r="A1655" s="33">
        <v>45987</v>
      </c>
      <c r="B1655" s="34">
        <v>302.37</v>
      </c>
      <c r="C1655" s="34">
        <v>163188.53</v>
      </c>
      <c r="D1655" s="37">
        <f t="shared" si="50"/>
        <v>-2.9018961253091361E-3</v>
      </c>
      <c r="E1655" s="37">
        <f t="shared" si="51"/>
        <v>9.2524401876944943E-3</v>
      </c>
    </row>
    <row r="1656" spans="1:5" x14ac:dyDescent="0.35">
      <c r="A1656" s="35">
        <v>45988</v>
      </c>
      <c r="B1656" s="36">
        <v>302.98</v>
      </c>
      <c r="C1656" s="36">
        <v>165373.31</v>
      </c>
      <c r="D1656" s="37">
        <f t="shared" si="50"/>
        <v>2.0173959056785187E-3</v>
      </c>
      <c r="E1656" s="37">
        <f t="shared" si="51"/>
        <v>1.3388073291670676E-2</v>
      </c>
    </row>
    <row r="1657" spans="1:5" x14ac:dyDescent="0.35">
      <c r="A1657" s="33">
        <v>45989</v>
      </c>
      <c r="B1657" s="34">
        <v>304.26</v>
      </c>
      <c r="C1657" s="34">
        <v>166677.70000000001</v>
      </c>
      <c r="D1657" s="37">
        <f t="shared" si="50"/>
        <v>4.224701300415779E-3</v>
      </c>
      <c r="E1657" s="37">
        <f t="shared" si="51"/>
        <v>7.8875484804652816E-3</v>
      </c>
    </row>
    <row r="1658" spans="1:5" x14ac:dyDescent="0.35">
      <c r="A1658" s="35">
        <v>45992</v>
      </c>
      <c r="B1658" s="36">
        <v>302.04000000000002</v>
      </c>
      <c r="C1658" s="36">
        <v>168062.19</v>
      </c>
      <c r="D1658" s="37">
        <f t="shared" si="50"/>
        <v>-7.2963912443304102E-3</v>
      </c>
      <c r="E1658" s="37">
        <f t="shared" si="51"/>
        <v>8.3063901169741997E-3</v>
      </c>
    </row>
    <row r="1659" spans="1:5" x14ac:dyDescent="0.35">
      <c r="A1659" s="33">
        <v>45993</v>
      </c>
      <c r="B1659" s="34">
        <v>302.16000000000003</v>
      </c>
      <c r="C1659" s="34">
        <v>167642.28</v>
      </c>
      <c r="D1659" s="37">
        <f t="shared" si="50"/>
        <v>3.972983710766936E-4</v>
      </c>
      <c r="E1659" s="37">
        <f t="shared" si="51"/>
        <v>-2.4985393799759688E-3</v>
      </c>
    </row>
    <row r="1660" spans="1:5" x14ac:dyDescent="0.35">
      <c r="A1660" s="35">
        <v>45994</v>
      </c>
      <c r="B1660" s="36">
        <v>297.2</v>
      </c>
      <c r="C1660" s="36">
        <v>166145.34</v>
      </c>
      <c r="D1660" s="37">
        <f t="shared" si="50"/>
        <v>-1.6415144294413674E-2</v>
      </c>
      <c r="E1660" s="37">
        <f t="shared" si="51"/>
        <v>-8.9293703235246054E-3</v>
      </c>
    </row>
    <row r="1661" spans="1:5" x14ac:dyDescent="0.35">
      <c r="A1661" s="33">
        <v>45995</v>
      </c>
      <c r="B1661" s="34">
        <v>298.83999999999997</v>
      </c>
      <c r="C1661" s="34">
        <v>166283.54999999999</v>
      </c>
      <c r="D1661" s="37">
        <f t="shared" si="50"/>
        <v>5.5181695827724976E-3</v>
      </c>
      <c r="E1661" s="37">
        <f t="shared" si="51"/>
        <v>8.3186203115893508E-4</v>
      </c>
    </row>
    <row r="1662" spans="1:5" x14ac:dyDescent="0.35">
      <c r="A1662" s="35">
        <v>45996</v>
      </c>
      <c r="B1662" s="36">
        <v>296.22000000000003</v>
      </c>
      <c r="C1662" s="36">
        <v>167085.57999999999</v>
      </c>
      <c r="D1662" s="37">
        <f t="shared" si="50"/>
        <v>-8.7672333021012842E-3</v>
      </c>
      <c r="E1662" s="37">
        <f t="shared" si="51"/>
        <v>4.8232672444147298E-3</v>
      </c>
    </row>
    <row r="1663" spans="1:5" x14ac:dyDescent="0.35">
      <c r="A1663" s="33">
        <v>45999</v>
      </c>
      <c r="B1663" s="34">
        <v>296.47000000000003</v>
      </c>
      <c r="C1663" s="34">
        <v>168303.25</v>
      </c>
      <c r="D1663" s="37">
        <f t="shared" si="50"/>
        <v>8.4396732158530813E-4</v>
      </c>
      <c r="E1663" s="37">
        <f t="shared" si="51"/>
        <v>7.2877025055065369E-3</v>
      </c>
    </row>
    <row r="1664" spans="1:5" x14ac:dyDescent="0.35">
      <c r="A1664" s="35">
        <v>46000</v>
      </c>
      <c r="B1664" s="36">
        <v>296.89999999999998</v>
      </c>
      <c r="C1664" s="36">
        <v>169456.39</v>
      </c>
      <c r="D1664" s="37">
        <f t="shared" si="50"/>
        <v>1.4503997031738453E-3</v>
      </c>
      <c r="E1664" s="37">
        <f t="shared" si="51"/>
        <v>6.8515610958196829E-3</v>
      </c>
    </row>
    <row r="1665" spans="1:5" x14ac:dyDescent="0.35">
      <c r="A1665" s="33">
        <v>46001</v>
      </c>
      <c r="B1665" s="34">
        <v>294.04000000000002</v>
      </c>
      <c r="C1665" s="34">
        <v>169451.86</v>
      </c>
      <c r="D1665" s="37">
        <f t="shared" si="50"/>
        <v>-9.6328730212191203E-3</v>
      </c>
      <c r="E1665" s="37">
        <f t="shared" si="51"/>
        <v>-2.6732541629312057E-5</v>
      </c>
    </row>
    <row r="1666" spans="1:5" x14ac:dyDescent="0.35">
      <c r="A1666" s="35">
        <v>46002</v>
      </c>
      <c r="B1666" s="36">
        <v>293.13</v>
      </c>
      <c r="C1666" s="36">
        <v>168574.69</v>
      </c>
      <c r="D1666" s="37">
        <f t="shared" si="50"/>
        <v>-3.0948170316964529E-3</v>
      </c>
      <c r="E1666" s="37">
        <f t="shared" si="51"/>
        <v>-5.1765144389679984E-3</v>
      </c>
    </row>
    <row r="1667" spans="1:5" x14ac:dyDescent="0.35">
      <c r="A1667" s="33">
        <v>46003</v>
      </c>
      <c r="B1667" s="34">
        <v>293.33</v>
      </c>
      <c r="C1667" s="34">
        <v>169864.53</v>
      </c>
      <c r="D1667" s="37">
        <f t="shared" si="50"/>
        <v>6.8229113362667973E-4</v>
      </c>
      <c r="E1667" s="37">
        <f t="shared" si="51"/>
        <v>7.6514451843274723E-3</v>
      </c>
    </row>
    <row r="1668" spans="1:5" x14ac:dyDescent="0.35">
      <c r="A1668" s="35">
        <v>46006</v>
      </c>
      <c r="B1668" s="36">
        <v>293.01</v>
      </c>
      <c r="C1668" s="36">
        <v>170741.34</v>
      </c>
      <c r="D1668" s="37">
        <f t="shared" si="50"/>
        <v>-1.0909214877441557E-3</v>
      </c>
      <c r="E1668" s="37">
        <f t="shared" si="51"/>
        <v>5.1618192450183552E-3</v>
      </c>
    </row>
    <row r="1669" spans="1:5" x14ac:dyDescent="0.35">
      <c r="A1669" s="33">
        <v>46007</v>
      </c>
      <c r="B1669" s="34">
        <v>289.95</v>
      </c>
      <c r="C1669" s="34">
        <v>170447.3</v>
      </c>
      <c r="D1669" s="37">
        <f t="shared" ref="D1669:D1679" si="52">(B1669-B1668)/B1668</f>
        <v>-1.0443329579195257E-2</v>
      </c>
      <c r="E1669" s="37">
        <f t="shared" ref="E1669:E1679" si="53">(C1669-C1668)/C1668</f>
        <v>-1.7221371227378686E-3</v>
      </c>
    </row>
    <row r="1670" spans="1:5" x14ac:dyDescent="0.35">
      <c r="A1670" s="35">
        <v>46008</v>
      </c>
      <c r="B1670" s="36">
        <v>288.95</v>
      </c>
      <c r="C1670" s="36">
        <v>170313.86</v>
      </c>
      <c r="D1670" s="37">
        <f t="shared" si="52"/>
        <v>-3.4488704949129164E-3</v>
      </c>
      <c r="E1670" s="37">
        <f t="shared" si="53"/>
        <v>-7.8288127767352331E-4</v>
      </c>
    </row>
    <row r="1671" spans="1:5" x14ac:dyDescent="0.35">
      <c r="A1671" s="33">
        <v>46009</v>
      </c>
      <c r="B1671" s="34">
        <v>289.73</v>
      </c>
      <c r="C1671" s="34">
        <v>171960.66</v>
      </c>
      <c r="D1671" s="37">
        <f t="shared" si="52"/>
        <v>2.6994289669494014E-3</v>
      </c>
      <c r="E1671" s="37">
        <f t="shared" si="53"/>
        <v>9.6692071919456096E-3</v>
      </c>
    </row>
    <row r="1672" spans="1:5" x14ac:dyDescent="0.35">
      <c r="A1672" s="35">
        <v>46010</v>
      </c>
      <c r="B1672" s="36">
        <v>289.04000000000002</v>
      </c>
      <c r="C1672" s="36">
        <v>171404.48</v>
      </c>
      <c r="D1672" s="37">
        <f t="shared" si="52"/>
        <v>-2.3815276291719797E-3</v>
      </c>
      <c r="E1672" s="37">
        <f t="shared" si="53"/>
        <v>-3.2343444134256814E-3</v>
      </c>
    </row>
    <row r="1673" spans="1:5" x14ac:dyDescent="0.35">
      <c r="A1673" s="33">
        <v>46013</v>
      </c>
      <c r="B1673" s="34">
        <v>288.89</v>
      </c>
      <c r="C1673" s="34">
        <v>171204.19</v>
      </c>
      <c r="D1673" s="37">
        <f t="shared" si="52"/>
        <v>-5.1895931358993249E-4</v>
      </c>
      <c r="E1673" s="37">
        <f t="shared" si="53"/>
        <v>-1.1685225497023656E-3</v>
      </c>
    </row>
    <row r="1674" spans="1:5" x14ac:dyDescent="0.35">
      <c r="A1674" s="35">
        <v>46014</v>
      </c>
      <c r="B1674" s="36">
        <v>288.06</v>
      </c>
      <c r="C1674" s="36">
        <v>171073.73</v>
      </c>
      <c r="D1674" s="37">
        <f t="shared" si="52"/>
        <v>-2.8730658728235111E-3</v>
      </c>
      <c r="E1674" s="37">
        <f t="shared" si="53"/>
        <v>-7.6201406052031704E-4</v>
      </c>
    </row>
    <row r="1675" spans="1:5" x14ac:dyDescent="0.35">
      <c r="A1675" s="33">
        <v>46015</v>
      </c>
      <c r="B1675" s="34">
        <v>287.86</v>
      </c>
      <c r="C1675" s="34">
        <v>170830.22</v>
      </c>
      <c r="D1675" s="37">
        <f t="shared" si="52"/>
        <v>-6.9429979865301894E-4</v>
      </c>
      <c r="E1675" s="37">
        <f t="shared" si="53"/>
        <v>-1.4234213517178196E-3</v>
      </c>
    </row>
    <row r="1676" spans="1:5" x14ac:dyDescent="0.35">
      <c r="A1676" s="35">
        <v>46017</v>
      </c>
      <c r="B1676" s="36">
        <v>287.70999999999998</v>
      </c>
      <c r="C1676" s="36">
        <v>172400.73</v>
      </c>
      <c r="D1676" s="37">
        <f t="shared" si="52"/>
        <v>-5.2108663933868587E-4</v>
      </c>
      <c r="E1676" s="37">
        <f t="shared" si="53"/>
        <v>9.1933968123439121E-3</v>
      </c>
    </row>
    <row r="1677" spans="1:5" x14ac:dyDescent="0.35">
      <c r="A1677" s="33">
        <v>46020</v>
      </c>
      <c r="B1677" s="34">
        <v>287.76</v>
      </c>
      <c r="C1677" s="34">
        <v>173896.34</v>
      </c>
      <c r="D1677" s="37">
        <f t="shared" si="52"/>
        <v>1.7378610406315864E-4</v>
      </c>
      <c r="E1677" s="37">
        <f t="shared" si="53"/>
        <v>8.6751952848458692E-3</v>
      </c>
    </row>
    <row r="1678" spans="1:5" x14ac:dyDescent="0.35">
      <c r="A1678" s="35">
        <v>46021</v>
      </c>
      <c r="B1678" s="36">
        <v>287.66000000000003</v>
      </c>
      <c r="C1678" s="36">
        <v>174472.8</v>
      </c>
      <c r="D1678" s="37">
        <f t="shared" si="52"/>
        <v>-3.4751181540160512E-4</v>
      </c>
      <c r="E1678" s="37">
        <f t="shared" si="53"/>
        <v>3.3149633856583288E-3</v>
      </c>
    </row>
    <row r="1679" spans="1:5" x14ac:dyDescent="0.35">
      <c r="A1679" s="33">
        <v>46022</v>
      </c>
      <c r="B1679" s="34">
        <v>288.33999999999997</v>
      </c>
      <c r="C1679" s="34">
        <v>174054.31</v>
      </c>
      <c r="D1679" s="37">
        <f t="shared" si="52"/>
        <v>2.3639018285474167E-3</v>
      </c>
      <c r="E1679" s="37">
        <f t="shared" si="53"/>
        <v>-2.3985973744904119E-3</v>
      </c>
    </row>
    <row r="1681" spans="1:5" x14ac:dyDescent="0.35">
      <c r="A1681" s="80" t="s">
        <v>10</v>
      </c>
      <c r="B1681" s="81"/>
      <c r="C1681" s="81"/>
      <c r="D1681" s="81"/>
      <c r="E1681" s="81"/>
    </row>
    <row r="1682" spans="1:5" x14ac:dyDescent="0.35">
      <c r="A1682" s="51" t="s">
        <v>1</v>
      </c>
      <c r="B1682" s="78" t="s">
        <v>1076</v>
      </c>
      <c r="C1682" s="78"/>
      <c r="D1682" s="78" t="s">
        <v>1077</v>
      </c>
      <c r="E1682" s="78"/>
    </row>
    <row r="1683" spans="1:5" x14ac:dyDescent="0.35">
      <c r="A1683" s="47" t="s">
        <v>1078</v>
      </c>
      <c r="B1683" s="79">
        <f>AVERAGE(D3:D1679)</f>
        <v>5.362593825347185E-4</v>
      </c>
      <c r="C1683" s="79"/>
      <c r="D1683" s="79">
        <f>AVERAGE(E3:E1679)</f>
        <v>9.8320749749752955E-4</v>
      </c>
      <c r="E1683" s="79"/>
    </row>
    <row r="1684" spans="1:5" x14ac:dyDescent="0.35">
      <c r="A1684" s="47" t="s">
        <v>1079</v>
      </c>
      <c r="B1684" s="79">
        <f>STDEV(D3:D1679)</f>
        <v>1.8366021392844833E-2</v>
      </c>
      <c r="C1684" s="79"/>
      <c r="D1684" s="79">
        <f>STDEV(E3:E1679)</f>
        <v>1.2009960169913477E-2</v>
      </c>
      <c r="E1684" s="79"/>
    </row>
    <row r="1685" spans="1:5" x14ac:dyDescent="0.35">
      <c r="A1685" s="47" t="s">
        <v>1080</v>
      </c>
      <c r="B1685" s="77">
        <f>B1684/B1683</f>
        <v>34.24839171304528</v>
      </c>
      <c r="C1685" s="77"/>
      <c r="D1685" s="77">
        <f>D1684/D1683</f>
        <v>12.215081964368009</v>
      </c>
      <c r="E1685" s="77"/>
    </row>
    <row r="1686" spans="1:5" x14ac:dyDescent="0.35">
      <c r="A1686" s="48"/>
      <c r="B1686" s="48"/>
      <c r="C1686" s="48"/>
      <c r="D1686" s="48"/>
      <c r="E1686" s="48"/>
    </row>
    <row r="1687" spans="1:5" x14ac:dyDescent="0.35">
      <c r="A1687" s="49" t="s">
        <v>1081</v>
      </c>
      <c r="B1687" s="49"/>
      <c r="C1687" s="49"/>
      <c r="D1687" s="48"/>
      <c r="E1687" s="48"/>
    </row>
    <row r="1688" spans="1:5" x14ac:dyDescent="0.35">
      <c r="A1688" s="47" t="s">
        <v>1082</v>
      </c>
      <c r="B1688" s="50">
        <f>SLOPE(D3:D1679,E3:E1679)</f>
        <v>0.67435377338311397</v>
      </c>
      <c r="C1688" s="46"/>
      <c r="D1688" s="48"/>
      <c r="E1688" s="48"/>
    </row>
  </sheetData>
  <mergeCells count="10">
    <mergeCell ref="A1681:E1681"/>
    <mergeCell ref="A1:E1"/>
    <mergeCell ref="B1682:C1682"/>
    <mergeCell ref="B1683:C1683"/>
    <mergeCell ref="B1684:C1684"/>
    <mergeCell ref="B1685:C1685"/>
    <mergeCell ref="D1682:E1682"/>
    <mergeCell ref="D1683:E1683"/>
    <mergeCell ref="D1684:E1684"/>
    <mergeCell ref="D1685:E1685"/>
  </mergeCells>
  <conditionalFormatting sqref="D3:E1679">
    <cfRule type="expression" dxfId="12" priority="1">
      <formula>MOD(ROW(),2)=1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07"/>
  <sheetViews>
    <sheetView tabSelected="1" zoomScaleNormal="100" workbookViewId="0">
      <selection activeCell="B1702" sqref="B1702:C1702"/>
    </sheetView>
  </sheetViews>
  <sheetFormatPr defaultRowHeight="14.5" x14ac:dyDescent="0.35"/>
  <cols>
    <col min="1" max="2" width="23.81640625" customWidth="1"/>
    <col min="3" max="3" width="24" customWidth="1"/>
    <col min="4" max="4" width="23.36328125" customWidth="1"/>
    <col min="5" max="5" width="23.54296875" customWidth="1"/>
  </cols>
  <sheetData>
    <row r="1" spans="1:6" ht="25.75" customHeight="1" x14ac:dyDescent="0.35">
      <c r="A1" s="83" t="s">
        <v>18</v>
      </c>
      <c r="B1" s="84"/>
      <c r="C1" s="84"/>
      <c r="D1" s="84"/>
      <c r="E1" s="84"/>
      <c r="F1" s="1"/>
    </row>
    <row r="2" spans="1:6" ht="22.25" customHeight="1" x14ac:dyDescent="0.35">
      <c r="A2" s="87"/>
      <c r="B2" s="88"/>
      <c r="C2" s="88"/>
      <c r="D2" s="88"/>
      <c r="E2" s="89"/>
      <c r="F2" s="1"/>
    </row>
    <row r="3" spans="1:6" ht="21.65" customHeight="1" x14ac:dyDescent="0.35">
      <c r="A3" s="4" t="s">
        <v>0</v>
      </c>
      <c r="B3" s="4" t="s">
        <v>12</v>
      </c>
      <c r="C3" s="4" t="s">
        <v>13</v>
      </c>
      <c r="D3" s="4" t="s">
        <v>14</v>
      </c>
      <c r="E3" s="5" t="s">
        <v>6</v>
      </c>
      <c r="F3" s="1"/>
    </row>
    <row r="4" spans="1:6" x14ac:dyDescent="0.35">
      <c r="A4" s="6">
        <v>46022</v>
      </c>
      <c r="B4" s="7">
        <v>182.77</v>
      </c>
      <c r="C4" s="8">
        <v>174054.31</v>
      </c>
      <c r="D4" s="14">
        <f>(B4-B5)/B5</f>
        <v>-1.3114037484289421E-3</v>
      </c>
      <c r="E4" s="14">
        <f>(C4-C5)/C5</f>
        <v>-2.3985973744904119E-3</v>
      </c>
      <c r="F4" s="1"/>
    </row>
    <row r="5" spans="1:6" x14ac:dyDescent="0.35">
      <c r="A5" s="15">
        <v>46021</v>
      </c>
      <c r="B5" s="16">
        <v>183.01</v>
      </c>
      <c r="C5" s="17">
        <v>174472.8</v>
      </c>
      <c r="D5" s="18">
        <f t="shared" ref="D5:D68" si="0">(B5-B6)/B6</f>
        <v>1.8612799036514119E-3</v>
      </c>
      <c r="E5" s="18">
        <f t="shared" ref="E5:E68" si="1">(C5-C6)/C6</f>
        <v>3.3149633856583288E-3</v>
      </c>
      <c r="F5" s="1"/>
    </row>
    <row r="6" spans="1:6" x14ac:dyDescent="0.35">
      <c r="A6" s="9">
        <v>46020</v>
      </c>
      <c r="B6" s="10">
        <v>182.67</v>
      </c>
      <c r="C6" s="11">
        <v>173896.34</v>
      </c>
      <c r="D6" s="14">
        <f t="shared" si="0"/>
        <v>3.1852380690866279E-3</v>
      </c>
      <c r="E6" s="14">
        <f t="shared" si="1"/>
        <v>8.6751952848458692E-3</v>
      </c>
      <c r="F6" s="1"/>
    </row>
    <row r="7" spans="1:6" x14ac:dyDescent="0.35">
      <c r="A7" s="15">
        <v>46017</v>
      </c>
      <c r="B7" s="16">
        <v>182.09</v>
      </c>
      <c r="C7" s="17">
        <v>172400.73</v>
      </c>
      <c r="D7" s="18">
        <f t="shared" si="0"/>
        <v>5.6331805379135711E-3</v>
      </c>
      <c r="E7" s="18">
        <f t="shared" si="1"/>
        <v>9.1933968123439121E-3</v>
      </c>
      <c r="F7" s="1"/>
    </row>
    <row r="8" spans="1:6" x14ac:dyDescent="0.35">
      <c r="A8" s="9">
        <v>46015</v>
      </c>
      <c r="B8" s="10">
        <v>181.07</v>
      </c>
      <c r="C8" s="11">
        <v>170830.22</v>
      </c>
      <c r="D8" s="14">
        <f t="shared" si="0"/>
        <v>2.9356375318489044E-3</v>
      </c>
      <c r="E8" s="14">
        <f t="shared" si="1"/>
        <v>-1.4234213517178196E-3</v>
      </c>
      <c r="F8" s="1"/>
    </row>
    <row r="9" spans="1:6" x14ac:dyDescent="0.35">
      <c r="A9" s="15">
        <v>46014</v>
      </c>
      <c r="B9" s="16">
        <v>180.54</v>
      </c>
      <c r="C9" s="17">
        <v>171073.73</v>
      </c>
      <c r="D9" s="18">
        <f t="shared" si="0"/>
        <v>1.55331188283591E-3</v>
      </c>
      <c r="E9" s="18">
        <f t="shared" si="1"/>
        <v>-7.6201406052031704E-4</v>
      </c>
      <c r="F9" s="1"/>
    </row>
    <row r="10" spans="1:6" x14ac:dyDescent="0.35">
      <c r="A10" s="9">
        <v>46013</v>
      </c>
      <c r="B10" s="10">
        <v>180.26</v>
      </c>
      <c r="C10" s="11">
        <v>171204.19</v>
      </c>
      <c r="D10" s="14">
        <f t="shared" si="0"/>
        <v>-8.3143949891916022E-4</v>
      </c>
      <c r="E10" s="14">
        <f t="shared" si="1"/>
        <v>-1.1685225497023656E-3</v>
      </c>
      <c r="F10" s="1"/>
    </row>
    <row r="11" spans="1:6" x14ac:dyDescent="0.35">
      <c r="A11" s="15">
        <v>46010</v>
      </c>
      <c r="B11" s="16">
        <v>180.41</v>
      </c>
      <c r="C11" s="17">
        <v>171404.48</v>
      </c>
      <c r="D11" s="18">
        <f t="shared" si="0"/>
        <v>-1.1885201007777499E-2</v>
      </c>
      <c r="E11" s="18">
        <f t="shared" si="1"/>
        <v>-3.2343444134256814E-3</v>
      </c>
      <c r="F11" s="1"/>
    </row>
    <row r="12" spans="1:6" x14ac:dyDescent="0.35">
      <c r="A12" s="9">
        <v>46009</v>
      </c>
      <c r="B12" s="10">
        <v>182.58</v>
      </c>
      <c r="C12" s="11">
        <v>171960.66</v>
      </c>
      <c r="D12" s="14">
        <f t="shared" si="0"/>
        <v>1.455879084240945E-2</v>
      </c>
      <c r="E12" s="14">
        <f t="shared" si="1"/>
        <v>9.6692071919456096E-3</v>
      </c>
      <c r="F12" s="1"/>
    </row>
    <row r="13" spans="1:6" x14ac:dyDescent="0.35">
      <c r="A13" s="15">
        <v>46008</v>
      </c>
      <c r="B13" s="16">
        <v>179.96</v>
      </c>
      <c r="C13" s="17">
        <v>170313.86</v>
      </c>
      <c r="D13" s="18">
        <f t="shared" si="0"/>
        <v>8.3421389244205373E-4</v>
      </c>
      <c r="E13" s="18">
        <f t="shared" si="1"/>
        <v>-7.8288127767352331E-4</v>
      </c>
      <c r="F13" s="1"/>
    </row>
    <row r="14" spans="1:6" x14ac:dyDescent="0.35">
      <c r="A14" s="9">
        <v>46007</v>
      </c>
      <c r="B14" s="10">
        <v>179.81</v>
      </c>
      <c r="C14" s="11">
        <v>170447.3</v>
      </c>
      <c r="D14" s="14">
        <f t="shared" si="0"/>
        <v>-1.5547781664723257E-3</v>
      </c>
      <c r="E14" s="14">
        <f t="shared" si="1"/>
        <v>-1.7221371227378686E-3</v>
      </c>
      <c r="F14" s="1"/>
    </row>
    <row r="15" spans="1:6" x14ac:dyDescent="0.35">
      <c r="A15" s="15">
        <v>46006</v>
      </c>
      <c r="B15" s="16">
        <v>180.09</v>
      </c>
      <c r="C15" s="17">
        <v>170741.34</v>
      </c>
      <c r="D15" s="18">
        <f t="shared" si="0"/>
        <v>-9.7872106449661909E-3</v>
      </c>
      <c r="E15" s="18">
        <f t="shared" si="1"/>
        <v>5.1618192450183552E-3</v>
      </c>
      <c r="F15" s="1"/>
    </row>
    <row r="16" spans="1:6" x14ac:dyDescent="0.35">
      <c r="A16" s="9">
        <v>46003</v>
      </c>
      <c r="B16" s="10">
        <v>181.87</v>
      </c>
      <c r="C16" s="11">
        <v>169864.53</v>
      </c>
      <c r="D16" s="14">
        <f t="shared" si="0"/>
        <v>-4.7063974169538952E-3</v>
      </c>
      <c r="E16" s="14">
        <f t="shared" si="1"/>
        <v>7.6514451843274723E-3</v>
      </c>
      <c r="F16" s="1"/>
    </row>
    <row r="17" spans="1:6" x14ac:dyDescent="0.35">
      <c r="A17" s="15">
        <v>46002</v>
      </c>
      <c r="B17" s="16">
        <v>182.73</v>
      </c>
      <c r="C17" s="17">
        <v>168574.69</v>
      </c>
      <c r="D17" s="18">
        <f t="shared" si="0"/>
        <v>-1.6936188811188936E-3</v>
      </c>
      <c r="E17" s="18">
        <f t="shared" si="1"/>
        <v>-5.1765144389679984E-3</v>
      </c>
      <c r="F17" s="1"/>
    </row>
    <row r="18" spans="1:6" x14ac:dyDescent="0.35">
      <c r="A18" s="9">
        <v>46001</v>
      </c>
      <c r="B18" s="10">
        <v>183.04</v>
      </c>
      <c r="C18" s="11">
        <v>169451.86</v>
      </c>
      <c r="D18" s="14">
        <f t="shared" si="0"/>
        <v>4.3725404459982555E-4</v>
      </c>
      <c r="E18" s="14">
        <f t="shared" si="1"/>
        <v>-2.6732541629312057E-5</v>
      </c>
    </row>
    <row r="19" spans="1:6" x14ac:dyDescent="0.35">
      <c r="A19" s="15">
        <v>46000</v>
      </c>
      <c r="B19" s="16">
        <v>182.96</v>
      </c>
      <c r="C19" s="17">
        <v>169456.39</v>
      </c>
      <c r="D19" s="18">
        <f t="shared" si="0"/>
        <v>6.9899278991689701E-3</v>
      </c>
      <c r="E19" s="18">
        <f t="shared" si="1"/>
        <v>6.8515610958196829E-3</v>
      </c>
    </row>
    <row r="20" spans="1:6" x14ac:dyDescent="0.35">
      <c r="A20" s="9">
        <v>45999</v>
      </c>
      <c r="B20" s="10">
        <v>181.69</v>
      </c>
      <c r="C20" s="11">
        <v>168303.25</v>
      </c>
      <c r="D20" s="14">
        <f t="shared" si="0"/>
        <v>1.5652076695175873E-2</v>
      </c>
      <c r="E20" s="14">
        <f t="shared" si="1"/>
        <v>7.2877025055065369E-3</v>
      </c>
    </row>
    <row r="21" spans="1:6" x14ac:dyDescent="0.35">
      <c r="A21" s="15">
        <v>45996</v>
      </c>
      <c r="B21" s="16">
        <v>178.89</v>
      </c>
      <c r="C21" s="17">
        <v>167085.57999999999</v>
      </c>
      <c r="D21" s="18">
        <f t="shared" si="0"/>
        <v>-6.1114506361465782E-3</v>
      </c>
      <c r="E21" s="18">
        <f t="shared" si="1"/>
        <v>4.8232672444147298E-3</v>
      </c>
    </row>
    <row r="22" spans="1:6" x14ac:dyDescent="0.35">
      <c r="A22" s="9">
        <v>45995</v>
      </c>
      <c r="B22" s="10">
        <v>179.99</v>
      </c>
      <c r="C22" s="11">
        <v>166283.54999999999</v>
      </c>
      <c r="D22" s="14">
        <f t="shared" si="0"/>
        <v>1.9483411266979669E-3</v>
      </c>
      <c r="E22" s="14">
        <f t="shared" si="1"/>
        <v>8.3186203115893508E-4</v>
      </c>
    </row>
    <row r="23" spans="1:6" x14ac:dyDescent="0.35">
      <c r="A23" s="15">
        <v>45994</v>
      </c>
      <c r="B23" s="16">
        <v>179.64</v>
      </c>
      <c r="C23" s="17">
        <v>166145.34</v>
      </c>
      <c r="D23" s="18">
        <f t="shared" si="0"/>
        <v>-1.5077581007730689E-2</v>
      </c>
      <c r="E23" s="18">
        <f t="shared" si="1"/>
        <v>-8.9293703235246054E-3</v>
      </c>
    </row>
    <row r="24" spans="1:6" x14ac:dyDescent="0.35">
      <c r="A24" s="9">
        <v>45993</v>
      </c>
      <c r="B24" s="10">
        <v>182.39</v>
      </c>
      <c r="C24" s="11">
        <v>167642.28</v>
      </c>
      <c r="D24" s="14">
        <f t="shared" si="0"/>
        <v>-9.8592320753687255E-4</v>
      </c>
      <c r="E24" s="14">
        <f t="shared" si="1"/>
        <v>-2.4985393799759688E-3</v>
      </c>
    </row>
    <row r="25" spans="1:6" x14ac:dyDescent="0.35">
      <c r="A25" s="15">
        <v>45992</v>
      </c>
      <c r="B25" s="16">
        <v>182.57</v>
      </c>
      <c r="C25" s="17">
        <v>168062.19</v>
      </c>
      <c r="D25" s="18">
        <f t="shared" si="0"/>
        <v>9.5106441802598786E-3</v>
      </c>
      <c r="E25" s="18">
        <f t="shared" si="1"/>
        <v>8.3063901169741997E-3</v>
      </c>
    </row>
    <row r="26" spans="1:6" x14ac:dyDescent="0.35">
      <c r="A26" s="9">
        <v>45989</v>
      </c>
      <c r="B26" s="10">
        <v>180.85</v>
      </c>
      <c r="C26" s="11">
        <v>166677.70000000001</v>
      </c>
      <c r="D26" s="14">
        <f t="shared" si="0"/>
        <v>1.7554717830416951E-2</v>
      </c>
      <c r="E26" s="14">
        <f t="shared" si="1"/>
        <v>7.8875484804652816E-3</v>
      </c>
    </row>
    <row r="27" spans="1:6" x14ac:dyDescent="0.35">
      <c r="A27" s="15">
        <v>45988</v>
      </c>
      <c r="B27" s="16">
        <v>177.73</v>
      </c>
      <c r="C27" s="17">
        <v>165373.31</v>
      </c>
      <c r="D27" s="18">
        <f t="shared" si="0"/>
        <v>1.1553784860557775E-2</v>
      </c>
      <c r="E27" s="18">
        <f t="shared" si="1"/>
        <v>1.3388073291670676E-2</v>
      </c>
    </row>
    <row r="28" spans="1:6" x14ac:dyDescent="0.35">
      <c r="A28" s="9">
        <v>45987</v>
      </c>
      <c r="B28" s="10">
        <v>175.7</v>
      </c>
      <c r="C28" s="11">
        <v>163188.53</v>
      </c>
      <c r="D28" s="14">
        <f t="shared" si="0"/>
        <v>1.2537041258262986E-3</v>
      </c>
      <c r="E28" s="14">
        <f t="shared" si="1"/>
        <v>9.2524401876944943E-3</v>
      </c>
    </row>
    <row r="29" spans="1:6" x14ac:dyDescent="0.35">
      <c r="A29" s="15">
        <v>45986</v>
      </c>
      <c r="B29" s="16">
        <v>175.48</v>
      </c>
      <c r="C29" s="17">
        <v>161692.48000000001</v>
      </c>
      <c r="D29" s="18">
        <f t="shared" si="0"/>
        <v>-1.0815734046792152E-3</v>
      </c>
      <c r="E29" s="18">
        <f t="shared" si="1"/>
        <v>-1.8002385295987158E-3</v>
      </c>
    </row>
    <row r="30" spans="1:6" x14ac:dyDescent="0.35">
      <c r="A30" s="9">
        <v>45985</v>
      </c>
      <c r="B30" s="10">
        <v>175.67</v>
      </c>
      <c r="C30" s="11">
        <v>161984.09</v>
      </c>
      <c r="D30" s="14">
        <f t="shared" si="0"/>
        <v>5.1496252217198444E-3</v>
      </c>
      <c r="E30" s="14">
        <f t="shared" si="1"/>
        <v>-7.3305280373738046E-4</v>
      </c>
    </row>
    <row r="31" spans="1:6" x14ac:dyDescent="0.35">
      <c r="A31" s="15">
        <v>45982</v>
      </c>
      <c r="B31" s="16">
        <v>174.77</v>
      </c>
      <c r="C31" s="17">
        <v>162102.92000000001</v>
      </c>
      <c r="D31" s="18">
        <f t="shared" si="0"/>
        <v>3.8483630097645946E-3</v>
      </c>
      <c r="E31" s="18">
        <f t="shared" si="1"/>
        <v>-5.118667381380732E-3</v>
      </c>
    </row>
    <row r="32" spans="1:6" x14ac:dyDescent="0.35">
      <c r="A32" s="9">
        <v>45981</v>
      </c>
      <c r="B32" s="10">
        <v>174.1</v>
      </c>
      <c r="C32" s="11">
        <v>162936.94</v>
      </c>
      <c r="D32" s="14">
        <f t="shared" si="0"/>
        <v>6.0676105171914643E-3</v>
      </c>
      <c r="E32" s="14">
        <f t="shared" si="1"/>
        <v>4.3806712451275069E-3</v>
      </c>
    </row>
    <row r="33" spans="1:5" x14ac:dyDescent="0.35">
      <c r="A33" s="15">
        <v>45980</v>
      </c>
      <c r="B33" s="16">
        <v>173.05</v>
      </c>
      <c r="C33" s="17">
        <v>162226.28</v>
      </c>
      <c r="D33" s="18">
        <f t="shared" si="0"/>
        <v>-2.3636573273376951E-3</v>
      </c>
      <c r="E33" s="18">
        <f t="shared" si="1"/>
        <v>8.0227977570838278E-3</v>
      </c>
    </row>
    <row r="34" spans="1:5" x14ac:dyDescent="0.35">
      <c r="A34" s="9">
        <v>45979</v>
      </c>
      <c r="B34" s="10">
        <v>173.46</v>
      </c>
      <c r="C34" s="11">
        <v>160935.13</v>
      </c>
      <c r="D34" s="14">
        <f t="shared" si="0"/>
        <v>-6.9273487147190685E-3</v>
      </c>
      <c r="E34" s="14">
        <f t="shared" si="1"/>
        <v>-4.6513270469973386E-3</v>
      </c>
    </row>
    <row r="35" spans="1:5" x14ac:dyDescent="0.35">
      <c r="A35" s="15">
        <v>45978</v>
      </c>
      <c r="B35" s="16">
        <v>174.67</v>
      </c>
      <c r="C35" s="17">
        <v>161687.19</v>
      </c>
      <c r="D35" s="18">
        <f t="shared" si="0"/>
        <v>9.4781251806044398E-3</v>
      </c>
      <c r="E35" s="18">
        <f t="shared" si="1"/>
        <v>-1.5314768828196021E-3</v>
      </c>
    </row>
    <row r="36" spans="1:5" x14ac:dyDescent="0.35">
      <c r="A36" s="9">
        <v>45975</v>
      </c>
      <c r="B36" s="10">
        <v>173.03</v>
      </c>
      <c r="C36" s="11">
        <v>161935.19</v>
      </c>
      <c r="D36" s="14">
        <f t="shared" si="0"/>
        <v>9.038954980172681E-3</v>
      </c>
      <c r="E36" s="14">
        <f t="shared" si="1"/>
        <v>7.952881129110077E-3</v>
      </c>
    </row>
    <row r="37" spans="1:5" x14ac:dyDescent="0.35">
      <c r="A37" s="15">
        <v>45974</v>
      </c>
      <c r="B37" s="16">
        <v>171.48</v>
      </c>
      <c r="C37" s="17">
        <v>160657.5</v>
      </c>
      <c r="D37" s="18">
        <f t="shared" si="0"/>
        <v>4.5105734872004088E-3</v>
      </c>
      <c r="E37" s="18">
        <f t="shared" si="1"/>
        <v>1.5637174315093209E-2</v>
      </c>
    </row>
    <row r="38" spans="1:5" x14ac:dyDescent="0.35">
      <c r="A38" s="9">
        <v>45973</v>
      </c>
      <c r="B38" s="10">
        <v>170.71</v>
      </c>
      <c r="C38" s="11">
        <v>158183.95000000001</v>
      </c>
      <c r="D38" s="14">
        <f t="shared" si="0"/>
        <v>-1.4604017547910419E-2</v>
      </c>
      <c r="E38" s="14">
        <f t="shared" si="1"/>
        <v>1.985488105757641E-3</v>
      </c>
    </row>
    <row r="39" spans="1:5" x14ac:dyDescent="0.35">
      <c r="A39" s="15">
        <v>45972</v>
      </c>
      <c r="B39" s="16">
        <v>173.24</v>
      </c>
      <c r="C39" s="17">
        <v>157870.5</v>
      </c>
      <c r="D39" s="18">
        <f t="shared" si="0"/>
        <v>-3.4013605442176839E-2</v>
      </c>
      <c r="E39" s="18">
        <f t="shared" si="1"/>
        <v>-2.2706116768142038E-2</v>
      </c>
    </row>
    <row r="40" spans="1:5" x14ac:dyDescent="0.35">
      <c r="A40" s="9">
        <v>45971</v>
      </c>
      <c r="B40" s="10">
        <v>179.34</v>
      </c>
      <c r="C40" s="11">
        <v>161538.41</v>
      </c>
      <c r="D40" s="14">
        <f t="shared" si="0"/>
        <v>-7.4164268319681387E-3</v>
      </c>
      <c r="E40" s="14">
        <f t="shared" si="1"/>
        <v>1.2190391164620031E-2</v>
      </c>
    </row>
    <row r="41" spans="1:5" x14ac:dyDescent="0.35">
      <c r="A41" s="15">
        <v>45968</v>
      </c>
      <c r="B41" s="16">
        <v>180.68</v>
      </c>
      <c r="C41" s="17">
        <v>159592.91</v>
      </c>
      <c r="D41" s="18">
        <f t="shared" si="0"/>
        <v>-1.4132154744366254E-2</v>
      </c>
      <c r="E41" s="18">
        <f t="shared" si="1"/>
        <v>3.1182902484526097E-3</v>
      </c>
    </row>
    <row r="42" spans="1:5" x14ac:dyDescent="0.35">
      <c r="A42" s="9">
        <v>45967</v>
      </c>
      <c r="B42" s="10">
        <v>183.27</v>
      </c>
      <c r="C42" s="11">
        <v>159096.79999999999</v>
      </c>
      <c r="D42" s="14">
        <f t="shared" si="0"/>
        <v>3.8209606986911354E-4</v>
      </c>
      <c r="E42" s="14">
        <f t="shared" si="1"/>
        <v>-3.0166403065482444E-3</v>
      </c>
    </row>
    <row r="43" spans="1:5" x14ac:dyDescent="0.35">
      <c r="A43" s="15">
        <v>45966</v>
      </c>
      <c r="B43" s="16">
        <v>183.2</v>
      </c>
      <c r="C43" s="17">
        <v>159578.19</v>
      </c>
      <c r="D43" s="18">
        <f t="shared" si="0"/>
        <v>-5.9145911335395486E-3</v>
      </c>
      <c r="E43" s="18">
        <f t="shared" si="1"/>
        <v>-1.0562756100704918E-2</v>
      </c>
    </row>
    <row r="44" spans="1:5" x14ac:dyDescent="0.35">
      <c r="A44" s="9">
        <v>45965</v>
      </c>
      <c r="B44" s="10">
        <v>184.29</v>
      </c>
      <c r="C44" s="11">
        <v>161281.76999999999</v>
      </c>
      <c r="D44" s="14">
        <f t="shared" si="0"/>
        <v>-7.004687752572937E-3</v>
      </c>
      <c r="E44" s="14">
        <f t="shared" si="1"/>
        <v>-9.3449660313719585E-3</v>
      </c>
    </row>
    <row r="45" spans="1:5" x14ac:dyDescent="0.35">
      <c r="A45" s="15">
        <v>45964</v>
      </c>
      <c r="B45" s="16">
        <v>185.59</v>
      </c>
      <c r="C45" s="17">
        <v>162803.16</v>
      </c>
      <c r="D45" s="18">
        <f t="shared" si="0"/>
        <v>4.0032458750338604E-3</v>
      </c>
      <c r="E45" s="18">
        <f t="shared" si="1"/>
        <v>7.2475249754487747E-3</v>
      </c>
    </row>
    <row r="46" spans="1:5" x14ac:dyDescent="0.35">
      <c r="A46" s="9">
        <v>45961</v>
      </c>
      <c r="B46" s="10">
        <v>184.85</v>
      </c>
      <c r="C46" s="11">
        <v>161631.73000000001</v>
      </c>
      <c r="D46" s="14">
        <f t="shared" si="0"/>
        <v>1.0330126803672859E-2</v>
      </c>
      <c r="E46" s="14">
        <f t="shared" si="1"/>
        <v>3.1256045317357824E-2</v>
      </c>
    </row>
    <row r="47" spans="1:5" x14ac:dyDescent="0.35">
      <c r="A47" s="15">
        <v>45960</v>
      </c>
      <c r="B47" s="16">
        <v>182.96</v>
      </c>
      <c r="C47" s="17">
        <v>156732.88</v>
      </c>
      <c r="D47" s="18">
        <f t="shared" si="0"/>
        <v>-7.8091106290672325E-3</v>
      </c>
      <c r="E47" s="18">
        <f t="shared" si="1"/>
        <v>-1.0930990087026081E-2</v>
      </c>
    </row>
    <row r="48" spans="1:5" x14ac:dyDescent="0.35">
      <c r="A48" s="9">
        <v>45959</v>
      </c>
      <c r="B48" s="10">
        <v>184.4</v>
      </c>
      <c r="C48" s="11">
        <v>158465.06</v>
      </c>
      <c r="D48" s="14">
        <f t="shared" si="0"/>
        <v>-1.3640010698047517E-2</v>
      </c>
      <c r="E48" s="14">
        <f t="shared" si="1"/>
        <v>-1.0218360244153339E-2</v>
      </c>
    </row>
    <row r="49" spans="1:5" x14ac:dyDescent="0.35">
      <c r="A49" s="15">
        <v>45958</v>
      </c>
      <c r="B49" s="16">
        <v>186.95</v>
      </c>
      <c r="C49" s="17">
        <v>160101.03</v>
      </c>
      <c r="D49" s="18">
        <f t="shared" si="0"/>
        <v>-1.7293944491169156E-2</v>
      </c>
      <c r="E49" s="18">
        <f t="shared" si="1"/>
        <v>-1.2720347406736427E-2</v>
      </c>
    </row>
    <row r="50" spans="1:5" x14ac:dyDescent="0.35">
      <c r="A50" s="9">
        <v>45957</v>
      </c>
      <c r="B50" s="10">
        <v>190.24</v>
      </c>
      <c r="C50" s="11">
        <v>162163.81</v>
      </c>
      <c r="D50" s="14">
        <f t="shared" si="0"/>
        <v>2.265423318054933E-3</v>
      </c>
      <c r="E50" s="14">
        <f t="shared" si="1"/>
        <v>-6.9827995164605267E-3</v>
      </c>
    </row>
    <row r="51" spans="1:5" x14ac:dyDescent="0.35">
      <c r="A51" s="15">
        <v>45954</v>
      </c>
      <c r="B51" s="16">
        <v>189.81</v>
      </c>
      <c r="C51" s="17">
        <v>163304.13</v>
      </c>
      <c r="D51" s="18">
        <f t="shared" si="0"/>
        <v>-2.084085633221559E-2</v>
      </c>
      <c r="E51" s="18">
        <f t="shared" si="1"/>
        <v>-7.8150361251302473E-3</v>
      </c>
    </row>
    <row r="52" spans="1:5" x14ac:dyDescent="0.35">
      <c r="A52" s="9">
        <v>45953</v>
      </c>
      <c r="B52" s="10">
        <v>193.85</v>
      </c>
      <c r="C52" s="11">
        <v>164590.41</v>
      </c>
      <c r="D52" s="14">
        <f t="shared" si="0"/>
        <v>-4.4367759428148877E-2</v>
      </c>
      <c r="E52" s="14">
        <f t="shared" si="1"/>
        <v>-1.1785237732934443E-2</v>
      </c>
    </row>
    <row r="53" spans="1:5" x14ac:dyDescent="0.35">
      <c r="A53" s="15">
        <v>45952</v>
      </c>
      <c r="B53" s="16">
        <v>202.85</v>
      </c>
      <c r="C53" s="17">
        <v>166553.28</v>
      </c>
      <c r="D53" s="18">
        <f t="shared" si="0"/>
        <v>-1.7485227162646583E-2</v>
      </c>
      <c r="E53" s="18">
        <f t="shared" si="1"/>
        <v>-4.7419482042174834E-3</v>
      </c>
    </row>
    <row r="54" spans="1:5" x14ac:dyDescent="0.35">
      <c r="A54" s="9">
        <v>45951</v>
      </c>
      <c r="B54" s="10">
        <v>206.46</v>
      </c>
      <c r="C54" s="11">
        <v>167346.82999999999</v>
      </c>
      <c r="D54" s="14">
        <f t="shared" si="0"/>
        <v>3.8763446070361716E-4</v>
      </c>
      <c r="E54" s="14">
        <f t="shared" si="1"/>
        <v>6.6404034914931635E-3</v>
      </c>
    </row>
    <row r="55" spans="1:5" x14ac:dyDescent="0.35">
      <c r="A55" s="15">
        <v>45950</v>
      </c>
      <c r="B55" s="16">
        <v>206.38</v>
      </c>
      <c r="C55" s="17">
        <v>166242.91</v>
      </c>
      <c r="D55" s="18">
        <f t="shared" si="0"/>
        <v>1.8908911379906117E-2</v>
      </c>
      <c r="E55" s="18">
        <f t="shared" si="1"/>
        <v>1.4875442458778441E-2</v>
      </c>
    </row>
    <row r="56" spans="1:5" x14ac:dyDescent="0.35">
      <c r="A56" s="9">
        <v>45947</v>
      </c>
      <c r="B56" s="10">
        <v>202.55</v>
      </c>
      <c r="C56" s="11">
        <v>163806.22</v>
      </c>
      <c r="D56" s="14">
        <f t="shared" si="0"/>
        <v>-1.7748896755734427E-2</v>
      </c>
      <c r="E56" s="14">
        <f t="shared" si="1"/>
        <v>-3.8827637640174765E-3</v>
      </c>
    </row>
    <row r="57" spans="1:5" x14ac:dyDescent="0.35">
      <c r="A57" s="15">
        <v>45946</v>
      </c>
      <c r="B57" s="16">
        <v>206.21</v>
      </c>
      <c r="C57" s="17">
        <v>164444.72</v>
      </c>
      <c r="D57" s="18">
        <f t="shared" si="0"/>
        <v>1.4569472099461482E-3</v>
      </c>
      <c r="E57" s="18">
        <f t="shared" si="1"/>
        <v>-7.494037832198419E-3</v>
      </c>
    </row>
    <row r="58" spans="1:5" x14ac:dyDescent="0.35">
      <c r="A58" s="9">
        <v>45945</v>
      </c>
      <c r="B58" s="10">
        <v>205.91</v>
      </c>
      <c r="C58" s="11">
        <v>165686.38</v>
      </c>
      <c r="D58" s="19">
        <f t="shared" si="0"/>
        <v>5.373317639834195E-2</v>
      </c>
      <c r="E58" s="19">
        <f t="shared" si="1"/>
        <v>1.2712415974230897E-3</v>
      </c>
    </row>
    <row r="59" spans="1:5" x14ac:dyDescent="0.35">
      <c r="A59" s="15">
        <v>45944</v>
      </c>
      <c r="B59" s="16">
        <v>195.41</v>
      </c>
      <c r="C59" s="17">
        <v>165476.01999999999</v>
      </c>
      <c r="D59" s="18">
        <f t="shared" si="0"/>
        <v>3.7593585727180925E-2</v>
      </c>
      <c r="E59" s="18">
        <f t="shared" si="1"/>
        <v>4.4385560473259013E-2</v>
      </c>
    </row>
    <row r="60" spans="1:5" x14ac:dyDescent="0.35">
      <c r="A60" s="9">
        <v>45943</v>
      </c>
      <c r="B60" s="10">
        <v>188.33</v>
      </c>
      <c r="C60" s="11">
        <v>158443.42000000001</v>
      </c>
      <c r="D60" s="14">
        <f t="shared" si="0"/>
        <v>-3.8396732193004761E-2</v>
      </c>
      <c r="E60" s="14">
        <f t="shared" si="1"/>
        <v>-2.8539679073078552E-2</v>
      </c>
    </row>
    <row r="61" spans="1:5" x14ac:dyDescent="0.35">
      <c r="A61" s="15">
        <v>45940</v>
      </c>
      <c r="B61" s="16">
        <v>195.85</v>
      </c>
      <c r="C61" s="17">
        <v>163098.19</v>
      </c>
      <c r="D61" s="18">
        <f t="shared" si="0"/>
        <v>-1.0558755178336886E-2</v>
      </c>
      <c r="E61" s="18">
        <f t="shared" si="1"/>
        <v>-8.7073053369152893E-3</v>
      </c>
    </row>
    <row r="62" spans="1:5" x14ac:dyDescent="0.35">
      <c r="A62" s="9">
        <v>45939</v>
      </c>
      <c r="B62" s="10">
        <v>197.94</v>
      </c>
      <c r="C62" s="11">
        <v>164530.81</v>
      </c>
      <c r="D62" s="14">
        <f t="shared" si="0"/>
        <v>2.5324149108589952E-3</v>
      </c>
      <c r="E62" s="14">
        <f t="shared" si="1"/>
        <v>-4.4530433375134584E-3</v>
      </c>
    </row>
    <row r="63" spans="1:5" x14ac:dyDescent="0.35">
      <c r="A63" s="15">
        <v>45938</v>
      </c>
      <c r="B63" s="16">
        <v>197.44</v>
      </c>
      <c r="C63" s="17">
        <v>165266.75</v>
      </c>
      <c r="D63" s="18">
        <f t="shared" si="0"/>
        <v>-4.5878497605243082E-3</v>
      </c>
      <c r="E63" s="18">
        <f t="shared" si="1"/>
        <v>-5.4581424563145504E-3</v>
      </c>
    </row>
    <row r="64" spans="1:5" x14ac:dyDescent="0.35">
      <c r="A64" s="9">
        <v>45937</v>
      </c>
      <c r="B64" s="10">
        <v>198.35</v>
      </c>
      <c r="C64" s="11">
        <v>166173.75</v>
      </c>
      <c r="D64" s="14">
        <f t="shared" si="0"/>
        <v>6.542407477037121E-2</v>
      </c>
      <c r="E64" s="14">
        <f t="shared" si="1"/>
        <v>-9.4106546666006367E-3</v>
      </c>
    </row>
    <row r="65" spans="1:5" x14ac:dyDescent="0.35">
      <c r="A65" s="15">
        <v>45936</v>
      </c>
      <c r="B65" s="16">
        <v>186.17</v>
      </c>
      <c r="C65" s="17">
        <v>167752.41</v>
      </c>
      <c r="D65" s="18">
        <f t="shared" si="0"/>
        <v>9.9820973254487865E-3</v>
      </c>
      <c r="E65" s="18">
        <f t="shared" si="1"/>
        <v>-7.3238035420544511E-3</v>
      </c>
    </row>
    <row r="66" spans="1:5" x14ac:dyDescent="0.35">
      <c r="A66" s="9">
        <v>45933</v>
      </c>
      <c r="B66" s="10">
        <v>184.33</v>
      </c>
      <c r="C66" s="11">
        <v>168990.06</v>
      </c>
      <c r="D66" s="14">
        <f t="shared" si="0"/>
        <v>-4.3881944084236631E-2</v>
      </c>
      <c r="E66" s="14">
        <f t="shared" si="1"/>
        <v>2.970093767788516E-3</v>
      </c>
    </row>
    <row r="67" spans="1:5" x14ac:dyDescent="0.35">
      <c r="A67" s="15">
        <v>45932</v>
      </c>
      <c r="B67" s="16">
        <v>192.79</v>
      </c>
      <c r="C67" s="17">
        <v>168489.63</v>
      </c>
      <c r="D67" s="18">
        <f t="shared" si="0"/>
        <v>0.10002282323405227</v>
      </c>
      <c r="E67" s="18">
        <f t="shared" si="1"/>
        <v>1.7201667178418062E-2</v>
      </c>
    </row>
    <row r="68" spans="1:5" x14ac:dyDescent="0.35">
      <c r="A68" s="9">
        <v>45931</v>
      </c>
      <c r="B68" s="10">
        <v>175.26</v>
      </c>
      <c r="C68" s="11">
        <v>165640.34</v>
      </c>
      <c r="D68" s="14">
        <f t="shared" si="0"/>
        <v>1.93683475833187E-2</v>
      </c>
      <c r="E68" s="14">
        <f t="shared" si="1"/>
        <v>8.8674129312198743E-4</v>
      </c>
    </row>
    <row r="69" spans="1:5" x14ac:dyDescent="0.35">
      <c r="A69" s="9">
        <v>45930</v>
      </c>
      <c r="B69" s="10">
        <v>171.93</v>
      </c>
      <c r="C69" s="11">
        <v>165493.59</v>
      </c>
      <c r="D69" s="14">
        <f t="shared" ref="D69:D132" si="2">(B69-B70)/B70</f>
        <v>1.0936673134591719E-2</v>
      </c>
      <c r="E69" s="14">
        <f t="shared" ref="E69:E132" si="3">(C69-C70)/C70</f>
        <v>1.0045304880404442E-2</v>
      </c>
    </row>
    <row r="70" spans="1:5" x14ac:dyDescent="0.35">
      <c r="A70" s="9">
        <v>45929</v>
      </c>
      <c r="B70" s="10">
        <v>170.07</v>
      </c>
      <c r="C70" s="11">
        <v>163847.69</v>
      </c>
      <c r="D70" s="14">
        <f t="shared" si="2"/>
        <v>1.0997503269527965E-2</v>
      </c>
      <c r="E70" s="14">
        <f t="shared" si="3"/>
        <v>9.8033971041746795E-3</v>
      </c>
    </row>
    <row r="71" spans="1:5" x14ac:dyDescent="0.35">
      <c r="A71" s="9">
        <v>45926</v>
      </c>
      <c r="B71" s="10">
        <v>168.22</v>
      </c>
      <c r="C71" s="11">
        <v>162257.01999999999</v>
      </c>
      <c r="D71" s="14">
        <f t="shared" si="2"/>
        <v>-8.9089505256284183E-4</v>
      </c>
      <c r="E71" s="14">
        <f t="shared" si="3"/>
        <v>1.8689906566476656E-2</v>
      </c>
    </row>
    <row r="72" spans="1:5" x14ac:dyDescent="0.35">
      <c r="A72" s="9">
        <v>45925</v>
      </c>
      <c r="B72" s="10">
        <v>168.37</v>
      </c>
      <c r="C72" s="11">
        <v>159280.09</v>
      </c>
      <c r="D72" s="14">
        <f t="shared" si="2"/>
        <v>2.3762846789040598E-4</v>
      </c>
      <c r="E72" s="14">
        <f t="shared" si="3"/>
        <v>6.5939195265016862E-3</v>
      </c>
    </row>
    <row r="73" spans="1:5" x14ac:dyDescent="0.35">
      <c r="A73" s="9">
        <v>45924</v>
      </c>
      <c r="B73" s="10">
        <v>168.33</v>
      </c>
      <c r="C73" s="11">
        <v>158236.69</v>
      </c>
      <c r="D73" s="14">
        <f t="shared" si="2"/>
        <v>3.4575260804769747E-3</v>
      </c>
      <c r="E73" s="14">
        <f t="shared" si="3"/>
        <v>1.8465918174190318E-3</v>
      </c>
    </row>
    <row r="74" spans="1:5" x14ac:dyDescent="0.35">
      <c r="A74" s="9">
        <v>45923</v>
      </c>
      <c r="B74" s="10">
        <v>167.75</v>
      </c>
      <c r="C74" s="11">
        <v>157945.03</v>
      </c>
      <c r="D74" s="14">
        <f t="shared" si="2"/>
        <v>-7.9247737891064134E-3</v>
      </c>
      <c r="E74" s="14">
        <f t="shared" si="3"/>
        <v>2.4776798096609477E-3</v>
      </c>
    </row>
    <row r="75" spans="1:5" x14ac:dyDescent="0.35">
      <c r="A75" s="9">
        <v>45922</v>
      </c>
      <c r="B75" s="10">
        <v>169.09</v>
      </c>
      <c r="C75" s="11">
        <v>157554.66</v>
      </c>
      <c r="D75" s="14">
        <f t="shared" si="2"/>
        <v>-5.7038692226273014E-3</v>
      </c>
      <c r="E75" s="14">
        <f t="shared" si="3"/>
        <v>-3.0544672405984023E-3</v>
      </c>
    </row>
    <row r="76" spans="1:5" x14ac:dyDescent="0.35">
      <c r="A76" s="9">
        <v>45919</v>
      </c>
      <c r="B76" s="10">
        <v>170.06</v>
      </c>
      <c r="C76" s="11">
        <v>158037.38</v>
      </c>
      <c r="D76" s="14">
        <f t="shared" si="2"/>
        <v>-9.4361602982292892E-3</v>
      </c>
      <c r="E76" s="14">
        <f t="shared" si="3"/>
        <v>5.3123239394489718E-4</v>
      </c>
    </row>
    <row r="77" spans="1:5" x14ac:dyDescent="0.35">
      <c r="A77" s="9">
        <v>45918</v>
      </c>
      <c r="B77" s="10">
        <v>171.68</v>
      </c>
      <c r="C77" s="11">
        <v>157953.47</v>
      </c>
      <c r="D77" s="14">
        <f t="shared" si="2"/>
        <v>4.622856808473407E-3</v>
      </c>
      <c r="E77" s="14">
        <f t="shared" si="3"/>
        <v>1.1369476880230319E-2</v>
      </c>
    </row>
    <row r="78" spans="1:5" x14ac:dyDescent="0.35">
      <c r="A78" s="9">
        <v>45917</v>
      </c>
      <c r="B78" s="10">
        <v>170.89</v>
      </c>
      <c r="C78" s="11">
        <v>156177.81</v>
      </c>
      <c r="D78" s="14">
        <f t="shared" si="2"/>
        <v>-6.4327485380124942E-4</v>
      </c>
      <c r="E78" s="14">
        <f t="shared" si="3"/>
        <v>-2.0040857738496492E-5</v>
      </c>
    </row>
    <row r="79" spans="1:5" x14ac:dyDescent="0.35">
      <c r="A79" s="9">
        <v>45916</v>
      </c>
      <c r="B79" s="10">
        <v>171</v>
      </c>
      <c r="C79" s="11">
        <v>156180.94</v>
      </c>
      <c r="D79" s="14">
        <f t="shared" si="2"/>
        <v>-3.4384288128679026E-3</v>
      </c>
      <c r="E79" s="14">
        <f t="shared" si="3"/>
        <v>5.1254783938581069E-3</v>
      </c>
    </row>
    <row r="80" spans="1:5" x14ac:dyDescent="0.35">
      <c r="A80" s="9">
        <v>45915</v>
      </c>
      <c r="B80" s="10">
        <v>171.59</v>
      </c>
      <c r="C80" s="11">
        <v>155384.51999999999</v>
      </c>
      <c r="D80" s="14">
        <f t="shared" si="2"/>
        <v>1.7514157277133014E-3</v>
      </c>
      <c r="E80" s="14">
        <f t="shared" si="3"/>
        <v>6.1177926477318572E-3</v>
      </c>
    </row>
    <row r="81" spans="1:5" x14ac:dyDescent="0.35">
      <c r="A81" s="9">
        <v>45912</v>
      </c>
      <c r="B81" s="10">
        <v>171.29</v>
      </c>
      <c r="C81" s="11">
        <v>154439.69</v>
      </c>
      <c r="D81" s="14">
        <f t="shared" si="2"/>
        <v>-6.1502756019727435E-3</v>
      </c>
      <c r="E81" s="14">
        <f t="shared" si="3"/>
        <v>-1.0897568707820628E-2</v>
      </c>
    </row>
    <row r="82" spans="1:5" x14ac:dyDescent="0.35">
      <c r="A82" s="9">
        <v>45911</v>
      </c>
      <c r="B82" s="10">
        <v>172.35</v>
      </c>
      <c r="C82" s="11">
        <v>156141.25</v>
      </c>
      <c r="D82" s="14">
        <f t="shared" si="2"/>
        <v>-5.7113187954309971E-3</v>
      </c>
      <c r="E82" s="14">
        <f t="shared" si="3"/>
        <v>-5.6014871915057649E-3</v>
      </c>
    </row>
    <row r="83" spans="1:5" x14ac:dyDescent="0.35">
      <c r="A83" s="9">
        <v>45910</v>
      </c>
      <c r="B83" s="10">
        <v>173.34</v>
      </c>
      <c r="C83" s="11">
        <v>157020.79999999999</v>
      </c>
      <c r="D83" s="14">
        <f t="shared" si="2"/>
        <v>-1.9001554672654121E-3</v>
      </c>
      <c r="E83" s="14">
        <f t="shared" si="3"/>
        <v>2.9206674121360801E-3</v>
      </c>
    </row>
    <row r="84" spans="1:5" x14ac:dyDescent="0.35">
      <c r="A84" s="9">
        <v>45909</v>
      </c>
      <c r="B84" s="10">
        <v>173.67</v>
      </c>
      <c r="C84" s="11">
        <v>156563.53</v>
      </c>
      <c r="D84" s="14">
        <f t="shared" si="2"/>
        <v>-2.0686088605413643E-3</v>
      </c>
      <c r="E84" s="14">
        <f t="shared" si="3"/>
        <v>3.0509847341209299E-3</v>
      </c>
    </row>
    <row r="85" spans="1:5" x14ac:dyDescent="0.35">
      <c r="A85" s="9">
        <v>45908</v>
      </c>
      <c r="B85" s="10">
        <v>174.03</v>
      </c>
      <c r="C85" s="11">
        <v>156087.31</v>
      </c>
      <c r="D85" s="14">
        <f t="shared" si="2"/>
        <v>-3.4928996793402731E-3</v>
      </c>
      <c r="E85" s="14">
        <f t="shared" si="3"/>
        <v>1.1732907502398736E-2</v>
      </c>
    </row>
    <row r="86" spans="1:5" x14ac:dyDescent="0.35">
      <c r="A86" s="9">
        <v>45905</v>
      </c>
      <c r="B86" s="10">
        <v>174.64</v>
      </c>
      <c r="C86" s="11">
        <v>154277.19</v>
      </c>
      <c r="D86" s="14">
        <f t="shared" si="2"/>
        <v>3.15928542707785E-3</v>
      </c>
      <c r="E86" s="14">
        <f t="shared" si="3"/>
        <v>1.0555545802947781E-2</v>
      </c>
    </row>
    <row r="87" spans="1:5" x14ac:dyDescent="0.35">
      <c r="A87" s="9">
        <v>45904</v>
      </c>
      <c r="B87" s="10">
        <v>174.09</v>
      </c>
      <c r="C87" s="11">
        <v>152665.72</v>
      </c>
      <c r="D87" s="14">
        <f t="shared" si="2"/>
        <v>-2.8067361668003728E-3</v>
      </c>
      <c r="E87" s="14">
        <f t="shared" si="3"/>
        <v>3.0475313445536712E-3</v>
      </c>
    </row>
    <row r="88" spans="1:5" x14ac:dyDescent="0.35">
      <c r="A88" s="9">
        <v>45903</v>
      </c>
      <c r="B88" s="10">
        <v>174.58</v>
      </c>
      <c r="C88" s="11">
        <v>152201.88</v>
      </c>
      <c r="D88" s="14">
        <f t="shared" si="2"/>
        <v>-2.6849471579548632E-3</v>
      </c>
      <c r="E88" s="14">
        <f t="shared" si="3"/>
        <v>8.1231733788824124E-3</v>
      </c>
    </row>
    <row r="89" spans="1:5" x14ac:dyDescent="0.35">
      <c r="A89" s="9">
        <v>45902</v>
      </c>
      <c r="B89" s="10">
        <v>175.05</v>
      </c>
      <c r="C89" s="11">
        <v>150975.48000000001</v>
      </c>
      <c r="D89" s="14">
        <f t="shared" si="2"/>
        <v>-1.2467561773665687E-2</v>
      </c>
      <c r="E89" s="14">
        <f t="shared" si="3"/>
        <v>6.6969556073892744E-3</v>
      </c>
    </row>
    <row r="90" spans="1:5" x14ac:dyDescent="0.35">
      <c r="A90" s="9">
        <v>45901</v>
      </c>
      <c r="B90" s="10">
        <v>177.26</v>
      </c>
      <c r="C90" s="11">
        <v>149971.13</v>
      </c>
      <c r="D90" s="14">
        <f t="shared" si="2"/>
        <v>1.1284134506873059E-4</v>
      </c>
      <c r="E90" s="14">
        <f t="shared" si="3"/>
        <v>9.1062455649654154E-3</v>
      </c>
    </row>
    <row r="91" spans="1:5" x14ac:dyDescent="0.35">
      <c r="A91" s="9">
        <v>45898</v>
      </c>
      <c r="B91" s="10">
        <v>177.24</v>
      </c>
      <c r="C91" s="11">
        <v>148617.78</v>
      </c>
      <c r="D91" s="14">
        <f t="shared" si="2"/>
        <v>-9.3896713615022279E-3</v>
      </c>
      <c r="E91" s="14">
        <f t="shared" si="3"/>
        <v>8.6482255887466875E-3</v>
      </c>
    </row>
    <row r="92" spans="1:5" x14ac:dyDescent="0.35">
      <c r="A92" s="9">
        <v>45897</v>
      </c>
      <c r="B92" s="10">
        <v>178.92</v>
      </c>
      <c r="C92" s="11">
        <v>147343.51999999999</v>
      </c>
      <c r="D92" s="14">
        <f t="shared" si="2"/>
        <v>-1.0890596495107518E-2</v>
      </c>
      <c r="E92" s="14">
        <f t="shared" si="3"/>
        <v>-1.0204480818648003E-3</v>
      </c>
    </row>
    <row r="93" spans="1:5" x14ac:dyDescent="0.35">
      <c r="A93" s="9">
        <v>45896</v>
      </c>
      <c r="B93" s="10">
        <v>180.89</v>
      </c>
      <c r="C93" s="11">
        <v>147494.03</v>
      </c>
      <c r="D93" s="14">
        <f t="shared" si="2"/>
        <v>-8.2241350951258296E-3</v>
      </c>
      <c r="E93" s="14">
        <f t="shared" si="3"/>
        <v>-6.3396747372217784E-3</v>
      </c>
    </row>
    <row r="94" spans="1:5" x14ac:dyDescent="0.35">
      <c r="A94" s="9">
        <v>45895</v>
      </c>
      <c r="B94" s="10">
        <v>182.39</v>
      </c>
      <c r="C94" s="11">
        <v>148435.06</v>
      </c>
      <c r="D94" s="14">
        <f t="shared" si="2"/>
        <v>-1.676549865229118E-2</v>
      </c>
      <c r="E94" s="14">
        <f t="shared" si="3"/>
        <v>-2.55518064639989E-3</v>
      </c>
    </row>
    <row r="95" spans="1:5" x14ac:dyDescent="0.35">
      <c r="A95" s="9">
        <v>45894</v>
      </c>
      <c r="B95" s="10">
        <v>185.5</v>
      </c>
      <c r="C95" s="11">
        <v>148815.31</v>
      </c>
      <c r="D95" s="14">
        <f t="shared" si="2"/>
        <v>-8.1805058012083681E-3</v>
      </c>
      <c r="E95" s="14">
        <f t="shared" si="3"/>
        <v>-4.5336552746997084E-3</v>
      </c>
    </row>
    <row r="96" spans="1:5" x14ac:dyDescent="0.35">
      <c r="A96" s="9">
        <v>45891</v>
      </c>
      <c r="B96" s="10">
        <v>187.03</v>
      </c>
      <c r="C96" s="11">
        <v>149493.06</v>
      </c>
      <c r="D96" s="14">
        <f t="shared" si="2"/>
        <v>1.499330655957168E-3</v>
      </c>
      <c r="E96" s="14">
        <f t="shared" si="3"/>
        <v>1.7274066646578129E-3</v>
      </c>
    </row>
    <row r="97" spans="1:5" x14ac:dyDescent="0.35">
      <c r="A97" s="9">
        <v>45890</v>
      </c>
      <c r="B97" s="10">
        <v>186.75</v>
      </c>
      <c r="C97" s="11">
        <v>149235.26999999999</v>
      </c>
      <c r="D97" s="14">
        <f t="shared" si="2"/>
        <v>-3.2734241466825471E-2</v>
      </c>
      <c r="E97" s="14">
        <f t="shared" si="3"/>
        <v>-9.0027292467678051E-3</v>
      </c>
    </row>
    <row r="98" spans="1:5" x14ac:dyDescent="0.35">
      <c r="A98" s="9">
        <v>45889</v>
      </c>
      <c r="B98" s="10">
        <v>193.07</v>
      </c>
      <c r="C98" s="11">
        <v>150591</v>
      </c>
      <c r="D98" s="14">
        <f t="shared" si="2"/>
        <v>1.1632171862719408E-2</v>
      </c>
      <c r="E98" s="14">
        <f t="shared" si="3"/>
        <v>5.4767035619438372E-3</v>
      </c>
    </row>
    <row r="99" spans="1:5" x14ac:dyDescent="0.35">
      <c r="A99" s="9">
        <v>45888</v>
      </c>
      <c r="B99" s="10">
        <v>190.85</v>
      </c>
      <c r="C99" s="11">
        <v>149770.75</v>
      </c>
      <c r="D99" s="14">
        <f t="shared" si="2"/>
        <v>7.442989864864847E-3</v>
      </c>
      <c r="E99" s="14">
        <f t="shared" si="3"/>
        <v>1.0623266068100613E-2</v>
      </c>
    </row>
    <row r="100" spans="1:5" x14ac:dyDescent="0.35">
      <c r="A100" s="9">
        <v>45887</v>
      </c>
      <c r="B100" s="10">
        <v>189.44</v>
      </c>
      <c r="C100" s="11">
        <v>148196.42000000001</v>
      </c>
      <c r="D100" s="14">
        <f t="shared" si="2"/>
        <v>7.3956682514519998E-4</v>
      </c>
      <c r="E100" s="14">
        <f t="shared" si="3"/>
        <v>1.1637456692918279E-2</v>
      </c>
    </row>
    <row r="101" spans="1:5" x14ac:dyDescent="0.35">
      <c r="A101" s="9">
        <v>45884</v>
      </c>
      <c r="B101" s="10">
        <v>189.3</v>
      </c>
      <c r="C101" s="11">
        <v>146491.63</v>
      </c>
      <c r="D101" s="14">
        <f t="shared" si="2"/>
        <v>1.1758417958311155E-2</v>
      </c>
      <c r="E101" s="14">
        <f t="shared" si="3"/>
        <v>-2.5714991765123996E-4</v>
      </c>
    </row>
    <row r="102" spans="1:5" x14ac:dyDescent="0.35">
      <c r="A102" s="9">
        <v>45882</v>
      </c>
      <c r="B102" s="10">
        <v>187.1</v>
      </c>
      <c r="C102" s="11">
        <v>146529.31</v>
      </c>
      <c r="D102" s="14">
        <f t="shared" si="2"/>
        <v>-2.6652452025586353E-3</v>
      </c>
      <c r="E102" s="14">
        <f t="shared" si="3"/>
        <v>-3.2379782743902244E-3</v>
      </c>
    </row>
    <row r="103" spans="1:5" x14ac:dyDescent="0.35">
      <c r="A103" s="9">
        <v>45881</v>
      </c>
      <c r="B103" s="10">
        <v>187.6</v>
      </c>
      <c r="C103" s="11">
        <v>147005.31</v>
      </c>
      <c r="D103" s="14">
        <f t="shared" si="2"/>
        <v>-6.4085588687040305E-3</v>
      </c>
      <c r="E103" s="14">
        <f t="shared" si="3"/>
        <v>5.1364651319297128E-4</v>
      </c>
    </row>
    <row r="104" spans="1:5" x14ac:dyDescent="0.35">
      <c r="A104" s="9">
        <v>45880</v>
      </c>
      <c r="B104" s="10">
        <v>188.81</v>
      </c>
      <c r="C104" s="11">
        <v>146929.84</v>
      </c>
      <c r="D104" s="14">
        <f t="shared" si="2"/>
        <v>1.0273422869067452E-2</v>
      </c>
      <c r="E104" s="14">
        <f t="shared" si="3"/>
        <v>1.0641148746619327E-2</v>
      </c>
    </row>
    <row r="105" spans="1:5" x14ac:dyDescent="0.35">
      <c r="A105" s="9">
        <v>45877</v>
      </c>
      <c r="B105" s="10">
        <v>186.89</v>
      </c>
      <c r="C105" s="11">
        <v>145382.79999999999</v>
      </c>
      <c r="D105" s="14">
        <f t="shared" si="2"/>
        <v>1.6054800385300607E-4</v>
      </c>
      <c r="E105" s="14">
        <f t="shared" si="3"/>
        <v>-1.8149343680900674E-3</v>
      </c>
    </row>
    <row r="106" spans="1:5" x14ac:dyDescent="0.35">
      <c r="A106" s="9">
        <v>45876</v>
      </c>
      <c r="B106" s="10">
        <v>186.86</v>
      </c>
      <c r="C106" s="11">
        <v>145647.14000000001</v>
      </c>
      <c r="D106" s="14">
        <f t="shared" si="2"/>
        <v>-4.5282616802514216E-3</v>
      </c>
      <c r="E106" s="14">
        <f t="shared" si="3"/>
        <v>3.8503396203008093E-3</v>
      </c>
    </row>
    <row r="107" spans="1:5" x14ac:dyDescent="0.35">
      <c r="A107" s="9">
        <v>45875</v>
      </c>
      <c r="B107" s="10">
        <v>187.71</v>
      </c>
      <c r="C107" s="11">
        <v>145088.5</v>
      </c>
      <c r="D107" s="14">
        <f t="shared" si="2"/>
        <v>1.78397136969961E-2</v>
      </c>
      <c r="E107" s="14">
        <f t="shared" si="3"/>
        <v>1.4341237316146475E-2</v>
      </c>
    </row>
    <row r="108" spans="1:5" x14ac:dyDescent="0.35">
      <c r="A108" s="9">
        <v>45874</v>
      </c>
      <c r="B108" s="10">
        <v>184.42</v>
      </c>
      <c r="C108" s="11">
        <v>143037.17000000001</v>
      </c>
      <c r="D108" s="14">
        <f t="shared" si="2"/>
        <v>-7.0441614738566164E-4</v>
      </c>
      <c r="E108" s="14">
        <f t="shared" si="3"/>
        <v>6.9305988356712879E-3</v>
      </c>
    </row>
    <row r="109" spans="1:5" x14ac:dyDescent="0.35">
      <c r="A109" s="9">
        <v>45873</v>
      </c>
      <c r="B109" s="10">
        <v>184.55</v>
      </c>
      <c r="C109" s="11">
        <v>142052.66</v>
      </c>
      <c r="D109" s="14">
        <f t="shared" si="2"/>
        <v>6.3253176290965982E-3</v>
      </c>
      <c r="E109" s="14">
        <f t="shared" si="3"/>
        <v>7.2157985203386635E-3</v>
      </c>
    </row>
    <row r="110" spans="1:5" x14ac:dyDescent="0.35">
      <c r="A110" s="9">
        <v>45870</v>
      </c>
      <c r="B110" s="10">
        <v>183.39</v>
      </c>
      <c r="C110" s="11">
        <v>141034.98000000001</v>
      </c>
      <c r="D110" s="14">
        <f t="shared" si="2"/>
        <v>7.0937465895446611E-4</v>
      </c>
      <c r="E110" s="14">
        <f t="shared" si="3"/>
        <v>1.1798228314399207E-2</v>
      </c>
    </row>
    <row r="111" spans="1:5" x14ac:dyDescent="0.35">
      <c r="A111" s="9">
        <v>45869</v>
      </c>
      <c r="B111" s="10">
        <v>183.26</v>
      </c>
      <c r="C111" s="11">
        <v>139390.42000000001</v>
      </c>
      <c r="D111" s="14">
        <f t="shared" si="2"/>
        <v>3.7243947858471814E-3</v>
      </c>
      <c r="E111" s="14">
        <f t="shared" si="3"/>
        <v>7.0670767941422297E-3</v>
      </c>
    </row>
    <row r="112" spans="1:5" x14ac:dyDescent="0.35">
      <c r="A112" s="9">
        <v>45868</v>
      </c>
      <c r="B112" s="10">
        <v>182.58</v>
      </c>
      <c r="C112" s="11">
        <v>138412.25</v>
      </c>
      <c r="D112" s="14">
        <f t="shared" si="2"/>
        <v>2.8272133363370186E-2</v>
      </c>
      <c r="E112" s="14">
        <f t="shared" si="3"/>
        <v>3.2431458427696334E-3</v>
      </c>
    </row>
    <row r="113" spans="1:5" x14ac:dyDescent="0.35">
      <c r="A113" s="9">
        <v>45867</v>
      </c>
      <c r="B113" s="10">
        <v>177.56</v>
      </c>
      <c r="C113" s="11">
        <v>137964.81</v>
      </c>
      <c r="D113" s="14">
        <f t="shared" si="2"/>
        <v>-9.096489759473159E-3</v>
      </c>
      <c r="E113" s="14">
        <f t="shared" si="3"/>
        <v>-1.0153891453339883E-2</v>
      </c>
    </row>
    <row r="114" spans="1:5" x14ac:dyDescent="0.35">
      <c r="A114" s="9">
        <v>45866</v>
      </c>
      <c r="B114" s="10">
        <v>179.19</v>
      </c>
      <c r="C114" s="11">
        <v>139380.06</v>
      </c>
      <c r="D114" s="14">
        <f t="shared" si="2"/>
        <v>-4.8531832421812852E-2</v>
      </c>
      <c r="E114" s="14">
        <f t="shared" si="3"/>
        <v>1.2410268714356885E-3</v>
      </c>
    </row>
    <row r="115" spans="1:5" x14ac:dyDescent="0.35">
      <c r="A115" s="9">
        <v>45863</v>
      </c>
      <c r="B115" s="10">
        <v>188.33</v>
      </c>
      <c r="C115" s="11">
        <v>139207.29999999999</v>
      </c>
      <c r="D115" s="14">
        <f t="shared" si="2"/>
        <v>-3.9328708426851558E-2</v>
      </c>
      <c r="E115" s="14">
        <f t="shared" si="3"/>
        <v>3.7105782158492985E-3</v>
      </c>
    </row>
    <row r="116" spans="1:5" x14ac:dyDescent="0.35">
      <c r="A116" s="9">
        <v>45862</v>
      </c>
      <c r="B116" s="10">
        <v>196.04</v>
      </c>
      <c r="C116" s="11">
        <v>138692.67000000001</v>
      </c>
      <c r="D116" s="14">
        <f t="shared" si="2"/>
        <v>-4.4266770670826891E-2</v>
      </c>
      <c r="E116" s="14">
        <f t="shared" si="3"/>
        <v>-4.0335541379097452E-3</v>
      </c>
    </row>
    <row r="117" spans="1:5" x14ac:dyDescent="0.35">
      <c r="A117" s="9">
        <v>45861</v>
      </c>
      <c r="B117" s="10">
        <v>205.12</v>
      </c>
      <c r="C117" s="11">
        <v>139254.35999999999</v>
      </c>
      <c r="D117" s="14">
        <f t="shared" si="2"/>
        <v>-4.1751626371491664E-3</v>
      </c>
      <c r="E117" s="14">
        <f t="shared" si="3"/>
        <v>-1.185414134293848E-3</v>
      </c>
    </row>
    <row r="118" spans="1:5" x14ac:dyDescent="0.35">
      <c r="A118" s="9">
        <v>45860</v>
      </c>
      <c r="B118" s="10">
        <v>205.98</v>
      </c>
      <c r="C118" s="11">
        <v>139419.63</v>
      </c>
      <c r="D118" s="14">
        <f t="shared" si="2"/>
        <v>1.9047147875129841E-2</v>
      </c>
      <c r="E118" s="14">
        <f t="shared" si="3"/>
        <v>8.6967952991219896E-3</v>
      </c>
    </row>
    <row r="119" spans="1:5" x14ac:dyDescent="0.35">
      <c r="A119" s="9">
        <v>45859</v>
      </c>
      <c r="B119" s="10">
        <v>202.13</v>
      </c>
      <c r="C119" s="11">
        <v>138217.57999999999</v>
      </c>
      <c r="D119" s="14">
        <f t="shared" si="2"/>
        <v>-1.6792611251049707E-3</v>
      </c>
      <c r="E119" s="14">
        <f t="shared" si="3"/>
        <v>-2.7401676337846471E-3</v>
      </c>
    </row>
    <row r="120" spans="1:5" x14ac:dyDescent="0.35">
      <c r="A120" s="9">
        <v>45856</v>
      </c>
      <c r="B120" s="10">
        <v>202.47</v>
      </c>
      <c r="C120" s="11">
        <v>138597.35999999999</v>
      </c>
      <c r="D120" s="14">
        <f t="shared" si="2"/>
        <v>-3.3878894879992343E-2</v>
      </c>
      <c r="E120" s="14">
        <f t="shared" si="3"/>
        <v>-4.9139836513057659E-4</v>
      </c>
    </row>
    <row r="121" spans="1:5" x14ac:dyDescent="0.35">
      <c r="A121" s="9">
        <v>45855</v>
      </c>
      <c r="B121" s="10">
        <v>209.57</v>
      </c>
      <c r="C121" s="11">
        <v>138665.5</v>
      </c>
      <c r="D121" s="14">
        <f t="shared" si="2"/>
        <v>2.030185004868543E-2</v>
      </c>
      <c r="E121" s="14">
        <f t="shared" si="3"/>
        <v>1.675854599469408E-2</v>
      </c>
    </row>
    <row r="122" spans="1:5" x14ac:dyDescent="0.35">
      <c r="A122" s="9">
        <v>45854</v>
      </c>
      <c r="B122" s="10">
        <v>205.4</v>
      </c>
      <c r="C122" s="11">
        <v>136379.97</v>
      </c>
      <c r="D122" s="14">
        <f t="shared" si="2"/>
        <v>3.3615136876006473E-2</v>
      </c>
      <c r="E122" s="14">
        <f t="shared" si="3"/>
        <v>3.23738699784049E-3</v>
      </c>
    </row>
    <row r="123" spans="1:5" x14ac:dyDescent="0.35">
      <c r="A123" s="9">
        <v>45853</v>
      </c>
      <c r="B123" s="10">
        <v>198.72</v>
      </c>
      <c r="C123" s="11">
        <v>135939.88</v>
      </c>
      <c r="D123" s="14">
        <f t="shared" si="2"/>
        <v>9.9966788442377968E-2</v>
      </c>
      <c r="E123" s="14">
        <f t="shared" si="3"/>
        <v>-4.1220475368407682E-3</v>
      </c>
    </row>
    <row r="124" spans="1:5" x14ac:dyDescent="0.35">
      <c r="A124" s="9">
        <v>45852</v>
      </c>
      <c r="B124" s="10">
        <v>180.66</v>
      </c>
      <c r="C124" s="11">
        <v>136502.54999999999</v>
      </c>
      <c r="D124" s="14">
        <f t="shared" si="2"/>
        <v>9.9975645396979951E-2</v>
      </c>
      <c r="E124" s="14">
        <f t="shared" si="3"/>
        <v>1.640196405399651E-2</v>
      </c>
    </row>
    <row r="125" spans="1:5" x14ac:dyDescent="0.35">
      <c r="A125" s="9">
        <v>45849</v>
      </c>
      <c r="B125" s="10">
        <v>164.24</v>
      </c>
      <c r="C125" s="11">
        <v>134299.76999999999</v>
      </c>
      <c r="D125" s="14">
        <f t="shared" si="2"/>
        <v>-3.3256813232091224E-2</v>
      </c>
      <c r="E125" s="14">
        <f t="shared" si="3"/>
        <v>3.8677003257679078E-3</v>
      </c>
    </row>
    <row r="126" spans="1:5" x14ac:dyDescent="0.35">
      <c r="A126" s="9">
        <v>45848</v>
      </c>
      <c r="B126" s="10">
        <v>169.89</v>
      </c>
      <c r="C126" s="11">
        <v>133782.34</v>
      </c>
      <c r="D126" s="14">
        <f t="shared" si="2"/>
        <v>7.7707913156956562E-3</v>
      </c>
      <c r="E126" s="14">
        <f t="shared" si="3"/>
        <v>9.0917744543584107E-3</v>
      </c>
    </row>
    <row r="127" spans="1:5" x14ac:dyDescent="0.35">
      <c r="A127" s="9">
        <v>45847</v>
      </c>
      <c r="B127" s="10">
        <v>168.58</v>
      </c>
      <c r="C127" s="11">
        <v>132576.98000000001</v>
      </c>
      <c r="D127" s="14">
        <f t="shared" si="2"/>
        <v>-8.2946055650332164E-3</v>
      </c>
      <c r="E127" s="14">
        <f t="shared" si="3"/>
        <v>-6.193330159496125E-3</v>
      </c>
    </row>
    <row r="128" spans="1:5" x14ac:dyDescent="0.35">
      <c r="A128" s="9">
        <v>45846</v>
      </c>
      <c r="B128" s="10">
        <v>169.99</v>
      </c>
      <c r="C128" s="11">
        <v>133403.19</v>
      </c>
      <c r="D128" s="14">
        <f t="shared" si="2"/>
        <v>1.3534462198902995E-2</v>
      </c>
      <c r="E128" s="14">
        <f t="shared" si="3"/>
        <v>2.4765659724783139E-4</v>
      </c>
    </row>
    <row r="129" spans="1:5" x14ac:dyDescent="0.35">
      <c r="A129" s="9">
        <v>45845</v>
      </c>
      <c r="B129" s="10">
        <v>167.72</v>
      </c>
      <c r="C129" s="11">
        <v>133370.16</v>
      </c>
      <c r="D129" s="14">
        <f t="shared" si="2"/>
        <v>3.4223345871616281E-2</v>
      </c>
      <c r="E129" s="14">
        <f t="shared" si="3"/>
        <v>1.0770065357040103E-2</v>
      </c>
    </row>
    <row r="130" spans="1:5" x14ac:dyDescent="0.35">
      <c r="A130" s="9">
        <v>45842</v>
      </c>
      <c r="B130" s="10">
        <v>162.16999999999999</v>
      </c>
      <c r="C130" s="11">
        <v>131949.06</v>
      </c>
      <c r="D130" s="14">
        <f t="shared" si="2"/>
        <v>3.286414878033244E-2</v>
      </c>
      <c r="E130" s="14">
        <f t="shared" si="3"/>
        <v>9.6597464500201794E-3</v>
      </c>
    </row>
    <row r="131" spans="1:5" x14ac:dyDescent="0.35">
      <c r="A131" s="9">
        <v>45841</v>
      </c>
      <c r="B131" s="10">
        <v>157.01</v>
      </c>
      <c r="C131" s="11">
        <v>130686.66</v>
      </c>
      <c r="D131" s="14">
        <f t="shared" si="2"/>
        <v>1.3294611164891916E-2</v>
      </c>
      <c r="E131" s="14">
        <f t="shared" si="3"/>
        <v>2.6286589420321336E-3</v>
      </c>
    </row>
    <row r="132" spans="1:5" x14ac:dyDescent="0.35">
      <c r="A132" s="9">
        <v>45840</v>
      </c>
      <c r="B132" s="10">
        <v>154.94999999999999</v>
      </c>
      <c r="C132" s="11">
        <v>130344.03</v>
      </c>
      <c r="D132" s="14">
        <f t="shared" si="2"/>
        <v>2.751989389920409E-2</v>
      </c>
      <c r="E132" s="14">
        <f t="shared" si="3"/>
        <v>1.6728623520401033E-2</v>
      </c>
    </row>
    <row r="133" spans="1:5" x14ac:dyDescent="0.35">
      <c r="A133" s="9">
        <v>45839</v>
      </c>
      <c r="B133" s="10">
        <v>150.80000000000001</v>
      </c>
      <c r="C133" s="11">
        <v>128199.43</v>
      </c>
      <c r="D133" s="14">
        <f t="shared" ref="D133:D196" si="4">(B133-B134)/B134</f>
        <v>6.9503546099290867E-2</v>
      </c>
      <c r="E133" s="14">
        <f t="shared" ref="E133:E196" si="5">(C133-C134)/C134</f>
        <v>2.0474210583670025E-2</v>
      </c>
    </row>
    <row r="134" spans="1:5" x14ac:dyDescent="0.35">
      <c r="A134" s="9">
        <v>45838</v>
      </c>
      <c r="B134" s="10">
        <v>141</v>
      </c>
      <c r="C134" s="11">
        <v>125627.31</v>
      </c>
      <c r="D134" s="14">
        <f t="shared" si="4"/>
        <v>-2.0525161016348792E-3</v>
      </c>
      <c r="E134" s="14">
        <f t="shared" si="5"/>
        <v>1.0035772095739184E-2</v>
      </c>
    </row>
    <row r="135" spans="1:5" x14ac:dyDescent="0.35">
      <c r="A135" s="9">
        <v>45835</v>
      </c>
      <c r="B135" s="10">
        <v>141.29</v>
      </c>
      <c r="C135" s="11">
        <v>124379.07</v>
      </c>
      <c r="D135" s="14">
        <f t="shared" si="4"/>
        <v>4.3269585763863139E-2</v>
      </c>
      <c r="E135" s="14">
        <f t="shared" si="5"/>
        <v>1.9112475691634156E-2</v>
      </c>
    </row>
    <row r="136" spans="1:5" x14ac:dyDescent="0.35">
      <c r="A136" s="9">
        <v>45834</v>
      </c>
      <c r="B136" s="10">
        <v>135.43</v>
      </c>
      <c r="C136" s="11">
        <v>122046.46</v>
      </c>
      <c r="D136" s="14">
        <f t="shared" si="4"/>
        <v>-4.5057114652376155E-2</v>
      </c>
      <c r="E136" s="14">
        <f t="shared" si="5"/>
        <v>-5.825761206839474E-3</v>
      </c>
    </row>
    <row r="137" spans="1:5" x14ac:dyDescent="0.35">
      <c r="A137" s="9">
        <v>45833</v>
      </c>
      <c r="B137" s="10">
        <v>141.82</v>
      </c>
      <c r="C137" s="11">
        <v>122761.64</v>
      </c>
      <c r="D137" s="14">
        <f t="shared" si="4"/>
        <v>3.3296903460837836E-2</v>
      </c>
      <c r="E137" s="14">
        <f t="shared" si="5"/>
        <v>4.2127947238468069E-3</v>
      </c>
    </row>
    <row r="138" spans="1:5" x14ac:dyDescent="0.35">
      <c r="A138" s="9">
        <v>45832</v>
      </c>
      <c r="B138" s="10">
        <v>137.25</v>
      </c>
      <c r="C138" s="11">
        <v>122246.64</v>
      </c>
      <c r="D138" s="14">
        <f t="shared" si="4"/>
        <v>2.483383244467193E-3</v>
      </c>
      <c r="E138" s="14">
        <f t="shared" si="5"/>
        <v>5.2331087179569274E-2</v>
      </c>
    </row>
    <row r="139" spans="1:5" x14ac:dyDescent="0.35">
      <c r="A139" s="9">
        <v>45831</v>
      </c>
      <c r="B139" s="10">
        <v>136.91</v>
      </c>
      <c r="C139" s="11">
        <v>116167.47</v>
      </c>
      <c r="D139" s="14">
        <f t="shared" si="4"/>
        <v>-2.8386913632815272E-2</v>
      </c>
      <c r="E139" s="14">
        <f t="shared" si="5"/>
        <v>-3.2125195087218145E-2</v>
      </c>
    </row>
    <row r="140" spans="1:5" x14ac:dyDescent="0.35">
      <c r="A140" s="9">
        <v>45828</v>
      </c>
      <c r="B140" s="10">
        <v>140.91</v>
      </c>
      <c r="C140" s="11">
        <v>120023.24</v>
      </c>
      <c r="D140" s="14">
        <f t="shared" si="4"/>
        <v>4.204675028506296E-3</v>
      </c>
      <c r="E140" s="14">
        <f t="shared" si="5"/>
        <v>1.7207961928162327E-4</v>
      </c>
    </row>
    <row r="141" spans="1:5" x14ac:dyDescent="0.35">
      <c r="A141" s="9">
        <v>45827</v>
      </c>
      <c r="B141" s="10">
        <v>140.32</v>
      </c>
      <c r="C141" s="11">
        <v>120002.59</v>
      </c>
      <c r="D141" s="14">
        <f t="shared" si="4"/>
        <v>-1.7298130121156937E-2</v>
      </c>
      <c r="E141" s="14">
        <f t="shared" si="5"/>
        <v>-3.8462327066249896E-3</v>
      </c>
    </row>
    <row r="142" spans="1:5" x14ac:dyDescent="0.35">
      <c r="A142" s="9">
        <v>45826</v>
      </c>
      <c r="B142" s="10">
        <v>142.79</v>
      </c>
      <c r="C142" s="11">
        <v>120465.93</v>
      </c>
      <c r="D142" s="14">
        <f t="shared" si="4"/>
        <v>-2.218722180373902E-2</v>
      </c>
      <c r="E142" s="14">
        <f t="shared" si="5"/>
        <v>-1.2339896421314441E-2</v>
      </c>
    </row>
    <row r="143" spans="1:5" x14ac:dyDescent="0.35">
      <c r="A143" s="9">
        <v>45825</v>
      </c>
      <c r="B143" s="10">
        <v>146.03</v>
      </c>
      <c r="C143" s="11">
        <v>121971.04</v>
      </c>
      <c r="D143" s="14">
        <f t="shared" si="4"/>
        <v>1.9976252008102352E-2</v>
      </c>
      <c r="E143" s="14">
        <f t="shared" si="5"/>
        <v>-2.080746581560545E-3</v>
      </c>
    </row>
    <row r="144" spans="1:5" x14ac:dyDescent="0.35">
      <c r="A144" s="9">
        <v>45824</v>
      </c>
      <c r="B144" s="10">
        <v>143.16999999999999</v>
      </c>
      <c r="C144" s="11">
        <v>122225.36</v>
      </c>
      <c r="D144" s="14">
        <f t="shared" si="4"/>
        <v>3.3270785219399433E-2</v>
      </c>
      <c r="E144" s="14">
        <f t="shared" si="5"/>
        <v>6.696218229088407E-4</v>
      </c>
    </row>
    <row r="145" spans="1:5" x14ac:dyDescent="0.35">
      <c r="A145" s="9">
        <v>45821</v>
      </c>
      <c r="B145" s="10">
        <v>138.56</v>
      </c>
      <c r="C145" s="11">
        <v>122143.57</v>
      </c>
      <c r="D145" s="14">
        <f t="shared" si="4"/>
        <v>-2.9352014010507865E-2</v>
      </c>
      <c r="E145" s="14">
        <f t="shared" si="5"/>
        <v>-1.5710379431188356E-2</v>
      </c>
    </row>
    <row r="146" spans="1:5" x14ac:dyDescent="0.35">
      <c r="A146" s="9">
        <v>45820</v>
      </c>
      <c r="B146" s="10">
        <v>142.75</v>
      </c>
      <c r="C146" s="11">
        <v>124093.12</v>
      </c>
      <c r="D146" s="14">
        <f t="shared" si="4"/>
        <v>7.6944797402230935E-3</v>
      </c>
      <c r="E146" s="14">
        <f t="shared" si="5"/>
        <v>-2.0872891521115404E-3</v>
      </c>
    </row>
    <row r="147" spans="1:5" x14ac:dyDescent="0.35">
      <c r="A147" s="9">
        <v>45819</v>
      </c>
      <c r="B147" s="10">
        <v>141.66</v>
      </c>
      <c r="C147" s="11">
        <v>124352.68</v>
      </c>
      <c r="D147" s="14">
        <f t="shared" si="4"/>
        <v>1.8990073370737923E-2</v>
      </c>
      <c r="E147" s="14">
        <f t="shared" si="5"/>
        <v>1.9080112148025352E-2</v>
      </c>
    </row>
    <row r="148" spans="1:5" x14ac:dyDescent="0.35">
      <c r="A148" s="9">
        <v>45818</v>
      </c>
      <c r="B148" s="10">
        <v>139.02000000000001</v>
      </c>
      <c r="C148" s="11">
        <v>122024.44</v>
      </c>
      <c r="D148" s="14">
        <f t="shared" si="4"/>
        <v>2.970150359232664E-2</v>
      </c>
      <c r="E148" s="14">
        <f t="shared" si="5"/>
        <v>3.152226634111873E-3</v>
      </c>
    </row>
    <row r="149" spans="1:5" x14ac:dyDescent="0.35">
      <c r="A149" s="9">
        <v>45813</v>
      </c>
      <c r="B149" s="10">
        <v>135.01</v>
      </c>
      <c r="C149" s="11">
        <v>121641</v>
      </c>
      <c r="D149" s="14">
        <f t="shared" si="4"/>
        <v>-1.9107817494914237E-2</v>
      </c>
      <c r="E149" s="14">
        <f t="shared" si="5"/>
        <v>-1.2961532401737008E-3</v>
      </c>
    </row>
    <row r="150" spans="1:5" x14ac:dyDescent="0.35">
      <c r="A150" s="9">
        <v>45812</v>
      </c>
      <c r="B150" s="10">
        <v>137.63999999999999</v>
      </c>
      <c r="C150" s="11">
        <v>121798.87</v>
      </c>
      <c r="D150" s="14">
        <f t="shared" si="4"/>
        <v>6.6976744186046405E-2</v>
      </c>
      <c r="E150" s="14">
        <f t="shared" si="5"/>
        <v>1.1191284878224624E-2</v>
      </c>
    </row>
    <row r="151" spans="1:5" x14ac:dyDescent="0.35">
      <c r="A151" s="9">
        <v>45811</v>
      </c>
      <c r="B151" s="10">
        <v>129</v>
      </c>
      <c r="C151" s="11">
        <v>120450.87</v>
      </c>
      <c r="D151" s="14">
        <f t="shared" si="4"/>
        <v>7.1043797330002075E-3</v>
      </c>
      <c r="E151" s="14">
        <f t="shared" si="5"/>
        <v>1.3232578897609214E-2</v>
      </c>
    </row>
    <row r="152" spans="1:5" x14ac:dyDescent="0.35">
      <c r="A152" s="9">
        <v>45810</v>
      </c>
      <c r="B152" s="10">
        <v>128.09</v>
      </c>
      <c r="C152" s="11">
        <v>118877.81</v>
      </c>
      <c r="D152" s="14">
        <f t="shared" si="4"/>
        <v>-1.2565525747764381E-2</v>
      </c>
      <c r="E152" s="14">
        <f t="shared" si="5"/>
        <v>-6.7948249113613957E-3</v>
      </c>
    </row>
    <row r="153" spans="1:5" x14ac:dyDescent="0.35">
      <c r="A153" s="9">
        <v>45807</v>
      </c>
      <c r="B153" s="10">
        <v>129.72</v>
      </c>
      <c r="C153" s="11">
        <v>119691.09</v>
      </c>
      <c r="D153" s="14">
        <f t="shared" si="4"/>
        <v>1.8290289661668877E-2</v>
      </c>
      <c r="E153" s="14">
        <f t="shared" si="5"/>
        <v>6.0491844217026008E-3</v>
      </c>
    </row>
    <row r="154" spans="1:5" x14ac:dyDescent="0.35">
      <c r="A154" s="9">
        <v>45806</v>
      </c>
      <c r="B154" s="10">
        <v>127.39</v>
      </c>
      <c r="C154" s="11">
        <v>118971.41</v>
      </c>
      <c r="D154" s="14">
        <f t="shared" si="4"/>
        <v>-1.6457680250783211E-3</v>
      </c>
      <c r="E154" s="14">
        <f t="shared" si="5"/>
        <v>5.395793951150191E-3</v>
      </c>
    </row>
    <row r="155" spans="1:5" x14ac:dyDescent="0.35">
      <c r="A155" s="9">
        <v>45804</v>
      </c>
      <c r="B155" s="10">
        <v>127.6</v>
      </c>
      <c r="C155" s="11">
        <v>118332.91</v>
      </c>
      <c r="D155" s="14">
        <f t="shared" si="4"/>
        <v>-2.657495701109922E-3</v>
      </c>
      <c r="E155" s="14">
        <f t="shared" si="5"/>
        <v>9.4560092139211798E-4</v>
      </c>
    </row>
    <row r="156" spans="1:5" x14ac:dyDescent="0.35">
      <c r="A156" s="9">
        <v>45803</v>
      </c>
      <c r="B156" s="10">
        <v>127.94</v>
      </c>
      <c r="C156" s="11">
        <v>118221.12</v>
      </c>
      <c r="D156" s="14">
        <f t="shared" si="4"/>
        <v>-5.468322787281711E-4</v>
      </c>
      <c r="E156" s="14">
        <f t="shared" si="5"/>
        <v>-7.4015972941664778E-3</v>
      </c>
    </row>
    <row r="157" spans="1:5" x14ac:dyDescent="0.35">
      <c r="A157" s="9">
        <v>45800</v>
      </c>
      <c r="B157" s="10">
        <v>128.01</v>
      </c>
      <c r="C157" s="11">
        <v>119102.67</v>
      </c>
      <c r="D157" s="14">
        <f t="shared" si="4"/>
        <v>-7.0257611241220466E-4</v>
      </c>
      <c r="E157" s="14">
        <f t="shared" si="5"/>
        <v>-4.2273365413081652E-4</v>
      </c>
    </row>
    <row r="158" spans="1:5" x14ac:dyDescent="0.35">
      <c r="A158" s="9">
        <v>45799</v>
      </c>
      <c r="B158" s="10">
        <v>128.1</v>
      </c>
      <c r="C158" s="11">
        <v>119153.04</v>
      </c>
      <c r="D158" s="14">
        <f t="shared" si="4"/>
        <v>-1.091703056768674E-3</v>
      </c>
      <c r="E158" s="14">
        <f t="shared" si="5"/>
        <v>-6.4905405137235285E-3</v>
      </c>
    </row>
    <row r="159" spans="1:5" x14ac:dyDescent="0.35">
      <c r="A159" s="9">
        <v>45798</v>
      </c>
      <c r="B159" s="10">
        <v>128.24</v>
      </c>
      <c r="C159" s="11">
        <v>119931.46</v>
      </c>
      <c r="D159" s="14">
        <f t="shared" si="4"/>
        <v>-5.5831265508684775E-3</v>
      </c>
      <c r="E159" s="14">
        <f t="shared" si="5"/>
        <v>8.0719582977820063E-3</v>
      </c>
    </row>
    <row r="160" spans="1:5" x14ac:dyDescent="0.35">
      <c r="A160" s="9">
        <v>45797</v>
      </c>
      <c r="B160" s="10">
        <v>128.96</v>
      </c>
      <c r="C160" s="11">
        <v>118971.13</v>
      </c>
      <c r="D160" s="14">
        <f t="shared" si="4"/>
        <v>-1.0844306738960988E-3</v>
      </c>
      <c r="E160" s="14">
        <f t="shared" si="5"/>
        <v>-6.0030263273434794E-3</v>
      </c>
    </row>
    <row r="161" spans="1:5" x14ac:dyDescent="0.35">
      <c r="A161" s="9">
        <v>45796</v>
      </c>
      <c r="B161" s="10">
        <v>129.1</v>
      </c>
      <c r="C161" s="11">
        <v>119689.63</v>
      </c>
      <c r="D161" s="14">
        <f t="shared" si="4"/>
        <v>8.3574162305709073E-3</v>
      </c>
      <c r="E161" s="14">
        <f t="shared" si="5"/>
        <v>3.3840610973054412E-4</v>
      </c>
    </row>
    <row r="162" spans="1:5" x14ac:dyDescent="0.35">
      <c r="A162" s="9">
        <v>45793</v>
      </c>
      <c r="B162" s="10">
        <v>128.03</v>
      </c>
      <c r="C162" s="11">
        <v>119649.14</v>
      </c>
      <c r="D162" s="14">
        <f t="shared" si="4"/>
        <v>1.4862327909887182E-3</v>
      </c>
      <c r="E162" s="14">
        <f t="shared" si="5"/>
        <v>-2.6072442494455453E-3</v>
      </c>
    </row>
    <row r="163" spans="1:5" x14ac:dyDescent="0.35">
      <c r="A163" s="9">
        <v>45792</v>
      </c>
      <c r="B163" s="10">
        <v>127.84</v>
      </c>
      <c r="C163" s="11">
        <v>119961.91</v>
      </c>
      <c r="D163" s="14">
        <f t="shared" si="4"/>
        <v>6.3764465086987507E-3</v>
      </c>
      <c r="E163" s="14">
        <f t="shared" si="5"/>
        <v>1.2024816316117948E-2</v>
      </c>
    </row>
    <row r="164" spans="1:5" x14ac:dyDescent="0.35">
      <c r="A164" s="9">
        <v>45791</v>
      </c>
      <c r="B164" s="10">
        <v>127.03</v>
      </c>
      <c r="C164" s="11">
        <v>118536.53</v>
      </c>
      <c r="D164" s="14">
        <f t="shared" si="4"/>
        <v>-6.3360450563204182E-3</v>
      </c>
      <c r="E164" s="14">
        <f t="shared" si="5"/>
        <v>-3.3193931751219059E-4</v>
      </c>
    </row>
    <row r="165" spans="1:5" x14ac:dyDescent="0.35">
      <c r="A165" s="9">
        <v>45790</v>
      </c>
      <c r="B165" s="10">
        <v>127.84</v>
      </c>
      <c r="C165" s="11">
        <v>118575.89</v>
      </c>
      <c r="D165" s="14">
        <f t="shared" si="4"/>
        <v>-2.5089605734766967E-2</v>
      </c>
      <c r="E165" s="14">
        <f t="shared" si="5"/>
        <v>1.0896715563037781E-2</v>
      </c>
    </row>
    <row r="166" spans="1:5" x14ac:dyDescent="0.35">
      <c r="A166" s="9">
        <v>45789</v>
      </c>
      <c r="B166" s="10">
        <v>131.13</v>
      </c>
      <c r="C166" s="11">
        <v>117297.73</v>
      </c>
      <c r="D166" s="14">
        <f t="shared" si="4"/>
        <v>4.7029702970297037E-2</v>
      </c>
      <c r="E166" s="14">
        <f t="shared" si="5"/>
        <v>9.4454154452956379E-2</v>
      </c>
    </row>
    <row r="167" spans="1:5" x14ac:dyDescent="0.35">
      <c r="A167" s="9">
        <v>45786</v>
      </c>
      <c r="B167" s="10">
        <v>125.24</v>
      </c>
      <c r="C167" s="11">
        <v>107174.64</v>
      </c>
      <c r="D167" s="14">
        <f t="shared" si="4"/>
        <v>1.9199999999999591E-3</v>
      </c>
      <c r="E167" s="14">
        <f t="shared" si="5"/>
        <v>3.5235507088887619E-2</v>
      </c>
    </row>
    <row r="168" spans="1:5" x14ac:dyDescent="0.35">
      <c r="A168" s="9">
        <v>45785</v>
      </c>
      <c r="B168" s="10">
        <v>125</v>
      </c>
      <c r="C168" s="11">
        <v>103526.82</v>
      </c>
      <c r="D168" s="14">
        <f t="shared" si="4"/>
        <v>-2.3994241382069214E-4</v>
      </c>
      <c r="E168" s="14">
        <f t="shared" si="5"/>
        <v>-5.8924344665160597E-2</v>
      </c>
    </row>
    <row r="169" spans="1:5" x14ac:dyDescent="0.35">
      <c r="A169" s="9">
        <v>45784</v>
      </c>
      <c r="B169" s="10">
        <v>125.03</v>
      </c>
      <c r="C169" s="11">
        <v>110009.03</v>
      </c>
      <c r="D169" s="14">
        <f t="shared" si="4"/>
        <v>-2.9797470318926076E-2</v>
      </c>
      <c r="E169" s="14">
        <f t="shared" si="5"/>
        <v>-3.1342138767163505E-2</v>
      </c>
    </row>
    <row r="170" spans="1:5" x14ac:dyDescent="0.35">
      <c r="A170" s="9">
        <v>45783</v>
      </c>
      <c r="B170" s="10">
        <v>128.87</v>
      </c>
      <c r="C170" s="11">
        <v>113568.51</v>
      </c>
      <c r="D170" s="14">
        <f t="shared" si="4"/>
        <v>-8.6923076923076572E-3</v>
      </c>
      <c r="E170" s="14">
        <f t="shared" si="5"/>
        <v>-4.6776469944850374E-3</v>
      </c>
    </row>
    <row r="171" spans="1:5" x14ac:dyDescent="0.35">
      <c r="A171" s="9">
        <v>45782</v>
      </c>
      <c r="B171" s="10">
        <v>130</v>
      </c>
      <c r="C171" s="11">
        <v>114102.24</v>
      </c>
      <c r="D171" s="14">
        <f t="shared" si="4"/>
        <v>-3.5822888081287634E-2</v>
      </c>
      <c r="E171" s="14">
        <f t="shared" si="5"/>
        <v>-1.0252910380622287E-4</v>
      </c>
    </row>
    <row r="172" spans="1:5" x14ac:dyDescent="0.35">
      <c r="A172" s="9">
        <v>45779</v>
      </c>
      <c r="B172" s="10">
        <v>134.83000000000001</v>
      </c>
      <c r="C172" s="11">
        <v>114113.94</v>
      </c>
      <c r="D172" s="14">
        <f t="shared" si="4"/>
        <v>5.5936754176610978E-3</v>
      </c>
      <c r="E172" s="14">
        <f t="shared" si="5"/>
        <v>2.5037686417744984E-2</v>
      </c>
    </row>
    <row r="173" spans="1:5" x14ac:dyDescent="0.35">
      <c r="A173" s="9">
        <v>45777</v>
      </c>
      <c r="B173" s="10">
        <v>134.08000000000001</v>
      </c>
      <c r="C173" s="11">
        <v>111326.58</v>
      </c>
      <c r="D173" s="14">
        <f t="shared" si="4"/>
        <v>-1.7124562579107271E-3</v>
      </c>
      <c r="E173" s="14">
        <f t="shared" si="5"/>
        <v>-3.0865610803242276E-2</v>
      </c>
    </row>
    <row r="174" spans="1:5" x14ac:dyDescent="0.35">
      <c r="A174" s="9">
        <v>45776</v>
      </c>
      <c r="B174" s="10">
        <v>134.31</v>
      </c>
      <c r="C174" s="11">
        <v>114872.18</v>
      </c>
      <c r="D174" s="14">
        <f t="shared" si="4"/>
        <v>1.9198664440734568E-2</v>
      </c>
      <c r="E174" s="14">
        <f t="shared" si="5"/>
        <v>7.0862034350920745E-3</v>
      </c>
    </row>
    <row r="175" spans="1:5" x14ac:dyDescent="0.35">
      <c r="A175" s="9">
        <v>45775</v>
      </c>
      <c r="B175" s="10">
        <v>131.78</v>
      </c>
      <c r="C175" s="11">
        <v>114063.9</v>
      </c>
      <c r="D175" s="14">
        <f t="shared" si="4"/>
        <v>1.3770290022309346E-2</v>
      </c>
      <c r="E175" s="14">
        <f t="shared" si="5"/>
        <v>-1.2171628228616612E-2</v>
      </c>
    </row>
    <row r="176" spans="1:5" x14ac:dyDescent="0.35">
      <c r="A176" s="9">
        <v>45772</v>
      </c>
      <c r="B176" s="10">
        <v>129.99</v>
      </c>
      <c r="C176" s="11">
        <v>115469.35</v>
      </c>
      <c r="D176" s="14">
        <f t="shared" si="4"/>
        <v>1.5388166499969401E-4</v>
      </c>
      <c r="E176" s="14">
        <f t="shared" si="5"/>
        <v>3.9082829376710796E-3</v>
      </c>
    </row>
    <row r="177" spans="1:5" x14ac:dyDescent="0.35">
      <c r="A177" s="9">
        <v>45771</v>
      </c>
      <c r="B177" s="10">
        <v>129.97</v>
      </c>
      <c r="C177" s="11">
        <v>115019.82</v>
      </c>
      <c r="D177" s="14">
        <f t="shared" si="4"/>
        <v>-2.7622189825827793E-3</v>
      </c>
      <c r="E177" s="14">
        <f t="shared" si="5"/>
        <v>-1.8821141869796009E-2</v>
      </c>
    </row>
    <row r="178" spans="1:5" x14ac:dyDescent="0.35">
      <c r="A178" s="9">
        <v>45770</v>
      </c>
      <c r="B178" s="10">
        <v>130.33000000000001</v>
      </c>
      <c r="C178" s="11">
        <v>117226.15</v>
      </c>
      <c r="D178" s="14">
        <f t="shared" si="4"/>
        <v>-1.1902956785443465E-2</v>
      </c>
      <c r="E178" s="14">
        <f t="shared" si="5"/>
        <v>-1.0168001698888939E-2</v>
      </c>
    </row>
    <row r="179" spans="1:5" x14ac:dyDescent="0.35">
      <c r="A179" s="9">
        <v>45769</v>
      </c>
      <c r="B179" s="10">
        <v>131.9</v>
      </c>
      <c r="C179" s="11">
        <v>118430.35</v>
      </c>
      <c r="D179" s="14">
        <f t="shared" si="4"/>
        <v>1.0625379477839617E-3</v>
      </c>
      <c r="E179" s="14">
        <f t="shared" si="5"/>
        <v>3.9676177517486969E-4</v>
      </c>
    </row>
    <row r="180" spans="1:5" x14ac:dyDescent="0.35">
      <c r="A180" s="9">
        <v>45768</v>
      </c>
      <c r="B180" s="10">
        <v>131.76</v>
      </c>
      <c r="C180" s="11">
        <v>118383.38</v>
      </c>
      <c r="D180" s="14">
        <f t="shared" si="4"/>
        <v>3.0421521858137061E-2</v>
      </c>
      <c r="E180" s="14">
        <f t="shared" si="5"/>
        <v>9.1018593521969941E-3</v>
      </c>
    </row>
    <row r="181" spans="1:5" x14ac:dyDescent="0.35">
      <c r="A181" s="9">
        <v>45765</v>
      </c>
      <c r="B181" s="10">
        <v>127.87</v>
      </c>
      <c r="C181" s="11">
        <v>117315.59</v>
      </c>
      <c r="D181" s="14">
        <f t="shared" si="4"/>
        <v>-1.5475823837388289E-2</v>
      </c>
      <c r="E181" s="14">
        <f t="shared" si="5"/>
        <v>3.5453891677522009E-3</v>
      </c>
    </row>
    <row r="182" spans="1:5" x14ac:dyDescent="0.35">
      <c r="A182" s="9">
        <v>45764</v>
      </c>
      <c r="B182" s="10">
        <v>129.88</v>
      </c>
      <c r="C182" s="11">
        <v>116901.13</v>
      </c>
      <c r="D182" s="14">
        <f t="shared" si="4"/>
        <v>-1.6910069177555639E-3</v>
      </c>
      <c r="E182" s="14">
        <f t="shared" si="5"/>
        <v>7.5936835433098974E-3</v>
      </c>
    </row>
    <row r="183" spans="1:5" x14ac:dyDescent="0.35">
      <c r="A183" s="9">
        <v>45763</v>
      </c>
      <c r="B183" s="10">
        <v>130.1</v>
      </c>
      <c r="C183" s="11">
        <v>116020.11</v>
      </c>
      <c r="D183" s="14">
        <f t="shared" si="4"/>
        <v>-8.2329623418204937E-3</v>
      </c>
      <c r="E183" s="14">
        <f t="shared" si="5"/>
        <v>-6.4687370210360856E-3</v>
      </c>
    </row>
    <row r="184" spans="1:5" x14ac:dyDescent="0.35">
      <c r="A184" s="9">
        <v>45762</v>
      </c>
      <c r="B184" s="10">
        <v>131.18</v>
      </c>
      <c r="C184" s="11">
        <v>116775.5</v>
      </c>
      <c r="D184" s="14">
        <f t="shared" si="4"/>
        <v>-2.0898641588296636E-2</v>
      </c>
      <c r="E184" s="14">
        <f t="shared" si="5"/>
        <v>3.3117954079232761E-3</v>
      </c>
    </row>
    <row r="185" spans="1:5" x14ac:dyDescent="0.35">
      <c r="A185" s="9">
        <v>45761</v>
      </c>
      <c r="B185" s="10">
        <v>133.97999999999999</v>
      </c>
      <c r="C185" s="11">
        <v>116390.04</v>
      </c>
      <c r="D185" s="14">
        <f t="shared" si="4"/>
        <v>7.3684210526315016E-3</v>
      </c>
      <c r="E185" s="14">
        <f t="shared" si="5"/>
        <v>1.3379760081836476E-2</v>
      </c>
    </row>
    <row r="186" spans="1:5" x14ac:dyDescent="0.35">
      <c r="A186" s="9">
        <v>45758</v>
      </c>
      <c r="B186" s="10">
        <v>133</v>
      </c>
      <c r="C186" s="11">
        <v>114853.33</v>
      </c>
      <c r="D186" s="14">
        <f t="shared" si="4"/>
        <v>-7.3886110903799464E-3</v>
      </c>
      <c r="E186" s="14">
        <f t="shared" si="5"/>
        <v>-1.1497453162819547E-2</v>
      </c>
    </row>
    <row r="187" spans="1:5" x14ac:dyDescent="0.35">
      <c r="A187" s="9">
        <v>45757</v>
      </c>
      <c r="B187" s="10">
        <v>133.99</v>
      </c>
      <c r="C187" s="11">
        <v>116189.21</v>
      </c>
      <c r="D187" s="14">
        <f t="shared" si="4"/>
        <v>-3.7302297821533088E-4</v>
      </c>
      <c r="E187" s="14">
        <f t="shared" si="5"/>
        <v>1.7836124729267266E-2</v>
      </c>
    </row>
    <row r="188" spans="1:5" x14ac:dyDescent="0.35">
      <c r="A188" s="9">
        <v>45756</v>
      </c>
      <c r="B188" s="10">
        <v>134.04</v>
      </c>
      <c r="C188" s="11">
        <v>114153.16</v>
      </c>
      <c r="D188" s="14">
        <f t="shared" si="4"/>
        <v>2.2386389075442981E-4</v>
      </c>
      <c r="E188" s="14">
        <f t="shared" si="5"/>
        <v>-1.1938379552823303E-2</v>
      </c>
    </row>
    <row r="189" spans="1:5" x14ac:dyDescent="0.35">
      <c r="A189" s="9">
        <v>45755</v>
      </c>
      <c r="B189" s="10">
        <v>134.01</v>
      </c>
      <c r="C189" s="11">
        <v>115532.43</v>
      </c>
      <c r="D189" s="14">
        <f t="shared" si="4"/>
        <v>7.1396362543212728E-3</v>
      </c>
      <c r="E189" s="14">
        <f t="shared" si="5"/>
        <v>5.4211362351359125E-3</v>
      </c>
    </row>
    <row r="190" spans="1:5" x14ac:dyDescent="0.35">
      <c r="A190" s="9">
        <v>45754</v>
      </c>
      <c r="B190" s="10">
        <v>133.06</v>
      </c>
      <c r="C190" s="11">
        <v>114909.49</v>
      </c>
      <c r="D190" s="14">
        <f t="shared" si="4"/>
        <v>-2.6912388474477158E-2</v>
      </c>
      <c r="E190" s="14">
        <f t="shared" si="5"/>
        <v>-3.2680492889820702E-2</v>
      </c>
    </row>
    <row r="191" spans="1:5" x14ac:dyDescent="0.35">
      <c r="A191" s="9">
        <v>45751</v>
      </c>
      <c r="B191" s="10">
        <v>136.74</v>
      </c>
      <c r="C191" s="11">
        <v>118791.66</v>
      </c>
      <c r="D191" s="14">
        <f t="shared" si="4"/>
        <v>7.7382268405926111E-3</v>
      </c>
      <c r="E191" s="14">
        <f t="shared" si="5"/>
        <v>-1.2313126549597694E-3</v>
      </c>
    </row>
    <row r="192" spans="1:5" x14ac:dyDescent="0.35">
      <c r="A192" s="9">
        <v>45750</v>
      </c>
      <c r="B192" s="10">
        <v>135.69</v>
      </c>
      <c r="C192" s="11">
        <v>118938.11</v>
      </c>
      <c r="D192" s="14">
        <f t="shared" si="4"/>
        <v>1.1856823266219266E-2</v>
      </c>
      <c r="E192" s="14">
        <f t="shared" si="5"/>
        <v>9.6035244160457747E-3</v>
      </c>
    </row>
    <row r="193" spans="1:5" x14ac:dyDescent="0.35">
      <c r="A193" s="9">
        <v>45743</v>
      </c>
      <c r="B193" s="10">
        <v>134.1</v>
      </c>
      <c r="C193" s="11">
        <v>117806.75</v>
      </c>
      <c r="D193" s="14">
        <f t="shared" si="4"/>
        <v>4.4943820224718671E-3</v>
      </c>
      <c r="E193" s="14">
        <f t="shared" si="5"/>
        <v>2.9242867020271853E-4</v>
      </c>
    </row>
    <row r="194" spans="1:5" x14ac:dyDescent="0.35">
      <c r="A194" s="9">
        <v>45742</v>
      </c>
      <c r="B194" s="10">
        <v>133.5</v>
      </c>
      <c r="C194" s="11">
        <v>117772.31</v>
      </c>
      <c r="D194" s="14">
        <f t="shared" si="4"/>
        <v>-3.3594624860021549E-3</v>
      </c>
      <c r="E194" s="14">
        <f t="shared" si="5"/>
        <v>9.7668613482768188E-3</v>
      </c>
    </row>
    <row r="195" spans="1:5" x14ac:dyDescent="0.35">
      <c r="A195" s="9">
        <v>45741</v>
      </c>
      <c r="B195" s="10">
        <v>133.94999999999999</v>
      </c>
      <c r="C195" s="11">
        <v>116633.17</v>
      </c>
      <c r="D195" s="14">
        <f t="shared" si="4"/>
        <v>-1.3419816595840366E-3</v>
      </c>
      <c r="E195" s="14">
        <f t="shared" si="5"/>
        <v>1.6622348990833439E-3</v>
      </c>
    </row>
    <row r="196" spans="1:5" x14ac:dyDescent="0.35">
      <c r="A196" s="9">
        <v>45740</v>
      </c>
      <c r="B196" s="10">
        <v>134.13</v>
      </c>
      <c r="C196" s="11">
        <v>116439.62</v>
      </c>
      <c r="D196" s="14">
        <f t="shared" si="4"/>
        <v>-5.7079318013343976E-3</v>
      </c>
      <c r="E196" s="14">
        <f t="shared" si="5"/>
        <v>-1.6907490220122577E-2</v>
      </c>
    </row>
    <row r="197" spans="1:5" x14ac:dyDescent="0.35">
      <c r="A197" s="9">
        <v>45737</v>
      </c>
      <c r="B197" s="10">
        <v>134.9</v>
      </c>
      <c r="C197" s="11">
        <v>118442.18</v>
      </c>
      <c r="D197" s="14">
        <f t="shared" ref="D197:D260" si="6">(B197-B198)/B198</f>
        <v>3.7078235076018815E-4</v>
      </c>
      <c r="E197" s="14">
        <f t="shared" ref="E197:E260" si="7">(C197-C198)/C198</f>
        <v>-2.7581934359223819E-3</v>
      </c>
    </row>
    <row r="198" spans="1:5" x14ac:dyDescent="0.35">
      <c r="A198" s="9">
        <v>45736</v>
      </c>
      <c r="B198" s="10">
        <v>134.85</v>
      </c>
      <c r="C198" s="11">
        <v>118769.77</v>
      </c>
      <c r="D198" s="14">
        <f t="shared" si="6"/>
        <v>-8.8908646365862449E-4</v>
      </c>
      <c r="E198" s="14">
        <f t="shared" si="7"/>
        <v>6.7450438032845474E-3</v>
      </c>
    </row>
    <row r="199" spans="1:5" x14ac:dyDescent="0.35">
      <c r="A199" s="9">
        <v>45735</v>
      </c>
      <c r="B199" s="10">
        <v>134.97</v>
      </c>
      <c r="C199" s="11">
        <v>117974.03</v>
      </c>
      <c r="D199" s="14">
        <f t="shared" si="6"/>
        <v>1.063272182703098E-2</v>
      </c>
      <c r="E199" s="14">
        <f t="shared" si="7"/>
        <v>8.3156490251501281E-3</v>
      </c>
    </row>
    <row r="200" spans="1:5" x14ac:dyDescent="0.35">
      <c r="A200" s="9">
        <v>45734</v>
      </c>
      <c r="B200" s="10">
        <v>133.55000000000001</v>
      </c>
      <c r="C200" s="11">
        <v>117001.09</v>
      </c>
      <c r="D200" s="14">
        <f t="shared" si="6"/>
        <v>-1.0667456848655438E-2</v>
      </c>
      <c r="E200" s="14">
        <f t="shared" si="7"/>
        <v>6.8976146989847388E-3</v>
      </c>
    </row>
    <row r="201" spans="1:5" x14ac:dyDescent="0.35">
      <c r="A201" s="9">
        <v>45733</v>
      </c>
      <c r="B201" s="10">
        <v>134.99</v>
      </c>
      <c r="C201" s="11">
        <v>116199.59</v>
      </c>
      <c r="D201" s="14">
        <f t="shared" si="6"/>
        <v>3.4939042521558044E-3</v>
      </c>
      <c r="E201" s="14">
        <f t="shared" si="7"/>
        <v>5.7420979075210668E-3</v>
      </c>
    </row>
    <row r="202" spans="1:5" x14ac:dyDescent="0.35">
      <c r="A202" s="9">
        <v>45730</v>
      </c>
      <c r="B202" s="10">
        <v>134.52000000000001</v>
      </c>
      <c r="C202" s="11">
        <v>115536.17</v>
      </c>
      <c r="D202" s="14">
        <f t="shared" si="6"/>
        <v>1.4173703256936249E-2</v>
      </c>
      <c r="E202" s="14">
        <f t="shared" si="7"/>
        <v>3.8397229956945978E-3</v>
      </c>
    </row>
    <row r="203" spans="1:5" x14ac:dyDescent="0.35">
      <c r="A203" s="9">
        <v>45729</v>
      </c>
      <c r="B203" s="10">
        <v>132.63999999999999</v>
      </c>
      <c r="C203" s="11">
        <v>115094.24</v>
      </c>
      <c r="D203" s="14">
        <f t="shared" si="6"/>
        <v>-2.4777589883096866E-2</v>
      </c>
      <c r="E203" s="14">
        <f t="shared" si="7"/>
        <v>8.8504542333256702E-3</v>
      </c>
    </row>
    <row r="204" spans="1:5" x14ac:dyDescent="0.35">
      <c r="A204" s="9">
        <v>45728</v>
      </c>
      <c r="B204" s="10">
        <v>136.01</v>
      </c>
      <c r="C204" s="11">
        <v>114084.54</v>
      </c>
      <c r="D204" s="14">
        <f t="shared" si="6"/>
        <v>-7.8780363265009302E-3</v>
      </c>
      <c r="E204" s="14">
        <f t="shared" si="7"/>
        <v>-8.1557110208783305E-4</v>
      </c>
    </row>
    <row r="205" spans="1:5" x14ac:dyDescent="0.35">
      <c r="A205" s="9">
        <v>45727</v>
      </c>
      <c r="B205" s="10">
        <v>137.09</v>
      </c>
      <c r="C205" s="11">
        <v>114177.66</v>
      </c>
      <c r="D205" s="14">
        <f t="shared" si="6"/>
        <v>-2.4739867568944435E-3</v>
      </c>
      <c r="E205" s="14">
        <f t="shared" si="7"/>
        <v>-1.5624844236882102E-3</v>
      </c>
    </row>
    <row r="206" spans="1:5" x14ac:dyDescent="0.35">
      <c r="A206" s="9">
        <v>45726</v>
      </c>
      <c r="B206" s="10">
        <v>137.43</v>
      </c>
      <c r="C206" s="11">
        <v>114356.34</v>
      </c>
      <c r="D206" s="14">
        <f t="shared" si="6"/>
        <v>-1.136608877059193E-2</v>
      </c>
      <c r="E206" s="14">
        <f t="shared" si="7"/>
        <v>-3.7028392805163506E-4</v>
      </c>
    </row>
    <row r="207" spans="1:5" x14ac:dyDescent="0.35">
      <c r="A207" s="9">
        <v>45723</v>
      </c>
      <c r="B207" s="10">
        <v>139.01</v>
      </c>
      <c r="C207" s="11">
        <v>114398.7</v>
      </c>
      <c r="D207" s="14">
        <f t="shared" si="6"/>
        <v>9.8801307664365071E-3</v>
      </c>
      <c r="E207" s="14">
        <f t="shared" si="7"/>
        <v>6.0285008298950407E-3</v>
      </c>
    </row>
    <row r="208" spans="1:5" x14ac:dyDescent="0.35">
      <c r="A208" s="9">
        <v>45722</v>
      </c>
      <c r="B208" s="10">
        <v>137.65</v>
      </c>
      <c r="C208" s="11">
        <v>113713.18</v>
      </c>
      <c r="D208" s="14">
        <f t="shared" si="6"/>
        <v>3.6456434560699961E-3</v>
      </c>
      <c r="E208" s="14">
        <f t="shared" si="7"/>
        <v>1.3001078983902173E-2</v>
      </c>
    </row>
    <row r="209" spans="1:5" x14ac:dyDescent="0.35">
      <c r="A209" s="9">
        <v>45721</v>
      </c>
      <c r="B209" s="10">
        <v>137.15</v>
      </c>
      <c r="C209" s="11">
        <v>112253.75999999999</v>
      </c>
      <c r="D209" s="14">
        <f t="shared" si="6"/>
        <v>-9.7472924187725213E-3</v>
      </c>
      <c r="E209" s="14">
        <f t="shared" si="7"/>
        <v>-4.3464917804793531E-3</v>
      </c>
    </row>
    <row r="210" spans="1:5" x14ac:dyDescent="0.35">
      <c r="A210" s="9">
        <v>45720</v>
      </c>
      <c r="B210" s="10">
        <v>138.5</v>
      </c>
      <c r="C210" s="11">
        <v>112743.8</v>
      </c>
      <c r="D210" s="14">
        <f t="shared" si="6"/>
        <v>8.1525695152133097E-3</v>
      </c>
      <c r="E210" s="14">
        <f t="shared" si="7"/>
        <v>6.7589161552749927E-3</v>
      </c>
    </row>
    <row r="211" spans="1:5" x14ac:dyDescent="0.35">
      <c r="A211" s="9">
        <v>45719</v>
      </c>
      <c r="B211" s="10">
        <v>137.38</v>
      </c>
      <c r="C211" s="11">
        <v>111986.89</v>
      </c>
      <c r="D211" s="14">
        <f t="shared" si="6"/>
        <v>2.1842009464871596E-4</v>
      </c>
      <c r="E211" s="14">
        <f t="shared" si="7"/>
        <v>-1.1167870637139381E-2</v>
      </c>
    </row>
    <row r="212" spans="1:5" x14ac:dyDescent="0.35">
      <c r="A212" s="9">
        <v>45716</v>
      </c>
      <c r="B212" s="10">
        <v>137.35</v>
      </c>
      <c r="C212" s="11">
        <v>113251.67</v>
      </c>
      <c r="D212" s="14">
        <f t="shared" si="6"/>
        <v>-1.0090090090090131E-2</v>
      </c>
      <c r="E212" s="14">
        <f t="shared" si="7"/>
        <v>-4.6811374960220743E-3</v>
      </c>
    </row>
    <row r="213" spans="1:5" x14ac:dyDescent="0.35">
      <c r="A213" s="9">
        <v>45715</v>
      </c>
      <c r="B213" s="10">
        <v>138.75</v>
      </c>
      <c r="C213" s="11">
        <v>113784.31</v>
      </c>
      <c r="D213" s="14">
        <f t="shared" si="6"/>
        <v>-8.6453272363532993E-3</v>
      </c>
      <c r="E213" s="14">
        <f t="shared" si="7"/>
        <v>-6.8521345031323413E-4</v>
      </c>
    </row>
    <row r="214" spans="1:5" x14ac:dyDescent="0.35">
      <c r="A214" s="9">
        <v>45714</v>
      </c>
      <c r="B214" s="10">
        <v>139.96</v>
      </c>
      <c r="C214" s="11">
        <v>113862.33</v>
      </c>
      <c r="D214" s="14">
        <f t="shared" si="6"/>
        <v>-2.1430102150154392E-4</v>
      </c>
      <c r="E214" s="14">
        <f t="shared" si="7"/>
        <v>-5.8130717101804001E-3</v>
      </c>
    </row>
    <row r="215" spans="1:5" x14ac:dyDescent="0.35">
      <c r="A215" s="9">
        <v>45713</v>
      </c>
      <c r="B215" s="10">
        <v>139.99</v>
      </c>
      <c r="C215" s="11">
        <v>114528.09</v>
      </c>
      <c r="D215" s="14">
        <f t="shared" si="6"/>
        <v>2.1452024808464046E-2</v>
      </c>
      <c r="E215" s="14">
        <f t="shared" si="7"/>
        <v>1.7317399355024677E-3</v>
      </c>
    </row>
    <row r="216" spans="1:5" x14ac:dyDescent="0.35">
      <c r="A216" s="9">
        <v>45712</v>
      </c>
      <c r="B216" s="10">
        <v>137.05000000000001</v>
      </c>
      <c r="C216" s="11">
        <v>114330.1</v>
      </c>
      <c r="D216" s="14">
        <f t="shared" si="6"/>
        <v>-7.6750416334805749E-3</v>
      </c>
      <c r="E216" s="14">
        <f t="shared" si="7"/>
        <v>1.3556359863345213E-2</v>
      </c>
    </row>
    <row r="217" spans="1:5" x14ac:dyDescent="0.35">
      <c r="A217" s="9">
        <v>45709</v>
      </c>
      <c r="B217" s="10">
        <v>138.11000000000001</v>
      </c>
      <c r="C217" s="11">
        <v>112800.93</v>
      </c>
      <c r="D217" s="14">
        <f t="shared" si="6"/>
        <v>-2.1674734484501334E-3</v>
      </c>
      <c r="E217" s="14">
        <f t="shared" si="7"/>
        <v>-8.2489619230528034E-3</v>
      </c>
    </row>
    <row r="218" spans="1:5" x14ac:dyDescent="0.35">
      <c r="A218" s="9">
        <v>45708</v>
      </c>
      <c r="B218" s="10">
        <v>138.41</v>
      </c>
      <c r="C218" s="11">
        <v>113739.16</v>
      </c>
      <c r="D218" s="14">
        <f t="shared" si="6"/>
        <v>7.3508005822415642E-3</v>
      </c>
      <c r="E218" s="14">
        <f t="shared" si="7"/>
        <v>3.5001893377273434E-3</v>
      </c>
    </row>
    <row r="219" spans="1:5" x14ac:dyDescent="0.35">
      <c r="A219" s="9">
        <v>45707</v>
      </c>
      <c r="B219" s="10">
        <v>137.4</v>
      </c>
      <c r="C219" s="11">
        <v>113342.44</v>
      </c>
      <c r="D219" s="14">
        <f t="shared" si="6"/>
        <v>1.4546260060547876E-2</v>
      </c>
      <c r="E219" s="14">
        <f t="shared" si="7"/>
        <v>2.2456752447287858E-3</v>
      </c>
    </row>
    <row r="220" spans="1:5" x14ac:dyDescent="0.35">
      <c r="A220" s="9">
        <v>45706</v>
      </c>
      <c r="B220" s="10">
        <v>135.43</v>
      </c>
      <c r="C220" s="11">
        <v>113088.48</v>
      </c>
      <c r="D220" s="14">
        <f t="shared" si="6"/>
        <v>4.0168970814132246E-2</v>
      </c>
      <c r="E220" s="14">
        <f t="shared" si="7"/>
        <v>1.2036043608072854E-2</v>
      </c>
    </row>
    <row r="221" spans="1:5" x14ac:dyDescent="0.35">
      <c r="A221" s="9">
        <v>45705</v>
      </c>
      <c r="B221" s="10">
        <v>130.19999999999999</v>
      </c>
      <c r="C221" s="11">
        <v>111743.53</v>
      </c>
      <c r="D221" s="14">
        <f t="shared" si="6"/>
        <v>-6.9933566683334669E-2</v>
      </c>
      <c r="E221" s="14">
        <f t="shared" si="7"/>
        <v>-3.0491955680183223E-3</v>
      </c>
    </row>
    <row r="222" spans="1:5" x14ac:dyDescent="0.35">
      <c r="A222" s="9">
        <v>45702</v>
      </c>
      <c r="B222" s="10">
        <v>139.99</v>
      </c>
      <c r="C222" s="11">
        <v>112085.3</v>
      </c>
      <c r="D222" s="14">
        <f t="shared" si="6"/>
        <v>4.8812002009906456E-3</v>
      </c>
      <c r="E222" s="14">
        <f t="shared" si="7"/>
        <v>-4.2533994858750578E-3</v>
      </c>
    </row>
    <row r="223" spans="1:5" x14ac:dyDescent="0.35">
      <c r="A223" s="9">
        <v>45701</v>
      </c>
      <c r="B223" s="10">
        <v>139.31</v>
      </c>
      <c r="C223" s="11">
        <v>112564.08</v>
      </c>
      <c r="D223" s="14">
        <f t="shared" si="6"/>
        <v>-4.8574898207015271E-3</v>
      </c>
      <c r="E223" s="14">
        <f t="shared" si="7"/>
        <v>-3.1955739803802472E-3</v>
      </c>
    </row>
    <row r="224" spans="1:5" x14ac:dyDescent="0.35">
      <c r="A224" s="9">
        <v>45700</v>
      </c>
      <c r="B224" s="10">
        <v>139.99</v>
      </c>
      <c r="C224" s="11">
        <v>112924.94</v>
      </c>
      <c r="D224" s="14">
        <f t="shared" si="6"/>
        <v>9.2950092950089692E-4</v>
      </c>
      <c r="E224" s="14">
        <f t="shared" si="7"/>
        <v>-7.5603674635907185E-4</v>
      </c>
    </row>
    <row r="225" spans="1:5" x14ac:dyDescent="0.35">
      <c r="A225" s="9">
        <v>45699</v>
      </c>
      <c r="B225" s="10">
        <v>139.86000000000001</v>
      </c>
      <c r="C225" s="11">
        <v>113010.38</v>
      </c>
      <c r="D225" s="14">
        <f t="shared" si="6"/>
        <v>-7.8588268914756888E-4</v>
      </c>
      <c r="E225" s="14">
        <f t="shared" si="7"/>
        <v>1.4656489070504729E-2</v>
      </c>
    </row>
    <row r="226" spans="1:5" x14ac:dyDescent="0.35">
      <c r="A226" s="9">
        <v>45698</v>
      </c>
      <c r="B226" s="10">
        <v>139.97</v>
      </c>
      <c r="C226" s="11">
        <v>111377.97</v>
      </c>
      <c r="D226" s="14">
        <f t="shared" si="6"/>
        <v>3.2972546770841374E-3</v>
      </c>
      <c r="E226" s="14">
        <f t="shared" si="7"/>
        <v>9.563106276899427E-3</v>
      </c>
    </row>
    <row r="227" spans="1:5" x14ac:dyDescent="0.35">
      <c r="A227" s="9">
        <v>45695</v>
      </c>
      <c r="B227" s="10">
        <v>139.51</v>
      </c>
      <c r="C227" s="11">
        <v>110322.94</v>
      </c>
      <c r="D227" s="14">
        <f t="shared" si="6"/>
        <v>-7.7524893314367248E-3</v>
      </c>
      <c r="E227" s="14">
        <f t="shared" si="7"/>
        <v>1.9745939208616514E-4</v>
      </c>
    </row>
    <row r="228" spans="1:5" x14ac:dyDescent="0.35">
      <c r="A228" s="9">
        <v>45694</v>
      </c>
      <c r="B228" s="10">
        <v>140.6</v>
      </c>
      <c r="C228" s="11">
        <v>110301.16</v>
      </c>
      <c r="D228" s="14">
        <f t="shared" si="6"/>
        <v>-6.6412321605199788E-3</v>
      </c>
      <c r="E228" s="14">
        <f t="shared" si="7"/>
        <v>-1.4599673490186937E-2</v>
      </c>
    </row>
    <row r="229" spans="1:5" x14ac:dyDescent="0.35">
      <c r="A229" s="9">
        <v>45692</v>
      </c>
      <c r="B229" s="10">
        <v>141.54</v>
      </c>
      <c r="C229" s="11">
        <v>111935.38</v>
      </c>
      <c r="D229" s="14">
        <f t="shared" si="6"/>
        <v>-1.8174250832408468E-2</v>
      </c>
      <c r="E229" s="14">
        <f t="shared" si="7"/>
        <v>-7.1810716944367657E-3</v>
      </c>
    </row>
    <row r="230" spans="1:5" x14ac:dyDescent="0.35">
      <c r="A230" s="9">
        <v>45691</v>
      </c>
      <c r="B230" s="10">
        <v>144.16</v>
      </c>
      <c r="C230" s="11">
        <v>112745.01</v>
      </c>
      <c r="D230" s="14">
        <f t="shared" si="6"/>
        <v>4.6693149348385771E-3</v>
      </c>
      <c r="E230" s="14">
        <f t="shared" si="7"/>
        <v>-1.3222269027557753E-2</v>
      </c>
    </row>
    <row r="231" spans="1:5" x14ac:dyDescent="0.35">
      <c r="A231" s="9">
        <v>45688</v>
      </c>
      <c r="B231" s="10">
        <v>143.49</v>
      </c>
      <c r="C231" s="11">
        <v>114255.73</v>
      </c>
      <c r="D231" s="14">
        <f t="shared" si="6"/>
        <v>1.7803943821818834E-2</v>
      </c>
      <c r="E231" s="14">
        <f t="shared" si="7"/>
        <v>9.2691755943127042E-3</v>
      </c>
    </row>
    <row r="232" spans="1:5" x14ac:dyDescent="0.35">
      <c r="A232" s="9">
        <v>45687</v>
      </c>
      <c r="B232" s="10">
        <v>140.97999999999999</v>
      </c>
      <c r="C232" s="11">
        <v>113206.39999999999</v>
      </c>
      <c r="D232" s="14">
        <f t="shared" si="6"/>
        <v>-3.6749116607774574E-3</v>
      </c>
      <c r="E232" s="14">
        <f t="shared" si="7"/>
        <v>1.5419147067434313E-2</v>
      </c>
    </row>
    <row r="233" spans="1:5" x14ac:dyDescent="0.35">
      <c r="A233" s="9">
        <v>45686</v>
      </c>
      <c r="B233" s="10">
        <v>141.5</v>
      </c>
      <c r="C233" s="11">
        <v>111487.36</v>
      </c>
      <c r="D233" s="14">
        <f t="shared" si="6"/>
        <v>2.2177273712345541E-2</v>
      </c>
      <c r="E233" s="14">
        <f t="shared" si="7"/>
        <v>-4.8469004294907202E-3</v>
      </c>
    </row>
    <row r="234" spans="1:5" x14ac:dyDescent="0.35">
      <c r="A234" s="9">
        <v>45685</v>
      </c>
      <c r="B234" s="10">
        <v>138.43</v>
      </c>
      <c r="C234" s="11">
        <v>112030.36</v>
      </c>
      <c r="D234" s="14">
        <f t="shared" si="6"/>
        <v>-9.0199727969073728E-3</v>
      </c>
      <c r="E234" s="14">
        <f t="shared" si="7"/>
        <v>-1.3125051092174567E-2</v>
      </c>
    </row>
    <row r="235" spans="1:5" x14ac:dyDescent="0.35">
      <c r="A235" s="9">
        <v>45684</v>
      </c>
      <c r="B235" s="10">
        <v>139.69</v>
      </c>
      <c r="C235" s="11">
        <v>113520.32000000001</v>
      </c>
      <c r="D235" s="14">
        <f t="shared" si="6"/>
        <v>-2.356806170547154E-3</v>
      </c>
      <c r="E235" s="14">
        <f t="shared" si="7"/>
        <v>-1.1839869415598751E-2</v>
      </c>
    </row>
    <row r="236" spans="1:5" x14ac:dyDescent="0.35">
      <c r="A236" s="9">
        <v>45681</v>
      </c>
      <c r="B236" s="10">
        <v>140.02000000000001</v>
      </c>
      <c r="C236" s="11">
        <v>114880.49</v>
      </c>
      <c r="D236" s="14">
        <f t="shared" si="6"/>
        <v>4.3755828132846543E-3</v>
      </c>
      <c r="E236" s="14">
        <f t="shared" si="7"/>
        <v>7.3896556571292002E-3</v>
      </c>
    </row>
    <row r="237" spans="1:5" x14ac:dyDescent="0.35">
      <c r="A237" s="9">
        <v>45680</v>
      </c>
      <c r="B237" s="10">
        <v>139.41</v>
      </c>
      <c r="C237" s="11">
        <v>114037.79</v>
      </c>
      <c r="D237" s="14">
        <f t="shared" si="6"/>
        <v>-4.214285714285739E-3</v>
      </c>
      <c r="E237" s="14">
        <f t="shared" si="7"/>
        <v>5.2392633050675624E-3</v>
      </c>
    </row>
    <row r="238" spans="1:5" x14ac:dyDescent="0.35">
      <c r="A238" s="9">
        <v>45679</v>
      </c>
      <c r="B238" s="10">
        <v>140</v>
      </c>
      <c r="C238" s="11">
        <v>113443.43</v>
      </c>
      <c r="D238" s="14">
        <f t="shared" si="6"/>
        <v>-6.5285268237296875E-3</v>
      </c>
      <c r="E238" s="14">
        <f t="shared" si="7"/>
        <v>-1.3897676723117003E-2</v>
      </c>
    </row>
    <row r="239" spans="1:5" x14ac:dyDescent="0.35">
      <c r="A239" s="9">
        <v>45678</v>
      </c>
      <c r="B239" s="10">
        <v>140.91999999999999</v>
      </c>
      <c r="C239" s="11">
        <v>115042.25</v>
      </c>
      <c r="D239" s="14">
        <f t="shared" si="6"/>
        <v>2.9893238434162812E-3</v>
      </c>
      <c r="E239" s="14">
        <f t="shared" si="7"/>
        <v>-6.9279748546374961E-3</v>
      </c>
    </row>
    <row r="240" spans="1:5" x14ac:dyDescent="0.35">
      <c r="A240" s="9">
        <v>45677</v>
      </c>
      <c r="B240" s="10">
        <v>140.5</v>
      </c>
      <c r="C240" s="11">
        <v>115844.82</v>
      </c>
      <c r="D240" s="14">
        <f t="shared" si="6"/>
        <v>2.8174167581412324E-2</v>
      </c>
      <c r="E240" s="14">
        <f t="shared" si="7"/>
        <v>4.9685925681223521E-3</v>
      </c>
    </row>
    <row r="241" spans="1:5" x14ac:dyDescent="0.35">
      <c r="A241" s="9">
        <v>45674</v>
      </c>
      <c r="B241" s="10">
        <v>136.65</v>
      </c>
      <c r="C241" s="11">
        <v>115272.08</v>
      </c>
      <c r="D241" s="14">
        <f t="shared" si="6"/>
        <v>6.259204712812918E-3</v>
      </c>
      <c r="E241" s="14">
        <f t="shared" si="7"/>
        <v>1.2608758824260045E-2</v>
      </c>
    </row>
    <row r="242" spans="1:5" x14ac:dyDescent="0.35">
      <c r="A242" s="9">
        <v>45673</v>
      </c>
      <c r="B242" s="10">
        <v>135.80000000000001</v>
      </c>
      <c r="C242" s="11">
        <v>113836.74</v>
      </c>
      <c r="D242" s="14">
        <f t="shared" si="6"/>
        <v>-1.379811183732736E-2</v>
      </c>
      <c r="E242" s="14">
        <f t="shared" si="7"/>
        <v>-5.7554121460096728E-3</v>
      </c>
    </row>
    <row r="243" spans="1:5" x14ac:dyDescent="0.35">
      <c r="A243" s="9">
        <v>45672</v>
      </c>
      <c r="B243" s="10">
        <v>137.69999999999999</v>
      </c>
      <c r="C243" s="11">
        <v>114495.71</v>
      </c>
      <c r="D243" s="14">
        <f t="shared" si="6"/>
        <v>5.1828600627781551E-3</v>
      </c>
      <c r="E243" s="14">
        <f t="shared" si="7"/>
        <v>-2.6868362011588241E-3</v>
      </c>
    </row>
    <row r="244" spans="1:5" x14ac:dyDescent="0.35">
      <c r="A244" s="9">
        <v>45671</v>
      </c>
      <c r="B244" s="10">
        <v>136.99</v>
      </c>
      <c r="C244" s="11">
        <v>114804.17</v>
      </c>
      <c r="D244" s="14">
        <f t="shared" si="6"/>
        <v>1.129484718736159E-2</v>
      </c>
      <c r="E244" s="14">
        <f t="shared" si="7"/>
        <v>5.0259099925186118E-3</v>
      </c>
    </row>
    <row r="245" spans="1:5" x14ac:dyDescent="0.35">
      <c r="A245" s="9">
        <v>45670</v>
      </c>
      <c r="B245" s="10">
        <v>135.46</v>
      </c>
      <c r="C245" s="11">
        <v>114230.06</v>
      </c>
      <c r="D245" s="14">
        <f t="shared" si="6"/>
        <v>-1.5478735166210625E-3</v>
      </c>
      <c r="E245" s="14">
        <f t="shared" si="7"/>
        <v>8.6780884558032619E-3</v>
      </c>
    </row>
    <row r="246" spans="1:5" x14ac:dyDescent="0.35">
      <c r="A246" s="9">
        <v>45667</v>
      </c>
      <c r="B246" s="10">
        <v>135.66999999999999</v>
      </c>
      <c r="C246" s="11">
        <v>113247.29</v>
      </c>
      <c r="D246" s="14">
        <f t="shared" si="6"/>
        <v>4.424452474004413E-4</v>
      </c>
      <c r="E246" s="14">
        <f t="shared" si="7"/>
        <v>5.4069549724933509E-3</v>
      </c>
    </row>
    <row r="247" spans="1:5" x14ac:dyDescent="0.35">
      <c r="A247" s="9">
        <v>45666</v>
      </c>
      <c r="B247" s="10">
        <v>135.61000000000001</v>
      </c>
      <c r="C247" s="11">
        <v>112638.26</v>
      </c>
      <c r="D247" s="14">
        <f t="shared" si="6"/>
        <v>-3.2341051084160063E-3</v>
      </c>
      <c r="E247" s="14">
        <f t="shared" si="7"/>
        <v>-1.3230139066265209E-2</v>
      </c>
    </row>
    <row r="248" spans="1:5" x14ac:dyDescent="0.35">
      <c r="A248" s="9">
        <v>45665</v>
      </c>
      <c r="B248" s="10">
        <v>136.05000000000001</v>
      </c>
      <c r="C248" s="11">
        <v>114148.46</v>
      </c>
      <c r="D248" s="14">
        <f t="shared" si="6"/>
        <v>1.5298507462686652E-2</v>
      </c>
      <c r="E248" s="14">
        <f t="shared" si="7"/>
        <v>-1.6408238051891493E-2</v>
      </c>
    </row>
    <row r="249" spans="1:5" x14ac:dyDescent="0.35">
      <c r="A249" s="9">
        <v>45664</v>
      </c>
      <c r="B249" s="10">
        <v>134</v>
      </c>
      <c r="C249" s="11">
        <v>116052.68</v>
      </c>
      <c r="D249" s="14">
        <f t="shared" si="6"/>
        <v>-1.4705882352941176E-2</v>
      </c>
      <c r="E249" s="14">
        <f t="shared" si="7"/>
        <v>-1.7414285287884641E-3</v>
      </c>
    </row>
    <row r="250" spans="1:5" x14ac:dyDescent="0.35">
      <c r="A250" s="9">
        <v>45663</v>
      </c>
      <c r="B250" s="10">
        <v>136</v>
      </c>
      <c r="C250" s="11">
        <v>116255.13</v>
      </c>
      <c r="D250" s="14">
        <f t="shared" si="6"/>
        <v>-1.4492753623188406E-2</v>
      </c>
      <c r="E250" s="14">
        <f t="shared" si="7"/>
        <v>-1.1326509108406315E-2</v>
      </c>
    </row>
    <row r="251" spans="1:5" x14ac:dyDescent="0.35">
      <c r="A251" s="9">
        <v>45660</v>
      </c>
      <c r="B251" s="10">
        <v>138</v>
      </c>
      <c r="C251" s="11">
        <v>117586.98</v>
      </c>
      <c r="D251" s="14">
        <f t="shared" si="6"/>
        <v>-1.3510615483594156E-2</v>
      </c>
      <c r="E251" s="14">
        <f t="shared" si="7"/>
        <v>3.9901072117182754E-3</v>
      </c>
    </row>
    <row r="252" spans="1:5" x14ac:dyDescent="0.35">
      <c r="A252" s="9">
        <v>45659</v>
      </c>
      <c r="B252" s="10">
        <v>139.88999999999999</v>
      </c>
      <c r="C252" s="11">
        <v>117119.66</v>
      </c>
      <c r="D252" s="14">
        <f t="shared" si="6"/>
        <v>6.4028776978416286E-3</v>
      </c>
      <c r="E252" s="14">
        <f t="shared" si="7"/>
        <v>9.5360935757600452E-4</v>
      </c>
    </row>
    <row r="253" spans="1:5" x14ac:dyDescent="0.35">
      <c r="A253" s="9">
        <v>45658</v>
      </c>
      <c r="B253" s="10">
        <v>139</v>
      </c>
      <c r="C253" s="11">
        <v>117008.08</v>
      </c>
      <c r="D253" s="14">
        <f t="shared" si="6"/>
        <v>1.090909090909091E-2</v>
      </c>
      <c r="E253" s="14">
        <f t="shared" si="7"/>
        <v>1.6340056059878341E-2</v>
      </c>
    </row>
    <row r="254" spans="1:5" x14ac:dyDescent="0.35">
      <c r="A254" s="9">
        <v>45657</v>
      </c>
      <c r="B254" s="10">
        <v>137.5</v>
      </c>
      <c r="C254" s="11">
        <v>115126.9</v>
      </c>
      <c r="D254" s="14">
        <f t="shared" si="6"/>
        <v>-1.7786984784627539E-2</v>
      </c>
      <c r="E254" s="14">
        <f t="shared" si="7"/>
        <v>-1.1461144032136824E-3</v>
      </c>
    </row>
    <row r="255" spans="1:5" x14ac:dyDescent="0.35">
      <c r="A255" s="9">
        <v>45656</v>
      </c>
      <c r="B255" s="10">
        <v>139.99</v>
      </c>
      <c r="C255" s="11">
        <v>115259</v>
      </c>
      <c r="D255" s="14">
        <f t="shared" si="6"/>
        <v>7.6846153846153911E-2</v>
      </c>
      <c r="E255" s="14">
        <f t="shared" si="7"/>
        <v>3.5094554004726372E-2</v>
      </c>
    </row>
    <row r="256" spans="1:5" x14ac:dyDescent="0.35">
      <c r="A256" s="9">
        <v>45653</v>
      </c>
      <c r="B256" s="10">
        <v>130</v>
      </c>
      <c r="C256" s="11">
        <v>111351.18</v>
      </c>
      <c r="D256" s="14">
        <f t="shared" si="6"/>
        <v>7.7519379844961239E-3</v>
      </c>
      <c r="E256" s="14">
        <f t="shared" si="7"/>
        <v>8.4027540559366079E-3</v>
      </c>
    </row>
    <row r="257" spans="1:5" x14ac:dyDescent="0.35">
      <c r="A257" s="9">
        <v>45652</v>
      </c>
      <c r="B257" s="10">
        <v>129</v>
      </c>
      <c r="C257" s="11">
        <v>110423.32</v>
      </c>
      <c r="D257" s="14">
        <f t="shared" si="6"/>
        <v>-2.2727272727272728E-2</v>
      </c>
      <c r="E257" s="14">
        <f t="shared" si="7"/>
        <v>-1.7715548333889376E-2</v>
      </c>
    </row>
    <row r="258" spans="1:5" x14ac:dyDescent="0.35">
      <c r="A258" s="9">
        <v>45650</v>
      </c>
      <c r="B258" s="10">
        <v>132</v>
      </c>
      <c r="C258" s="11">
        <v>112414.81</v>
      </c>
      <c r="D258" s="14">
        <f t="shared" si="6"/>
        <v>-7.5187969924812026E-3</v>
      </c>
      <c r="E258" s="14">
        <f t="shared" si="7"/>
        <v>-1.3250978148495298E-2</v>
      </c>
    </row>
    <row r="259" spans="1:5" x14ac:dyDescent="0.35">
      <c r="A259" s="9">
        <v>45649</v>
      </c>
      <c r="B259" s="10">
        <v>133</v>
      </c>
      <c r="C259" s="11">
        <v>113924.42</v>
      </c>
      <c r="D259" s="14">
        <f t="shared" si="6"/>
        <v>3.1007751937984496E-2</v>
      </c>
      <c r="E259" s="14">
        <f t="shared" si="7"/>
        <v>4.02807334096408E-2</v>
      </c>
    </row>
    <row r="260" spans="1:5" x14ac:dyDescent="0.35">
      <c r="A260" s="9">
        <v>45646</v>
      </c>
      <c r="B260" s="10">
        <v>129</v>
      </c>
      <c r="C260" s="11">
        <v>109513.15</v>
      </c>
      <c r="D260" s="14">
        <f t="shared" si="6"/>
        <v>7.8912415032424809E-3</v>
      </c>
      <c r="E260" s="14">
        <f t="shared" si="7"/>
        <v>3.0469730504771662E-2</v>
      </c>
    </row>
    <row r="261" spans="1:5" x14ac:dyDescent="0.35">
      <c r="A261" s="9">
        <v>45645</v>
      </c>
      <c r="B261" s="10">
        <v>127.99</v>
      </c>
      <c r="C261" s="11">
        <v>106274.98</v>
      </c>
      <c r="D261" s="14">
        <f t="shared" ref="D261:D324" si="8">(B261-B262)/B262</f>
        <v>-1.4703618167821484E-2</v>
      </c>
      <c r="E261" s="14">
        <f t="shared" ref="E261:E324" si="9">(C261-C262)/C262</f>
        <v>-4.3173651567849497E-2</v>
      </c>
    </row>
    <row r="262" spans="1:5" x14ac:dyDescent="0.35">
      <c r="A262" s="9">
        <v>45644</v>
      </c>
      <c r="B262" s="10">
        <v>129.9</v>
      </c>
      <c r="C262" s="11">
        <v>111070.29</v>
      </c>
      <c r="D262" s="14">
        <f t="shared" si="8"/>
        <v>-2.90754166978099E-2</v>
      </c>
      <c r="E262" s="14">
        <f t="shared" si="9"/>
        <v>-3.2999975883829434E-2</v>
      </c>
    </row>
    <row r="263" spans="1:5" x14ac:dyDescent="0.35">
      <c r="A263" s="9">
        <v>45643</v>
      </c>
      <c r="B263" s="10">
        <v>133.79</v>
      </c>
      <c r="C263" s="11">
        <v>114860.69</v>
      </c>
      <c r="D263" s="14">
        <f t="shared" si="8"/>
        <v>3.0104712041884793E-2</v>
      </c>
      <c r="E263" s="14">
        <f t="shared" si="9"/>
        <v>-1.1265616309835792E-2</v>
      </c>
    </row>
    <row r="264" spans="1:5" x14ac:dyDescent="0.35">
      <c r="A264" s="9">
        <v>45642</v>
      </c>
      <c r="B264" s="10">
        <v>129.88</v>
      </c>
      <c r="C264" s="11">
        <v>116169.41</v>
      </c>
      <c r="D264" s="14">
        <f t="shared" si="8"/>
        <v>-1.6060606060606095E-2</v>
      </c>
      <c r="E264" s="14">
        <f t="shared" si="9"/>
        <v>1.6339287745249859E-2</v>
      </c>
    </row>
    <row r="265" spans="1:5" x14ac:dyDescent="0.35">
      <c r="A265" s="9">
        <v>45639</v>
      </c>
      <c r="B265" s="10">
        <v>132</v>
      </c>
      <c r="C265" s="11">
        <v>114301.8</v>
      </c>
      <c r="D265" s="14">
        <f t="shared" si="8"/>
        <v>-5.0496331463098905E-2</v>
      </c>
      <c r="E265" s="14">
        <f t="shared" si="9"/>
        <v>1.0622653550943866E-3</v>
      </c>
    </row>
    <row r="266" spans="1:5" x14ac:dyDescent="0.35">
      <c r="A266" s="9">
        <v>45638</v>
      </c>
      <c r="B266" s="10">
        <v>139.02000000000001</v>
      </c>
      <c r="C266" s="11">
        <v>114180.51</v>
      </c>
      <c r="D266" s="14">
        <f t="shared" si="8"/>
        <v>-3.583715596330275E-3</v>
      </c>
      <c r="E266" s="14">
        <f t="shared" si="9"/>
        <v>3.0414974358863232E-2</v>
      </c>
    </row>
    <row r="267" spans="1:5" x14ac:dyDescent="0.35">
      <c r="A267" s="9">
        <v>45637</v>
      </c>
      <c r="B267" s="10">
        <v>139.52000000000001</v>
      </c>
      <c r="C267" s="11">
        <v>110810.22</v>
      </c>
      <c r="D267" s="14">
        <f t="shared" si="8"/>
        <v>-1.3923245459043034E-2</v>
      </c>
      <c r="E267" s="14">
        <f t="shared" si="9"/>
        <v>1.7572349562635831E-2</v>
      </c>
    </row>
    <row r="268" spans="1:5" x14ac:dyDescent="0.35">
      <c r="A268" s="9">
        <v>45636</v>
      </c>
      <c r="B268" s="10">
        <v>141.49</v>
      </c>
      <c r="C268" s="11">
        <v>108896.65</v>
      </c>
      <c r="D268" s="14">
        <f t="shared" si="8"/>
        <v>-4.0745762711864343E-2</v>
      </c>
      <c r="E268" s="14">
        <f t="shared" si="9"/>
        <v>-9.7639009918943209E-3</v>
      </c>
    </row>
    <row r="269" spans="1:5" x14ac:dyDescent="0.35">
      <c r="A269" s="9">
        <v>45635</v>
      </c>
      <c r="B269" s="10">
        <v>147.5</v>
      </c>
      <c r="C269" s="11">
        <v>109970.39</v>
      </c>
      <c r="D269" s="14">
        <f t="shared" si="8"/>
        <v>-2.5695224255234735E-2</v>
      </c>
      <c r="E269" s="14">
        <f t="shared" si="9"/>
        <v>8.403547051711582E-3</v>
      </c>
    </row>
    <row r="270" spans="1:5" x14ac:dyDescent="0.35">
      <c r="A270" s="9">
        <v>45632</v>
      </c>
      <c r="B270" s="10">
        <v>151.38999999999999</v>
      </c>
      <c r="C270" s="11">
        <v>109053.95</v>
      </c>
      <c r="D270" s="14">
        <f t="shared" si="8"/>
        <v>9.2666666666665759E-3</v>
      </c>
      <c r="E270" s="14">
        <f t="shared" si="9"/>
        <v>7.5294508068581576E-3</v>
      </c>
    </row>
    <row r="271" spans="1:5" x14ac:dyDescent="0.35">
      <c r="A271" s="9">
        <v>45631</v>
      </c>
      <c r="B271" s="10">
        <v>150</v>
      </c>
      <c r="C271" s="11">
        <v>108238.97</v>
      </c>
      <c r="D271" s="14">
        <f t="shared" si="8"/>
        <v>-6.6225165562913907E-3</v>
      </c>
      <c r="E271" s="14">
        <f t="shared" si="9"/>
        <v>2.9823982530122018E-2</v>
      </c>
    </row>
    <row r="272" spans="1:5" x14ac:dyDescent="0.35">
      <c r="A272" s="9">
        <v>45630</v>
      </c>
      <c r="B272" s="10">
        <v>151</v>
      </c>
      <c r="C272" s="11">
        <v>105104.34</v>
      </c>
      <c r="D272" s="14">
        <f t="shared" si="8"/>
        <v>6.6666666666666671E-3</v>
      </c>
      <c r="E272" s="14">
        <f t="shared" si="9"/>
        <v>5.2149469194780473E-3</v>
      </c>
    </row>
    <row r="273" spans="1:5" x14ac:dyDescent="0.35">
      <c r="A273" s="9">
        <v>45629</v>
      </c>
      <c r="B273" s="10">
        <v>150</v>
      </c>
      <c r="C273" s="11">
        <v>104559.07</v>
      </c>
      <c r="D273" s="14">
        <f t="shared" si="8"/>
        <v>0</v>
      </c>
      <c r="E273" s="14">
        <f t="shared" si="9"/>
        <v>1.2433992947951172E-2</v>
      </c>
    </row>
    <row r="274" spans="1:5" x14ac:dyDescent="0.35">
      <c r="A274" s="9">
        <v>45628</v>
      </c>
      <c r="B274" s="10">
        <v>150</v>
      </c>
      <c r="C274" s="11">
        <v>103274.95</v>
      </c>
      <c r="D274" s="14">
        <f t="shared" si="8"/>
        <v>3.4482758620689655E-2</v>
      </c>
      <c r="E274" s="14">
        <f t="shared" si="9"/>
        <v>1.8919501817924841E-2</v>
      </c>
    </row>
    <row r="275" spans="1:5" x14ac:dyDescent="0.35">
      <c r="A275" s="9">
        <v>45625</v>
      </c>
      <c r="B275" s="10">
        <v>145</v>
      </c>
      <c r="C275" s="11">
        <v>101357.32</v>
      </c>
      <c r="D275" s="14">
        <f t="shared" si="8"/>
        <v>3.4602076124567475E-3</v>
      </c>
      <c r="E275" s="14">
        <f t="shared" si="9"/>
        <v>1.2734959274208766E-2</v>
      </c>
    </row>
    <row r="276" spans="1:5" x14ac:dyDescent="0.35">
      <c r="A276" s="9">
        <v>45624</v>
      </c>
      <c r="B276" s="10">
        <v>144.5</v>
      </c>
      <c r="C276" s="11">
        <v>100082.77</v>
      </c>
      <c r="D276" s="14">
        <f t="shared" si="8"/>
        <v>8.7283671933784751E-2</v>
      </c>
      <c r="E276" s="14">
        <f t="shared" si="9"/>
        <v>8.1950855879338678E-3</v>
      </c>
    </row>
    <row r="277" spans="1:5" x14ac:dyDescent="0.35">
      <c r="A277" s="9">
        <v>45623</v>
      </c>
      <c r="B277" s="10">
        <v>132.9</v>
      </c>
      <c r="C277" s="11">
        <v>99269.25</v>
      </c>
      <c r="D277" s="14">
        <f t="shared" si="8"/>
        <v>5.5599682287529782E-2</v>
      </c>
      <c r="E277" s="14">
        <f t="shared" si="9"/>
        <v>4.9644532925272572E-2</v>
      </c>
    </row>
    <row r="278" spans="1:5" x14ac:dyDescent="0.35">
      <c r="A278" s="9">
        <v>45622</v>
      </c>
      <c r="B278" s="10">
        <v>125.9</v>
      </c>
      <c r="C278" s="11">
        <v>94574.16</v>
      </c>
      <c r="D278" s="14">
        <f t="shared" si="8"/>
        <v>3.1967213114754145E-2</v>
      </c>
      <c r="E278" s="14">
        <f t="shared" si="9"/>
        <v>-3.5742535311559583E-2</v>
      </c>
    </row>
    <row r="279" spans="1:5" x14ac:dyDescent="0.35">
      <c r="A279" s="9">
        <v>45621</v>
      </c>
      <c r="B279" s="10">
        <v>122</v>
      </c>
      <c r="C279" s="11">
        <v>98079.78</v>
      </c>
      <c r="D279" s="14">
        <f t="shared" si="8"/>
        <v>1.6666666666666666E-2</v>
      </c>
      <c r="E279" s="14">
        <f t="shared" si="9"/>
        <v>2.8788864583745833E-3</v>
      </c>
    </row>
    <row r="280" spans="1:5" x14ac:dyDescent="0.35">
      <c r="A280" s="9">
        <v>45618</v>
      </c>
      <c r="B280" s="10">
        <v>120</v>
      </c>
      <c r="C280" s="11">
        <v>97798.23</v>
      </c>
      <c r="D280" s="14">
        <f t="shared" si="8"/>
        <v>4.3478260869565216E-2</v>
      </c>
      <c r="E280" s="14">
        <f t="shared" si="9"/>
        <v>4.8272652175521411E-3</v>
      </c>
    </row>
    <row r="281" spans="1:5" x14ac:dyDescent="0.35">
      <c r="A281" s="9">
        <v>45617</v>
      </c>
      <c r="B281" s="10">
        <v>115</v>
      </c>
      <c r="C281" s="11">
        <v>97328.4</v>
      </c>
      <c r="D281" s="14">
        <f t="shared" si="8"/>
        <v>4.3668122270742356E-3</v>
      </c>
      <c r="E281" s="14">
        <f t="shared" si="9"/>
        <v>1.8649984520619473E-2</v>
      </c>
    </row>
    <row r="282" spans="1:5" x14ac:dyDescent="0.35">
      <c r="A282" s="9">
        <v>45616</v>
      </c>
      <c r="B282" s="10">
        <v>114.5</v>
      </c>
      <c r="C282" s="11">
        <v>95546.46</v>
      </c>
      <c r="D282" s="14">
        <f t="shared" si="8"/>
        <v>-7.5409551876571427E-3</v>
      </c>
      <c r="E282" s="14">
        <f t="shared" si="9"/>
        <v>-3.2361858595754667E-3</v>
      </c>
    </row>
    <row r="283" spans="1:5" x14ac:dyDescent="0.35">
      <c r="A283" s="9">
        <v>45615</v>
      </c>
      <c r="B283" s="10">
        <v>115.37</v>
      </c>
      <c r="C283" s="11">
        <v>95856.67</v>
      </c>
      <c r="D283" s="14">
        <f t="shared" si="8"/>
        <v>3.2173913043478655E-3</v>
      </c>
      <c r="E283" s="14">
        <f t="shared" si="9"/>
        <v>9.0635710027625466E-3</v>
      </c>
    </row>
    <row r="284" spans="1:5" x14ac:dyDescent="0.35">
      <c r="A284" s="9">
        <v>45614</v>
      </c>
      <c r="B284" s="10">
        <v>115</v>
      </c>
      <c r="C284" s="11">
        <v>94995.67</v>
      </c>
      <c r="D284" s="14">
        <f t="shared" si="8"/>
        <v>-4.329004329004329E-3</v>
      </c>
      <c r="E284" s="14">
        <f t="shared" si="9"/>
        <v>2.4485129528582783E-3</v>
      </c>
    </row>
    <row r="285" spans="1:5" x14ac:dyDescent="0.35">
      <c r="A285" s="9">
        <v>45611</v>
      </c>
      <c r="B285" s="10">
        <v>115.5</v>
      </c>
      <c r="C285" s="11">
        <v>94763.64</v>
      </c>
      <c r="D285" s="14">
        <f t="shared" si="8"/>
        <v>8.7336244541484712E-3</v>
      </c>
      <c r="E285" s="14">
        <f t="shared" si="9"/>
        <v>6.0700555005319462E-3</v>
      </c>
    </row>
    <row r="286" spans="1:5" x14ac:dyDescent="0.35">
      <c r="A286" s="9">
        <v>45610</v>
      </c>
      <c r="B286" s="10">
        <v>114.5</v>
      </c>
      <c r="C286" s="11">
        <v>94191.89</v>
      </c>
      <c r="D286" s="14">
        <f t="shared" si="8"/>
        <v>-2.6194010302978376E-4</v>
      </c>
      <c r="E286" s="14">
        <f t="shared" si="9"/>
        <v>8.9599501603710302E-3</v>
      </c>
    </row>
    <row r="287" spans="1:5" x14ac:dyDescent="0.35">
      <c r="A287" s="9">
        <v>45609</v>
      </c>
      <c r="B287" s="10">
        <v>114.53</v>
      </c>
      <c r="C287" s="11">
        <v>93355.43</v>
      </c>
      <c r="D287" s="14">
        <f t="shared" si="8"/>
        <v>-4.0869565217391208E-3</v>
      </c>
      <c r="E287" s="14">
        <f t="shared" si="9"/>
        <v>1.4038146170922701E-3</v>
      </c>
    </row>
    <row r="288" spans="1:5" x14ac:dyDescent="0.35">
      <c r="A288" s="9">
        <v>45608</v>
      </c>
      <c r="B288" s="10">
        <v>115</v>
      </c>
      <c r="C288" s="11">
        <v>93224.56</v>
      </c>
      <c r="D288" s="14">
        <f t="shared" si="8"/>
        <v>-8.7061460218947079E-3</v>
      </c>
      <c r="E288" s="14">
        <f t="shared" si="9"/>
        <v>-4.5251207362694461E-3</v>
      </c>
    </row>
    <row r="289" spans="1:5" x14ac:dyDescent="0.35">
      <c r="A289" s="9">
        <v>45607</v>
      </c>
      <c r="B289" s="10">
        <v>116.01</v>
      </c>
      <c r="C289" s="11">
        <v>93648.33</v>
      </c>
      <c r="D289" s="14">
        <f t="shared" si="8"/>
        <v>-1.2053379250968623E-3</v>
      </c>
      <c r="E289" s="14">
        <f t="shared" si="9"/>
        <v>3.8229561307075695E-3</v>
      </c>
    </row>
    <row r="290" spans="1:5" x14ac:dyDescent="0.35">
      <c r="A290" s="9">
        <v>45604</v>
      </c>
      <c r="B290" s="10">
        <v>116.15</v>
      </c>
      <c r="C290" s="11">
        <v>93291.68</v>
      </c>
      <c r="D290" s="14">
        <f t="shared" si="8"/>
        <v>2.5835342748881449E-4</v>
      </c>
      <c r="E290" s="14">
        <f t="shared" si="9"/>
        <v>8.3353427981195053E-3</v>
      </c>
    </row>
    <row r="291" spans="1:5" x14ac:dyDescent="0.35">
      <c r="A291" s="9">
        <v>45603</v>
      </c>
      <c r="B291" s="10">
        <v>116.12</v>
      </c>
      <c r="C291" s="11">
        <v>92520.49</v>
      </c>
      <c r="D291" s="14">
        <f t="shared" si="8"/>
        <v>-3.8741721854304578E-2</v>
      </c>
      <c r="E291" s="14">
        <f t="shared" si="9"/>
        <v>5.423192682053257E-3</v>
      </c>
    </row>
    <row r="292" spans="1:5" x14ac:dyDescent="0.35">
      <c r="A292" s="9">
        <v>45602</v>
      </c>
      <c r="B292" s="10">
        <v>120.8</v>
      </c>
      <c r="C292" s="11">
        <v>92021.440000000002</v>
      </c>
      <c r="D292" s="14">
        <f t="shared" si="8"/>
        <v>-1.788617886178864E-2</v>
      </c>
      <c r="E292" s="14">
        <f t="shared" si="9"/>
        <v>-3.0646452950414955E-3</v>
      </c>
    </row>
    <row r="293" spans="1:5" x14ac:dyDescent="0.35">
      <c r="A293" s="9">
        <v>45601</v>
      </c>
      <c r="B293" s="10">
        <v>123</v>
      </c>
      <c r="C293" s="11">
        <v>92304.320000000007</v>
      </c>
      <c r="D293" s="14">
        <f t="shared" si="8"/>
        <v>8.1967213114754103E-3</v>
      </c>
      <c r="E293" s="14">
        <f t="shared" si="9"/>
        <v>3.9843150836091868E-3</v>
      </c>
    </row>
    <row r="294" spans="1:5" x14ac:dyDescent="0.35">
      <c r="A294" s="9">
        <v>45600</v>
      </c>
      <c r="B294" s="10">
        <v>122</v>
      </c>
      <c r="C294" s="11">
        <v>91938.01</v>
      </c>
      <c r="D294" s="14">
        <f t="shared" si="8"/>
        <v>1.6666666666666666E-2</v>
      </c>
      <c r="E294" s="14">
        <f t="shared" si="9"/>
        <v>1.1866187320361951E-2</v>
      </c>
    </row>
    <row r="295" spans="1:5" x14ac:dyDescent="0.35">
      <c r="A295" s="9">
        <v>45597</v>
      </c>
      <c r="B295" s="10">
        <v>120</v>
      </c>
      <c r="C295" s="11">
        <v>90859.85</v>
      </c>
      <c r="D295" s="14">
        <f t="shared" si="8"/>
        <v>8.4033613445378148E-3</v>
      </c>
      <c r="E295" s="14">
        <f t="shared" si="9"/>
        <v>2.1278506570486955E-2</v>
      </c>
    </row>
    <row r="296" spans="1:5" x14ac:dyDescent="0.35">
      <c r="A296" s="9">
        <v>45596</v>
      </c>
      <c r="B296" s="10">
        <v>119</v>
      </c>
      <c r="C296" s="11">
        <v>88966.77</v>
      </c>
      <c r="D296" s="14">
        <f t="shared" si="8"/>
        <v>-6.4289888953827845E-3</v>
      </c>
      <c r="E296" s="14">
        <f t="shared" si="9"/>
        <v>-1.4617899428453233E-2</v>
      </c>
    </row>
    <row r="297" spans="1:5" x14ac:dyDescent="0.35">
      <c r="A297" s="9">
        <v>45595</v>
      </c>
      <c r="B297" s="10">
        <v>119.77</v>
      </c>
      <c r="C297" s="11">
        <v>90286.57</v>
      </c>
      <c r="D297" s="14">
        <f t="shared" si="8"/>
        <v>5.9723942665015045E-2</v>
      </c>
      <c r="E297" s="14">
        <f t="shared" si="9"/>
        <v>-6.3558662173361282E-3</v>
      </c>
    </row>
    <row r="298" spans="1:5" x14ac:dyDescent="0.35">
      <c r="A298" s="9">
        <v>45594</v>
      </c>
      <c r="B298" s="10">
        <v>113.02</v>
      </c>
      <c r="C298" s="11">
        <v>90864.09</v>
      </c>
      <c r="D298" s="14">
        <f t="shared" si="8"/>
        <v>-7.9873606600545134E-3</v>
      </c>
      <c r="E298" s="14">
        <f t="shared" si="9"/>
        <v>7.4124524144879083E-3</v>
      </c>
    </row>
    <row r="299" spans="1:5" x14ac:dyDescent="0.35">
      <c r="A299" s="9">
        <v>45593</v>
      </c>
      <c r="B299" s="10">
        <v>113.93</v>
      </c>
      <c r="C299" s="11">
        <v>90195.520000000004</v>
      </c>
      <c r="D299" s="14">
        <f t="shared" si="8"/>
        <v>-1.0594876248371679E-2</v>
      </c>
      <c r="E299" s="14">
        <f t="shared" si="9"/>
        <v>2.239594497275794E-3</v>
      </c>
    </row>
    <row r="300" spans="1:5" x14ac:dyDescent="0.35">
      <c r="A300" s="9">
        <v>45590</v>
      </c>
      <c r="B300" s="10">
        <v>115.15</v>
      </c>
      <c r="C300" s="11">
        <v>89993.97</v>
      </c>
      <c r="D300" s="14">
        <f t="shared" si="8"/>
        <v>1.0353601825041737E-2</v>
      </c>
      <c r="E300" s="14">
        <f t="shared" si="9"/>
        <v>1.1782206257977407E-2</v>
      </c>
    </row>
    <row r="301" spans="1:5" x14ac:dyDescent="0.35">
      <c r="A301" s="9">
        <v>45589</v>
      </c>
      <c r="B301" s="10">
        <v>113.97</v>
      </c>
      <c r="C301" s="11">
        <v>88945.99</v>
      </c>
      <c r="D301" s="14">
        <f t="shared" si="8"/>
        <v>6.3576158940397247E-3</v>
      </c>
      <c r="E301" s="14">
        <f t="shared" si="9"/>
        <v>2.0086693501680401E-2</v>
      </c>
    </row>
    <row r="302" spans="1:5" x14ac:dyDescent="0.35">
      <c r="A302" s="9">
        <v>45588</v>
      </c>
      <c r="B302" s="10">
        <v>113.25</v>
      </c>
      <c r="C302" s="11">
        <v>87194.54</v>
      </c>
      <c r="D302" s="14">
        <f t="shared" si="8"/>
        <v>-6.1430451952611039E-3</v>
      </c>
      <c r="E302" s="14">
        <f t="shared" si="9"/>
        <v>8.4189752850175395E-3</v>
      </c>
    </row>
    <row r="303" spans="1:5" x14ac:dyDescent="0.35">
      <c r="A303" s="9">
        <v>45587</v>
      </c>
      <c r="B303" s="10">
        <v>113.95</v>
      </c>
      <c r="C303" s="11">
        <v>86466.58</v>
      </c>
      <c r="D303" s="14">
        <f t="shared" si="8"/>
        <v>8.4963271085937517E-3</v>
      </c>
      <c r="E303" s="14">
        <f t="shared" si="9"/>
        <v>4.7533324223147221E-3</v>
      </c>
    </row>
    <row r="304" spans="1:5" x14ac:dyDescent="0.35">
      <c r="A304" s="9">
        <v>45586</v>
      </c>
      <c r="B304" s="10">
        <v>112.99</v>
      </c>
      <c r="C304" s="11">
        <v>86057.52</v>
      </c>
      <c r="D304" s="14">
        <f t="shared" si="8"/>
        <v>8.9293686936333608E-3</v>
      </c>
      <c r="E304" s="14">
        <f t="shared" si="9"/>
        <v>9.4713096490573519E-3</v>
      </c>
    </row>
    <row r="305" spans="1:5" x14ac:dyDescent="0.35">
      <c r="A305" s="9">
        <v>45583</v>
      </c>
      <c r="B305" s="10">
        <v>111.99</v>
      </c>
      <c r="C305" s="11">
        <v>85250.09</v>
      </c>
      <c r="D305" s="14">
        <f t="shared" si="8"/>
        <v>8.9189189189188729E-3</v>
      </c>
      <c r="E305" s="14">
        <f t="shared" si="9"/>
        <v>-3.9181902807521856E-3</v>
      </c>
    </row>
    <row r="306" spans="1:5" x14ac:dyDescent="0.35">
      <c r="A306" s="9">
        <v>45582</v>
      </c>
      <c r="B306" s="10">
        <v>111</v>
      </c>
      <c r="C306" s="11">
        <v>85585.43</v>
      </c>
      <c r="D306" s="14">
        <f t="shared" si="8"/>
        <v>-1.7699115044247787E-2</v>
      </c>
      <c r="E306" s="14">
        <f t="shared" si="9"/>
        <v>-7.1947712017982396E-3</v>
      </c>
    </row>
    <row r="307" spans="1:5" x14ac:dyDescent="0.35">
      <c r="A307" s="9">
        <v>45581</v>
      </c>
      <c r="B307" s="10">
        <v>113</v>
      </c>
      <c r="C307" s="11">
        <v>86205.66</v>
      </c>
      <c r="D307" s="14">
        <f t="shared" si="8"/>
        <v>-4.4052863436123352E-3</v>
      </c>
      <c r="E307" s="14">
        <f t="shared" si="9"/>
        <v>4.2558079336592449E-3</v>
      </c>
    </row>
    <row r="308" spans="1:5" x14ac:dyDescent="0.35">
      <c r="A308" s="9">
        <v>45580</v>
      </c>
      <c r="B308" s="10">
        <v>113.5</v>
      </c>
      <c r="C308" s="11">
        <v>85840.34</v>
      </c>
      <c r="D308" s="14">
        <f t="shared" si="8"/>
        <v>4.4247787610619468E-3</v>
      </c>
      <c r="E308" s="14">
        <f t="shared" si="9"/>
        <v>6.7902951148227477E-3</v>
      </c>
    </row>
    <row r="309" spans="1:5" x14ac:dyDescent="0.35">
      <c r="A309" s="9">
        <v>45579</v>
      </c>
      <c r="B309" s="10">
        <v>113</v>
      </c>
      <c r="C309" s="11">
        <v>85261.39</v>
      </c>
      <c r="D309" s="14">
        <f t="shared" si="8"/>
        <v>0</v>
      </c>
      <c r="E309" s="14">
        <f t="shared" si="9"/>
        <v>-2.5971124218268668E-3</v>
      </c>
    </row>
    <row r="310" spans="1:5" x14ac:dyDescent="0.35">
      <c r="A310" s="9">
        <v>45576</v>
      </c>
      <c r="B310" s="10">
        <v>113</v>
      </c>
      <c r="C310" s="11">
        <v>85483.4</v>
      </c>
      <c r="D310" s="14">
        <f t="shared" si="8"/>
        <v>-2.5862068965517241E-2</v>
      </c>
      <c r="E310" s="14">
        <f t="shared" si="9"/>
        <v>3.5317569074627046E-4</v>
      </c>
    </row>
    <row r="311" spans="1:5" x14ac:dyDescent="0.35">
      <c r="A311" s="9">
        <v>45575</v>
      </c>
      <c r="B311" s="10">
        <v>116</v>
      </c>
      <c r="C311" s="11">
        <v>85453.22</v>
      </c>
      <c r="D311" s="14">
        <f t="shared" si="8"/>
        <v>-1.6949152542372881E-2</v>
      </c>
      <c r="E311" s="14">
        <f t="shared" si="9"/>
        <v>-2.522024230856121E-3</v>
      </c>
    </row>
    <row r="312" spans="1:5" x14ac:dyDescent="0.35">
      <c r="A312" s="9">
        <v>45574</v>
      </c>
      <c r="B312" s="10">
        <v>118</v>
      </c>
      <c r="C312" s="11">
        <v>85669.28</v>
      </c>
      <c r="D312" s="14">
        <f t="shared" si="8"/>
        <v>3.8732394366197236E-2</v>
      </c>
      <c r="E312" s="14">
        <f t="shared" si="9"/>
        <v>6.1869644627799341E-5</v>
      </c>
    </row>
    <row r="313" spans="1:5" x14ac:dyDescent="0.35">
      <c r="A313" s="9">
        <v>45573</v>
      </c>
      <c r="B313" s="10">
        <v>113.6</v>
      </c>
      <c r="C313" s="11">
        <v>85663.98</v>
      </c>
      <c r="D313" s="14">
        <f t="shared" si="8"/>
        <v>1.4195161146326124E-2</v>
      </c>
      <c r="E313" s="14">
        <f t="shared" si="9"/>
        <v>8.8761905210556664E-3</v>
      </c>
    </row>
    <row r="314" spans="1:5" x14ac:dyDescent="0.35">
      <c r="A314" s="9">
        <v>45572</v>
      </c>
      <c r="B314" s="10">
        <v>112.01</v>
      </c>
      <c r="C314" s="11">
        <v>84910.3</v>
      </c>
      <c r="D314" s="14">
        <f t="shared" si="8"/>
        <v>8.9285714285759958E-5</v>
      </c>
      <c r="E314" s="14">
        <f t="shared" si="9"/>
        <v>1.6500750132045224E-2</v>
      </c>
    </row>
    <row r="315" spans="1:5" x14ac:dyDescent="0.35">
      <c r="A315" s="9">
        <v>45569</v>
      </c>
      <c r="B315" s="10">
        <v>112</v>
      </c>
      <c r="C315" s="11">
        <v>83531.960000000006</v>
      </c>
      <c r="D315" s="14">
        <f t="shared" si="8"/>
        <v>9.0090090090090089E-3</v>
      </c>
      <c r="E315" s="14">
        <f t="shared" si="9"/>
        <v>9.7941569673860012E-3</v>
      </c>
    </row>
    <row r="316" spans="1:5" x14ac:dyDescent="0.35">
      <c r="A316" s="9">
        <v>45568</v>
      </c>
      <c r="B316" s="10">
        <v>111</v>
      </c>
      <c r="C316" s="11">
        <v>82721.77</v>
      </c>
      <c r="D316" s="14">
        <f t="shared" si="8"/>
        <v>-8.7515627790677262E-3</v>
      </c>
      <c r="E316" s="14">
        <f t="shared" si="9"/>
        <v>9.2080948176590724E-3</v>
      </c>
    </row>
    <row r="317" spans="1:5" x14ac:dyDescent="0.35">
      <c r="A317" s="9">
        <v>45567</v>
      </c>
      <c r="B317" s="10">
        <v>111.98</v>
      </c>
      <c r="C317" s="11">
        <v>81967.009999999995</v>
      </c>
      <c r="D317" s="14">
        <f t="shared" si="8"/>
        <v>1.8000000000000037E-2</v>
      </c>
      <c r="E317" s="14">
        <f t="shared" si="9"/>
        <v>1.9854631628860712E-3</v>
      </c>
    </row>
    <row r="318" spans="1:5" x14ac:dyDescent="0.35">
      <c r="A318" s="9">
        <v>45566</v>
      </c>
      <c r="B318" s="10">
        <v>110</v>
      </c>
      <c r="C318" s="11">
        <v>81804.59</v>
      </c>
      <c r="D318" s="14">
        <f t="shared" si="8"/>
        <v>-9.0090090090090089E-3</v>
      </c>
      <c r="E318" s="14">
        <f t="shared" si="9"/>
        <v>8.5113334040155669E-3</v>
      </c>
    </row>
    <row r="319" spans="1:5" x14ac:dyDescent="0.35">
      <c r="A319" s="9">
        <v>45565</v>
      </c>
      <c r="B319" s="10">
        <v>111</v>
      </c>
      <c r="C319" s="11">
        <v>81114.2</v>
      </c>
      <c r="D319" s="14">
        <f t="shared" si="8"/>
        <v>-7.7768838830786138E-3</v>
      </c>
      <c r="E319" s="14">
        <f t="shared" si="9"/>
        <v>-2.1887727631199668E-3</v>
      </c>
    </row>
    <row r="320" spans="1:5" x14ac:dyDescent="0.35">
      <c r="A320" s="9">
        <v>45562</v>
      </c>
      <c r="B320" s="10">
        <v>111.87</v>
      </c>
      <c r="C320" s="11">
        <v>81292.13</v>
      </c>
      <c r="D320" s="14">
        <f t="shared" si="8"/>
        <v>-1.1607142857142452E-3</v>
      </c>
      <c r="E320" s="14">
        <f t="shared" si="9"/>
        <v>-4.4801505597064986E-3</v>
      </c>
    </row>
    <row r="321" spans="1:5" x14ac:dyDescent="0.35">
      <c r="A321" s="9">
        <v>45561</v>
      </c>
      <c r="B321" s="10">
        <v>112</v>
      </c>
      <c r="C321" s="11">
        <v>81657.97</v>
      </c>
      <c r="D321" s="14">
        <f t="shared" si="8"/>
        <v>4.4843049327354259E-3</v>
      </c>
      <c r="E321" s="14">
        <f t="shared" si="9"/>
        <v>-7.1728257687245717E-3</v>
      </c>
    </row>
    <row r="322" spans="1:5" x14ac:dyDescent="0.35">
      <c r="A322" s="9">
        <v>45560</v>
      </c>
      <c r="B322" s="10">
        <v>111.5</v>
      </c>
      <c r="C322" s="11">
        <v>82247.92</v>
      </c>
      <c r="D322" s="14">
        <f t="shared" si="8"/>
        <v>5.5009468842997511E-3</v>
      </c>
      <c r="E322" s="14">
        <f t="shared" si="9"/>
        <v>9.3795515271531665E-3</v>
      </c>
    </row>
    <row r="323" spans="1:5" x14ac:dyDescent="0.35">
      <c r="A323" s="9">
        <v>45559</v>
      </c>
      <c r="B323" s="10">
        <v>110.89</v>
      </c>
      <c r="C323" s="11">
        <v>81483.64</v>
      </c>
      <c r="D323" s="14">
        <f t="shared" si="8"/>
        <v>2.828264094955487E-2</v>
      </c>
      <c r="E323" s="14">
        <f t="shared" si="9"/>
        <v>-4.4820740252044956E-3</v>
      </c>
    </row>
    <row r="324" spans="1:5" x14ac:dyDescent="0.35">
      <c r="A324" s="9">
        <v>45558</v>
      </c>
      <c r="B324" s="10">
        <v>107.84</v>
      </c>
      <c r="C324" s="11">
        <v>81850.5</v>
      </c>
      <c r="D324" s="14">
        <f t="shared" si="8"/>
        <v>3.2561168480789706E-3</v>
      </c>
      <c r="E324" s="14">
        <f t="shared" si="9"/>
        <v>-2.7286201735131589E-3</v>
      </c>
    </row>
    <row r="325" spans="1:5" x14ac:dyDescent="0.35">
      <c r="A325" s="9">
        <v>45555</v>
      </c>
      <c r="B325" s="10">
        <v>107.49</v>
      </c>
      <c r="C325" s="11">
        <v>82074.45</v>
      </c>
      <c r="D325" s="14">
        <f t="shared" ref="D325:D388" si="10">(B325-B326)/B326</f>
        <v>-1.2857011663146347E-2</v>
      </c>
      <c r="E325" s="14">
        <f t="shared" ref="E325:E388" si="11">(C325-C326)/C326</f>
        <v>7.5517476275573179E-3</v>
      </c>
    </row>
    <row r="326" spans="1:5" x14ac:dyDescent="0.35">
      <c r="A326" s="9">
        <v>45554</v>
      </c>
      <c r="B326" s="10">
        <v>108.89</v>
      </c>
      <c r="C326" s="11">
        <v>81459.289999999994</v>
      </c>
      <c r="D326" s="14">
        <f t="shared" si="10"/>
        <v>-1.0091743119266003E-3</v>
      </c>
      <c r="E326" s="14">
        <f t="shared" si="11"/>
        <v>1.2402850859804188E-2</v>
      </c>
    </row>
    <row r="327" spans="1:5" x14ac:dyDescent="0.35">
      <c r="A327" s="9">
        <v>45553</v>
      </c>
      <c r="B327" s="10">
        <v>109</v>
      </c>
      <c r="C327" s="11">
        <v>80461.34</v>
      </c>
      <c r="D327" s="14">
        <f t="shared" si="10"/>
        <v>0</v>
      </c>
      <c r="E327" s="14">
        <f t="shared" si="11"/>
        <v>1.2205133804849158E-2</v>
      </c>
    </row>
    <row r="328" spans="1:5" x14ac:dyDescent="0.35">
      <c r="A328" s="9">
        <v>45551</v>
      </c>
      <c r="B328" s="10">
        <v>109</v>
      </c>
      <c r="C328" s="11">
        <v>79491.14</v>
      </c>
      <c r="D328" s="14">
        <f t="shared" si="10"/>
        <v>4.608294930875576E-3</v>
      </c>
      <c r="E328" s="14">
        <f t="shared" si="11"/>
        <v>1.9926119073183581E-3</v>
      </c>
    </row>
    <row r="329" spans="1:5" x14ac:dyDescent="0.35">
      <c r="A329" s="9">
        <v>45548</v>
      </c>
      <c r="B329" s="10">
        <v>108.5</v>
      </c>
      <c r="C329" s="11">
        <v>79333.06</v>
      </c>
      <c r="D329" s="14">
        <f t="shared" si="10"/>
        <v>-1.8399264029439082E-3</v>
      </c>
      <c r="E329" s="14">
        <f t="shared" si="11"/>
        <v>3.9920210201218713E-3</v>
      </c>
    </row>
    <row r="330" spans="1:5" x14ac:dyDescent="0.35">
      <c r="A330" s="9">
        <v>45547</v>
      </c>
      <c r="B330" s="10">
        <v>108.7</v>
      </c>
      <c r="C330" s="11">
        <v>79017.62</v>
      </c>
      <c r="D330" s="14">
        <f t="shared" si="10"/>
        <v>1.5887850467289747E-2</v>
      </c>
      <c r="E330" s="14">
        <f t="shared" si="11"/>
        <v>4.6511332226343511E-3</v>
      </c>
    </row>
    <row r="331" spans="1:5" x14ac:dyDescent="0.35">
      <c r="A331" s="9">
        <v>45546</v>
      </c>
      <c r="B331" s="10">
        <v>107</v>
      </c>
      <c r="C331" s="11">
        <v>78651.8</v>
      </c>
      <c r="D331" s="14">
        <f t="shared" si="10"/>
        <v>-9.2592592592592587E-3</v>
      </c>
      <c r="E331" s="14">
        <f t="shared" si="11"/>
        <v>-8.0081486513381966E-3</v>
      </c>
    </row>
    <row r="332" spans="1:5" x14ac:dyDescent="0.35">
      <c r="A332" s="9">
        <v>45545</v>
      </c>
      <c r="B332" s="10">
        <v>108</v>
      </c>
      <c r="C332" s="11">
        <v>79286.740000000005</v>
      </c>
      <c r="D332" s="14">
        <f t="shared" si="10"/>
        <v>-1.6393442622950793E-2</v>
      </c>
      <c r="E332" s="14">
        <f t="shared" si="11"/>
        <v>8.5446797684920854E-3</v>
      </c>
    </row>
    <row r="333" spans="1:5" x14ac:dyDescent="0.35">
      <c r="A333" s="9">
        <v>45544</v>
      </c>
      <c r="B333" s="10">
        <v>109.8</v>
      </c>
      <c r="C333" s="11">
        <v>78615</v>
      </c>
      <c r="D333" s="14">
        <f t="shared" si="10"/>
        <v>-1.9642857142857167E-2</v>
      </c>
      <c r="E333" s="14">
        <f t="shared" si="11"/>
        <v>-3.5834998041134507E-3</v>
      </c>
    </row>
    <row r="334" spans="1:5" x14ac:dyDescent="0.35">
      <c r="A334" s="9">
        <v>45541</v>
      </c>
      <c r="B334" s="10">
        <v>112</v>
      </c>
      <c r="C334" s="11">
        <v>78897.73</v>
      </c>
      <c r="D334" s="14">
        <f t="shared" si="10"/>
        <v>3.2258064516129031E-2</v>
      </c>
      <c r="E334" s="14">
        <f t="shared" si="11"/>
        <v>4.3607080298652606E-4</v>
      </c>
    </row>
    <row r="335" spans="1:5" x14ac:dyDescent="0.35">
      <c r="A335" s="9">
        <v>45540</v>
      </c>
      <c r="B335" s="10">
        <v>108.5</v>
      </c>
      <c r="C335" s="11">
        <v>78863.34</v>
      </c>
      <c r="D335" s="14">
        <f t="shared" si="10"/>
        <v>9.3962229044562764E-3</v>
      </c>
      <c r="E335" s="14">
        <f t="shared" si="11"/>
        <v>1.9442469125094909E-4</v>
      </c>
    </row>
    <row r="336" spans="1:5" x14ac:dyDescent="0.35">
      <c r="A336" s="9">
        <v>45539</v>
      </c>
      <c r="B336" s="10">
        <v>107.49</v>
      </c>
      <c r="C336" s="11">
        <v>78848.009999999995</v>
      </c>
      <c r="D336" s="14">
        <f t="shared" si="10"/>
        <v>1.4056603773584857E-2</v>
      </c>
      <c r="E336" s="14">
        <f t="shared" si="11"/>
        <v>6.2750522229730512E-3</v>
      </c>
    </row>
    <row r="337" spans="1:5" x14ac:dyDescent="0.35">
      <c r="A337" s="9">
        <v>45538</v>
      </c>
      <c r="B337" s="10">
        <v>106</v>
      </c>
      <c r="C337" s="11">
        <v>78356.320000000007</v>
      </c>
      <c r="D337" s="14">
        <f t="shared" si="10"/>
        <v>-3.0901444505393998E-2</v>
      </c>
      <c r="E337" s="14">
        <f t="shared" si="11"/>
        <v>9.3276599223594391E-4</v>
      </c>
    </row>
    <row r="338" spans="1:5" x14ac:dyDescent="0.35">
      <c r="A338" s="9">
        <v>45537</v>
      </c>
      <c r="B338" s="10">
        <v>109.38</v>
      </c>
      <c r="C338" s="11">
        <v>78283.3</v>
      </c>
      <c r="D338" s="14">
        <f t="shared" si="10"/>
        <v>3.48623853211005E-3</v>
      </c>
      <c r="E338" s="14">
        <f t="shared" si="11"/>
        <v>-2.6108376518157532E-3</v>
      </c>
    </row>
    <row r="339" spans="1:5" x14ac:dyDescent="0.35">
      <c r="A339" s="9">
        <v>45534</v>
      </c>
      <c r="B339" s="10">
        <v>109</v>
      </c>
      <c r="C339" s="11">
        <v>78488.22</v>
      </c>
      <c r="D339" s="14">
        <f t="shared" si="10"/>
        <v>-4.3859649122807015E-2</v>
      </c>
      <c r="E339" s="14">
        <f t="shared" si="11"/>
        <v>1.7684824669309052E-3</v>
      </c>
    </row>
    <row r="340" spans="1:5" x14ac:dyDescent="0.35">
      <c r="A340" s="9">
        <v>45533</v>
      </c>
      <c r="B340" s="10">
        <v>114</v>
      </c>
      <c r="C340" s="11">
        <v>78349.66</v>
      </c>
      <c r="D340" s="14">
        <f t="shared" si="10"/>
        <v>-1.2474012474012454E-2</v>
      </c>
      <c r="E340" s="14">
        <f t="shared" si="11"/>
        <v>4.5756793672852318E-3</v>
      </c>
    </row>
    <row r="341" spans="1:5" x14ac:dyDescent="0.35">
      <c r="A341" s="9">
        <v>45532</v>
      </c>
      <c r="B341" s="10">
        <v>115.44</v>
      </c>
      <c r="C341" s="11">
        <v>77992.789999999994</v>
      </c>
      <c r="D341" s="14">
        <f t="shared" si="10"/>
        <v>-1.3840830449826694E-3</v>
      </c>
      <c r="E341" s="14">
        <f t="shared" si="11"/>
        <v>-1.1711710327207082E-3</v>
      </c>
    </row>
    <row r="342" spans="1:5" x14ac:dyDescent="0.35">
      <c r="A342" s="9">
        <v>45531</v>
      </c>
      <c r="B342" s="10">
        <v>115.6</v>
      </c>
      <c r="C342" s="11">
        <v>78084.240000000005</v>
      </c>
      <c r="D342" s="14">
        <f t="shared" si="10"/>
        <v>7.4074074074073583E-3</v>
      </c>
      <c r="E342" s="14">
        <f t="shared" si="11"/>
        <v>-6.1959199735881435E-3</v>
      </c>
    </row>
    <row r="343" spans="1:5" x14ac:dyDescent="0.35">
      <c r="A343" s="9">
        <v>45530</v>
      </c>
      <c r="B343" s="10">
        <v>114.75</v>
      </c>
      <c r="C343" s="11">
        <v>78571.06</v>
      </c>
      <c r="D343" s="14">
        <f t="shared" si="10"/>
        <v>-8.724948168624784E-3</v>
      </c>
      <c r="E343" s="14">
        <f t="shared" si="11"/>
        <v>-2.9234241053746786E-3</v>
      </c>
    </row>
    <row r="344" spans="1:5" x14ac:dyDescent="0.35">
      <c r="A344" s="9">
        <v>45527</v>
      </c>
      <c r="B344" s="10">
        <v>115.76</v>
      </c>
      <c r="C344" s="11">
        <v>78801.429999999993</v>
      </c>
      <c r="D344" s="14">
        <f t="shared" si="10"/>
        <v>1.1004366812227119E-2</v>
      </c>
      <c r="E344" s="14">
        <f t="shared" si="11"/>
        <v>1.0178516198232216E-4</v>
      </c>
    </row>
    <row r="345" spans="1:5" x14ac:dyDescent="0.35">
      <c r="A345" s="9">
        <v>45526</v>
      </c>
      <c r="B345" s="10">
        <v>114.5</v>
      </c>
      <c r="C345" s="11">
        <v>78793.41</v>
      </c>
      <c r="D345" s="14">
        <f t="shared" si="10"/>
        <v>1.3274336283185841E-2</v>
      </c>
      <c r="E345" s="14">
        <f t="shared" si="11"/>
        <v>6.8048063872541515E-3</v>
      </c>
    </row>
    <row r="346" spans="1:5" x14ac:dyDescent="0.35">
      <c r="A346" s="9">
        <v>45525</v>
      </c>
      <c r="B346" s="10">
        <v>113</v>
      </c>
      <c r="C346" s="11">
        <v>78260.86</v>
      </c>
      <c r="D346" s="14">
        <f t="shared" si="10"/>
        <v>-1.5250544662309368E-2</v>
      </c>
      <c r="E346" s="14">
        <f t="shared" si="11"/>
        <v>6.6285491434104043E-3</v>
      </c>
    </row>
    <row r="347" spans="1:5" x14ac:dyDescent="0.35">
      <c r="A347" s="9">
        <v>45524</v>
      </c>
      <c r="B347" s="10">
        <v>114.75</v>
      </c>
      <c r="C347" s="11">
        <v>77745.52</v>
      </c>
      <c r="D347" s="14">
        <f t="shared" si="10"/>
        <v>7.4626865671641287E-3</v>
      </c>
      <c r="E347" s="14">
        <f t="shared" si="11"/>
        <v>-1.0898063660006168E-3</v>
      </c>
    </row>
    <row r="348" spans="1:5" x14ac:dyDescent="0.35">
      <c r="A348" s="9">
        <v>45523</v>
      </c>
      <c r="B348" s="10">
        <v>113.9</v>
      </c>
      <c r="C348" s="11">
        <v>77830.34</v>
      </c>
      <c r="D348" s="14">
        <f t="shared" si="10"/>
        <v>-9.3067756806122746E-3</v>
      </c>
      <c r="E348" s="14">
        <f t="shared" si="11"/>
        <v>-2.7544256022559352E-3</v>
      </c>
    </row>
    <row r="349" spans="1:5" x14ac:dyDescent="0.35">
      <c r="A349" s="9">
        <v>45520</v>
      </c>
      <c r="B349" s="10">
        <v>114.97</v>
      </c>
      <c r="C349" s="11">
        <v>78045.31</v>
      </c>
      <c r="D349" s="14">
        <f t="shared" si="10"/>
        <v>1.7703815172169603E-2</v>
      </c>
      <c r="E349" s="14">
        <f t="shared" si="11"/>
        <v>-7.7676510812614162E-4</v>
      </c>
    </row>
    <row r="350" spans="1:5" x14ac:dyDescent="0.35">
      <c r="A350" s="9">
        <v>45519</v>
      </c>
      <c r="B350" s="10">
        <v>112.97</v>
      </c>
      <c r="C350" s="11">
        <v>78105.98</v>
      </c>
      <c r="D350" s="14">
        <f t="shared" si="10"/>
        <v>-1.4137359280914604E-2</v>
      </c>
      <c r="E350" s="14">
        <f t="shared" si="11"/>
        <v>2.9348686692496706E-3</v>
      </c>
    </row>
    <row r="351" spans="1:5" x14ac:dyDescent="0.35">
      <c r="A351" s="9">
        <v>45517</v>
      </c>
      <c r="B351" s="10">
        <v>114.59</v>
      </c>
      <c r="C351" s="11">
        <v>77877.42</v>
      </c>
      <c r="D351" s="14">
        <f t="shared" si="10"/>
        <v>1.353263753759067E-2</v>
      </c>
      <c r="E351" s="14">
        <f t="shared" si="11"/>
        <v>-1.3191795003583001E-3</v>
      </c>
    </row>
    <row r="352" spans="1:5" x14ac:dyDescent="0.35">
      <c r="A352" s="9">
        <v>45516</v>
      </c>
      <c r="B352" s="10">
        <v>113.06</v>
      </c>
      <c r="C352" s="11">
        <v>77980.289999999994</v>
      </c>
      <c r="D352" s="14">
        <f t="shared" si="10"/>
        <v>3.1943212067435619E-3</v>
      </c>
      <c r="E352" s="14">
        <f t="shared" si="11"/>
        <v>-7.5003573265432968E-3</v>
      </c>
    </row>
    <row r="353" spans="1:5" x14ac:dyDescent="0.35">
      <c r="A353" s="9">
        <v>45513</v>
      </c>
      <c r="B353" s="10">
        <v>112.7</v>
      </c>
      <c r="C353" s="11">
        <v>78569.59</v>
      </c>
      <c r="D353" s="14">
        <f t="shared" si="10"/>
        <v>-1.1403508771929799E-2</v>
      </c>
      <c r="E353" s="14">
        <f t="shared" si="11"/>
        <v>8.9293992286535312E-3</v>
      </c>
    </row>
    <row r="354" spans="1:5" x14ac:dyDescent="0.35">
      <c r="A354" s="9">
        <v>45512</v>
      </c>
      <c r="B354" s="10">
        <v>114</v>
      </c>
      <c r="C354" s="11">
        <v>77874.22</v>
      </c>
      <c r="D354" s="14">
        <f t="shared" si="10"/>
        <v>4.4937879989426837E-3</v>
      </c>
      <c r="E354" s="14">
        <f t="shared" si="11"/>
        <v>9.8519746418603803E-3</v>
      </c>
    </row>
    <row r="355" spans="1:5" x14ac:dyDescent="0.35">
      <c r="A355" s="9">
        <v>45511</v>
      </c>
      <c r="B355" s="10">
        <v>113.49</v>
      </c>
      <c r="C355" s="11">
        <v>77114.490000000005</v>
      </c>
      <c r="D355" s="14">
        <f t="shared" si="10"/>
        <v>-4.4736842105263606E-3</v>
      </c>
      <c r="E355" s="14">
        <f t="shared" si="11"/>
        <v>-9.9557800136636145E-4</v>
      </c>
    </row>
    <row r="356" spans="1:5" x14ac:dyDescent="0.35">
      <c r="A356" s="9">
        <v>45510</v>
      </c>
      <c r="B356" s="10">
        <v>114</v>
      </c>
      <c r="C356" s="11">
        <v>77191.34</v>
      </c>
      <c r="D356" s="14">
        <f t="shared" si="10"/>
        <v>-8.6956521739130436E-3</v>
      </c>
      <c r="E356" s="14">
        <f t="shared" si="11"/>
        <v>1.3861413625489546E-3</v>
      </c>
    </row>
    <row r="357" spans="1:5" x14ac:dyDescent="0.35">
      <c r="A357" s="9">
        <v>45509</v>
      </c>
      <c r="B357" s="10">
        <v>115</v>
      </c>
      <c r="C357" s="11">
        <v>77084.490000000005</v>
      </c>
      <c r="D357" s="14">
        <f t="shared" si="10"/>
        <v>-1.7010000854773871E-2</v>
      </c>
      <c r="E357" s="14">
        <f t="shared" si="11"/>
        <v>-1.4592210925321623E-2</v>
      </c>
    </row>
    <row r="358" spans="1:5" x14ac:dyDescent="0.35">
      <c r="A358" s="9">
        <v>45506</v>
      </c>
      <c r="B358" s="10">
        <v>116.99</v>
      </c>
      <c r="C358" s="11">
        <v>78225.98</v>
      </c>
      <c r="D358" s="14">
        <f t="shared" si="10"/>
        <v>-7.718405428329184E-3</v>
      </c>
      <c r="E358" s="14">
        <f t="shared" si="11"/>
        <v>6.2473380926831691E-3</v>
      </c>
    </row>
    <row r="359" spans="1:5" x14ac:dyDescent="0.35">
      <c r="A359" s="9">
        <v>45505</v>
      </c>
      <c r="B359" s="10">
        <v>117.9</v>
      </c>
      <c r="C359" s="11">
        <v>77740.31</v>
      </c>
      <c r="D359" s="14">
        <f t="shared" si="10"/>
        <v>7.0037581141100735E-3</v>
      </c>
      <c r="E359" s="14">
        <f t="shared" si="11"/>
        <v>-1.8832413474960011E-3</v>
      </c>
    </row>
    <row r="360" spans="1:5" x14ac:dyDescent="0.35">
      <c r="A360" s="9">
        <v>45504</v>
      </c>
      <c r="B360" s="10">
        <v>117.08</v>
      </c>
      <c r="C360" s="11">
        <v>77886.990000000005</v>
      </c>
      <c r="D360" s="14">
        <f t="shared" si="10"/>
        <v>9.3103448275861922E-3</v>
      </c>
      <c r="E360" s="14">
        <f t="shared" si="11"/>
        <v>-9.4344553860091791E-3</v>
      </c>
    </row>
    <row r="361" spans="1:5" x14ac:dyDescent="0.35">
      <c r="A361" s="9">
        <v>45503</v>
      </c>
      <c r="B361" s="10">
        <v>116</v>
      </c>
      <c r="C361" s="11">
        <v>78628.81</v>
      </c>
      <c r="D361" s="14">
        <f t="shared" si="10"/>
        <v>-3.4364261168385365E-3</v>
      </c>
      <c r="E361" s="14">
        <f t="shared" si="11"/>
        <v>-2.5236040003177506E-3</v>
      </c>
    </row>
    <row r="362" spans="1:5" x14ac:dyDescent="0.35">
      <c r="A362" s="9">
        <v>45502</v>
      </c>
      <c r="B362" s="10">
        <v>116.4</v>
      </c>
      <c r="C362" s="11">
        <v>78827.740000000005</v>
      </c>
      <c r="D362" s="14">
        <f t="shared" si="10"/>
        <v>-1.3559322033898256E-2</v>
      </c>
      <c r="E362" s="14">
        <f t="shared" si="11"/>
        <v>1.0229847656354762E-2</v>
      </c>
    </row>
    <row r="363" spans="1:5" x14ac:dyDescent="0.35">
      <c r="A363" s="9">
        <v>45499</v>
      </c>
      <c r="B363" s="10">
        <v>118</v>
      </c>
      <c r="C363" s="11">
        <v>78029.509999999995</v>
      </c>
      <c r="D363" s="14">
        <f t="shared" si="10"/>
        <v>8.5470085470085479E-3</v>
      </c>
      <c r="E363" s="14">
        <f t="shared" si="11"/>
        <v>-5.6049924218800765E-3</v>
      </c>
    </row>
    <row r="364" spans="1:5" x14ac:dyDescent="0.35">
      <c r="A364" s="9">
        <v>45498</v>
      </c>
      <c r="B364" s="10">
        <v>117</v>
      </c>
      <c r="C364" s="11">
        <v>78469.33</v>
      </c>
      <c r="D364" s="14">
        <f t="shared" si="10"/>
        <v>0</v>
      </c>
      <c r="E364" s="14">
        <f t="shared" si="11"/>
        <v>-1.1684067195981222E-2</v>
      </c>
    </row>
    <row r="365" spans="1:5" x14ac:dyDescent="0.35">
      <c r="A365" s="9">
        <v>45497</v>
      </c>
      <c r="B365" s="10">
        <v>117</v>
      </c>
      <c r="C365" s="11">
        <v>79397.009999999995</v>
      </c>
      <c r="D365" s="14">
        <f t="shared" si="10"/>
        <v>6.8846815834767393E-3</v>
      </c>
      <c r="E365" s="14">
        <f t="shared" si="11"/>
        <v>5.1897088498892453E-3</v>
      </c>
    </row>
    <row r="366" spans="1:5" x14ac:dyDescent="0.35">
      <c r="A366" s="9">
        <v>45496</v>
      </c>
      <c r="B366" s="10">
        <v>116.2</v>
      </c>
      <c r="C366" s="11">
        <v>78987.09</v>
      </c>
      <c r="D366" s="14">
        <f t="shared" si="10"/>
        <v>-2.3529411764705858E-2</v>
      </c>
      <c r="E366" s="14">
        <f t="shared" si="11"/>
        <v>5.7028854002695237E-3</v>
      </c>
    </row>
    <row r="367" spans="1:5" x14ac:dyDescent="0.35">
      <c r="A367" s="9">
        <v>45495</v>
      </c>
      <c r="B367" s="10">
        <v>119</v>
      </c>
      <c r="C367" s="11">
        <v>78539.19</v>
      </c>
      <c r="D367" s="14">
        <f t="shared" si="10"/>
        <v>-4.6397948553570045E-2</v>
      </c>
      <c r="E367" s="14">
        <f t="shared" si="11"/>
        <v>-1.9704712642831673E-2</v>
      </c>
    </row>
    <row r="368" spans="1:5" x14ac:dyDescent="0.35">
      <c r="A368" s="9">
        <v>45492</v>
      </c>
      <c r="B368" s="10">
        <v>124.79</v>
      </c>
      <c r="C368" s="11">
        <v>80117.89</v>
      </c>
      <c r="D368" s="14">
        <f t="shared" si="10"/>
        <v>6.3709677419355347E-3</v>
      </c>
      <c r="E368" s="14">
        <f t="shared" si="11"/>
        <v>-2.1040725142980464E-2</v>
      </c>
    </row>
    <row r="369" spans="1:5" x14ac:dyDescent="0.35">
      <c r="A369" s="9">
        <v>45491</v>
      </c>
      <c r="B369" s="10">
        <v>124</v>
      </c>
      <c r="C369" s="11">
        <v>81839.86</v>
      </c>
      <c r="D369" s="14">
        <f t="shared" si="10"/>
        <v>-2.012072434607646E-3</v>
      </c>
      <c r="E369" s="14">
        <f t="shared" si="11"/>
        <v>8.4313333360441743E-3</v>
      </c>
    </row>
    <row r="370" spans="1:5" x14ac:dyDescent="0.35">
      <c r="A370" s="9">
        <v>45488</v>
      </c>
      <c r="B370" s="10">
        <v>124.25</v>
      </c>
      <c r="C370" s="11">
        <v>81155.61</v>
      </c>
      <c r="D370" s="14">
        <f t="shared" si="10"/>
        <v>6.0728744939271256E-3</v>
      </c>
      <c r="E370" s="14">
        <f t="shared" si="11"/>
        <v>1.5154464181846999E-2</v>
      </c>
    </row>
    <row r="371" spans="1:5" x14ac:dyDescent="0.35">
      <c r="A371" s="9">
        <v>45485</v>
      </c>
      <c r="B371" s="10">
        <v>123.5</v>
      </c>
      <c r="C371" s="11">
        <v>79944.100000000006</v>
      </c>
      <c r="D371" s="14">
        <f t="shared" si="10"/>
        <v>-2.3329379201265345E-2</v>
      </c>
      <c r="E371" s="14">
        <f t="shared" si="11"/>
        <v>-6.0318267934371221E-4</v>
      </c>
    </row>
    <row r="372" spans="1:5" x14ac:dyDescent="0.35">
      <c r="A372" s="9">
        <v>45484</v>
      </c>
      <c r="B372" s="10">
        <v>126.45</v>
      </c>
      <c r="C372" s="11">
        <v>79992.350000000006</v>
      </c>
      <c r="D372" s="14">
        <f t="shared" si="10"/>
        <v>5.566600397614337E-3</v>
      </c>
      <c r="E372" s="14">
        <f t="shared" si="11"/>
        <v>1.888615402805358E-3</v>
      </c>
    </row>
    <row r="373" spans="1:5" x14ac:dyDescent="0.35">
      <c r="A373" s="9">
        <v>45483</v>
      </c>
      <c r="B373" s="10">
        <v>125.75</v>
      </c>
      <c r="C373" s="11">
        <v>79841.56</v>
      </c>
      <c r="D373" s="14">
        <f t="shared" si="10"/>
        <v>-9.8425196850393699E-3</v>
      </c>
      <c r="E373" s="14">
        <f t="shared" si="11"/>
        <v>-1.0294766242488415E-2</v>
      </c>
    </row>
    <row r="374" spans="1:5" x14ac:dyDescent="0.35">
      <c r="A374" s="9">
        <v>45482</v>
      </c>
      <c r="B374" s="10">
        <v>127</v>
      </c>
      <c r="C374" s="11">
        <v>80672.06</v>
      </c>
      <c r="D374" s="14">
        <f t="shared" si="10"/>
        <v>2.717567130378518E-2</v>
      </c>
      <c r="E374" s="14">
        <f t="shared" si="11"/>
        <v>1.3138262306243681E-3</v>
      </c>
    </row>
    <row r="375" spans="1:5" x14ac:dyDescent="0.35">
      <c r="A375" s="9">
        <v>45481</v>
      </c>
      <c r="B375" s="10">
        <v>123.64</v>
      </c>
      <c r="C375" s="11">
        <v>80566.210000000006</v>
      </c>
      <c r="D375" s="14">
        <f t="shared" si="10"/>
        <v>7.5317446512436909E-2</v>
      </c>
      <c r="E375" s="14">
        <f t="shared" si="11"/>
        <v>4.4060305095984425E-3</v>
      </c>
    </row>
    <row r="376" spans="1:5" x14ac:dyDescent="0.35">
      <c r="A376" s="9">
        <v>45478</v>
      </c>
      <c r="B376" s="10">
        <v>114.98</v>
      </c>
      <c r="C376" s="11">
        <v>80212.789999999994</v>
      </c>
      <c r="D376" s="14">
        <f t="shared" si="10"/>
        <v>2.3864648263579757E-2</v>
      </c>
      <c r="E376" s="14">
        <f t="shared" si="11"/>
        <v>-8.7204233036228566E-4</v>
      </c>
    </row>
    <row r="377" spans="1:5" x14ac:dyDescent="0.35">
      <c r="A377" s="9">
        <v>45477</v>
      </c>
      <c r="B377" s="10">
        <v>112.3</v>
      </c>
      <c r="C377" s="11">
        <v>80282.8</v>
      </c>
      <c r="D377" s="14">
        <f t="shared" si="10"/>
        <v>1.1711711711711686E-2</v>
      </c>
      <c r="E377" s="14">
        <f t="shared" si="11"/>
        <v>6.123364417956284E-4</v>
      </c>
    </row>
    <row r="378" spans="1:5" x14ac:dyDescent="0.35">
      <c r="A378" s="9">
        <v>45476</v>
      </c>
      <c r="B378" s="10">
        <v>111</v>
      </c>
      <c r="C378" s="11">
        <v>80233.67</v>
      </c>
      <c r="D378" s="14">
        <f t="shared" si="10"/>
        <v>1.834862385321101E-2</v>
      </c>
      <c r="E378" s="14">
        <f t="shared" si="11"/>
        <v>8.5575772294381614E-3</v>
      </c>
    </row>
    <row r="379" spans="1:5" x14ac:dyDescent="0.35">
      <c r="A379" s="9">
        <v>45475</v>
      </c>
      <c r="B379" s="10">
        <v>109</v>
      </c>
      <c r="C379" s="11">
        <v>79552.89</v>
      </c>
      <c r="D379" s="14">
        <f t="shared" si="10"/>
        <v>-9.2710416287947288E-3</v>
      </c>
      <c r="E379" s="14">
        <f t="shared" si="11"/>
        <v>9.2428314963158929E-3</v>
      </c>
    </row>
    <row r="380" spans="1:5" x14ac:dyDescent="0.35">
      <c r="A380" s="9">
        <v>45474</v>
      </c>
      <c r="B380" s="10">
        <v>110.02</v>
      </c>
      <c r="C380" s="11">
        <v>78824.33</v>
      </c>
      <c r="D380" s="14">
        <f t="shared" si="10"/>
        <v>1.3168800073671541E-2</v>
      </c>
      <c r="E380" s="14">
        <f t="shared" si="11"/>
        <v>4.8361296888926363E-3</v>
      </c>
    </row>
    <row r="381" spans="1:5" x14ac:dyDescent="0.35">
      <c r="A381" s="9">
        <v>45471</v>
      </c>
      <c r="B381" s="10">
        <v>108.59</v>
      </c>
      <c r="C381" s="11">
        <v>78444.960000000006</v>
      </c>
      <c r="D381" s="14">
        <f t="shared" si="10"/>
        <v>-1.7285067873303136E-2</v>
      </c>
      <c r="E381" s="14">
        <f t="shared" si="11"/>
        <v>-1.0606374139242069E-3</v>
      </c>
    </row>
    <row r="382" spans="1:5" x14ac:dyDescent="0.35">
      <c r="A382" s="9">
        <v>45470</v>
      </c>
      <c r="B382" s="10">
        <v>110.5</v>
      </c>
      <c r="C382" s="11">
        <v>78528.25</v>
      </c>
      <c r="D382" s="14">
        <f t="shared" si="10"/>
        <v>4.5454545454545452E-3</v>
      </c>
      <c r="E382" s="14">
        <f t="shared" si="11"/>
        <v>3.2270572010581304E-3</v>
      </c>
    </row>
    <row r="383" spans="1:5" x14ac:dyDescent="0.35">
      <c r="A383" s="9">
        <v>45469</v>
      </c>
      <c r="B383" s="10">
        <v>110</v>
      </c>
      <c r="C383" s="11">
        <v>78275.649999999994</v>
      </c>
      <c r="D383" s="14">
        <f t="shared" si="10"/>
        <v>-9.0090090090090089E-3</v>
      </c>
      <c r="E383" s="14">
        <f t="shared" si="11"/>
        <v>4.2990442206100139E-3</v>
      </c>
    </row>
    <row r="384" spans="1:5" x14ac:dyDescent="0.35">
      <c r="A384" s="9">
        <v>45468</v>
      </c>
      <c r="B384" s="10">
        <v>111</v>
      </c>
      <c r="C384" s="11">
        <v>77940.58</v>
      </c>
      <c r="D384" s="14">
        <f t="shared" si="10"/>
        <v>-3.5906642728905356E-3</v>
      </c>
      <c r="E384" s="14">
        <f t="shared" si="11"/>
        <v>-3.7263476245684834E-3</v>
      </c>
    </row>
    <row r="385" spans="1:5" x14ac:dyDescent="0.35">
      <c r="A385" s="9">
        <v>45467</v>
      </c>
      <c r="B385" s="10">
        <v>111.4</v>
      </c>
      <c r="C385" s="11">
        <v>78232.100000000006</v>
      </c>
      <c r="D385" s="14">
        <f t="shared" si="10"/>
        <v>3.6036036036036548E-3</v>
      </c>
      <c r="E385" s="14">
        <f t="shared" si="11"/>
        <v>-7.3389976385123271E-3</v>
      </c>
    </row>
    <row r="386" spans="1:5" x14ac:dyDescent="0.35">
      <c r="A386" s="9">
        <v>45464</v>
      </c>
      <c r="B386" s="10">
        <v>111</v>
      </c>
      <c r="C386" s="11">
        <v>78810.490000000005</v>
      </c>
      <c r="D386" s="14">
        <f t="shared" si="10"/>
        <v>1.7508479237326947E-2</v>
      </c>
      <c r="E386" s="14">
        <f t="shared" si="11"/>
        <v>1.1370337606397239E-4</v>
      </c>
    </row>
    <row r="387" spans="1:5" x14ac:dyDescent="0.35">
      <c r="A387" s="9">
        <v>45463</v>
      </c>
      <c r="B387" s="10">
        <v>109.09</v>
      </c>
      <c r="C387" s="11">
        <v>78801.53</v>
      </c>
      <c r="D387" s="14">
        <f t="shared" si="10"/>
        <v>8.3854942871336283E-2</v>
      </c>
      <c r="E387" s="14">
        <f t="shared" si="11"/>
        <v>2.7308671711766701E-2</v>
      </c>
    </row>
    <row r="388" spans="1:5" x14ac:dyDescent="0.35">
      <c r="A388" s="9">
        <v>45457</v>
      </c>
      <c r="B388" s="10">
        <v>100.65</v>
      </c>
      <c r="C388" s="11">
        <v>76706.77</v>
      </c>
      <c r="D388" s="14">
        <f t="shared" si="10"/>
        <v>6.5000000000000569E-3</v>
      </c>
      <c r="E388" s="14">
        <f t="shared" si="11"/>
        <v>6.5427376805843439E-3</v>
      </c>
    </row>
    <row r="389" spans="1:5" x14ac:dyDescent="0.35">
      <c r="A389" s="9">
        <v>45456</v>
      </c>
      <c r="B389" s="10">
        <v>100</v>
      </c>
      <c r="C389" s="11">
        <v>76208.160000000003</v>
      </c>
      <c r="D389" s="14">
        <f t="shared" ref="D389:D452" si="12">(B389-B390)/B390</f>
        <v>5.0251256281407036E-3</v>
      </c>
      <c r="E389" s="14">
        <f t="shared" ref="E389:E452" si="13">(C389-C390)/C390</f>
        <v>4.6852340803789513E-2</v>
      </c>
    </row>
    <row r="390" spans="1:5" x14ac:dyDescent="0.35">
      <c r="A390" s="9">
        <v>45455</v>
      </c>
      <c r="B390" s="10">
        <v>99.5</v>
      </c>
      <c r="C390" s="11">
        <v>72797.429999999993</v>
      </c>
      <c r="D390" s="14">
        <f t="shared" si="12"/>
        <v>5.0505050505050509E-3</v>
      </c>
      <c r="E390" s="14">
        <f t="shared" si="13"/>
        <v>2.8646020243424737E-3</v>
      </c>
    </row>
    <row r="391" spans="1:5" x14ac:dyDescent="0.35">
      <c r="A391" s="9">
        <v>45454</v>
      </c>
      <c r="B391" s="10">
        <v>99</v>
      </c>
      <c r="C391" s="11">
        <v>72589.490000000005</v>
      </c>
      <c r="D391" s="14">
        <f t="shared" si="12"/>
        <v>-5.0251256281407036E-3</v>
      </c>
      <c r="E391" s="14">
        <f t="shared" si="13"/>
        <v>-9.0518338198691279E-3</v>
      </c>
    </row>
    <row r="392" spans="1:5" x14ac:dyDescent="0.35">
      <c r="A392" s="9">
        <v>45453</v>
      </c>
      <c r="B392" s="10">
        <v>99.5</v>
      </c>
      <c r="C392" s="11">
        <v>73252.56</v>
      </c>
      <c r="D392" s="14">
        <f t="shared" si="12"/>
        <v>1.5306122448979591E-2</v>
      </c>
      <c r="E392" s="14">
        <f t="shared" si="13"/>
        <v>-6.7990870192567998E-3</v>
      </c>
    </row>
    <row r="393" spans="1:5" x14ac:dyDescent="0.35">
      <c r="A393" s="9">
        <v>45450</v>
      </c>
      <c r="B393" s="10">
        <v>98</v>
      </c>
      <c r="C393" s="11">
        <v>73754.02</v>
      </c>
      <c r="D393" s="14">
        <f t="shared" si="12"/>
        <v>-9.1001011122346376E-3</v>
      </c>
      <c r="E393" s="14">
        <f t="shared" si="13"/>
        <v>-1.4744879467953539E-3</v>
      </c>
    </row>
    <row r="394" spans="1:5" x14ac:dyDescent="0.35">
      <c r="A394" s="9">
        <v>45449</v>
      </c>
      <c r="B394" s="10">
        <v>98.9</v>
      </c>
      <c r="C394" s="11">
        <v>73862.929999999993</v>
      </c>
      <c r="D394" s="14">
        <f t="shared" si="12"/>
        <v>-1.0101010101009526E-3</v>
      </c>
      <c r="E394" s="14">
        <f t="shared" si="13"/>
        <v>-4.8034585008996204E-3</v>
      </c>
    </row>
    <row r="395" spans="1:5" x14ac:dyDescent="0.35">
      <c r="A395" s="9">
        <v>45448</v>
      </c>
      <c r="B395" s="10">
        <v>99</v>
      </c>
      <c r="C395" s="11">
        <v>74219.44</v>
      </c>
      <c r="D395" s="14">
        <f t="shared" si="12"/>
        <v>9.894930123431591E-3</v>
      </c>
      <c r="E395" s="14">
        <f t="shared" si="13"/>
        <v>-5.9895541062102032E-3</v>
      </c>
    </row>
    <row r="396" spans="1:5" x14ac:dyDescent="0.35">
      <c r="A396" s="9">
        <v>45447</v>
      </c>
      <c r="B396" s="10">
        <v>98.03</v>
      </c>
      <c r="C396" s="11">
        <v>74666.66</v>
      </c>
      <c r="D396" s="14">
        <f t="shared" si="12"/>
        <v>-4.7715736040609023E-3</v>
      </c>
      <c r="E396" s="14">
        <f t="shared" si="13"/>
        <v>-1.2022452850310953E-2</v>
      </c>
    </row>
    <row r="397" spans="1:5" x14ac:dyDescent="0.35">
      <c r="A397" s="9">
        <v>45446</v>
      </c>
      <c r="B397" s="10">
        <v>98.5</v>
      </c>
      <c r="C397" s="11">
        <v>75575.259999999995</v>
      </c>
      <c r="D397" s="14">
        <f t="shared" si="12"/>
        <v>0</v>
      </c>
      <c r="E397" s="14">
        <f t="shared" si="13"/>
        <v>-3.996126437957128E-3</v>
      </c>
    </row>
    <row r="398" spans="1:5" x14ac:dyDescent="0.35">
      <c r="A398" s="9">
        <v>45443</v>
      </c>
      <c r="B398" s="10">
        <v>98.5</v>
      </c>
      <c r="C398" s="11">
        <v>75878.48</v>
      </c>
      <c r="D398" s="14">
        <f t="shared" si="12"/>
        <v>-4.8494645382906034E-3</v>
      </c>
      <c r="E398" s="14">
        <f t="shared" si="13"/>
        <v>1.3359843970441574E-2</v>
      </c>
    </row>
    <row r="399" spans="1:5" x14ac:dyDescent="0.35">
      <c r="A399" s="9">
        <v>45442</v>
      </c>
      <c r="B399" s="10">
        <v>98.98</v>
      </c>
      <c r="C399" s="11">
        <v>74878.12</v>
      </c>
      <c r="D399" s="14">
        <f t="shared" si="12"/>
        <v>-4.2253521126760733E-3</v>
      </c>
      <c r="E399" s="14">
        <f t="shared" si="13"/>
        <v>5.5881971716924045E-4</v>
      </c>
    </row>
    <row r="400" spans="1:5" x14ac:dyDescent="0.35">
      <c r="A400" s="9">
        <v>45441</v>
      </c>
      <c r="B400" s="10">
        <v>99.4</v>
      </c>
      <c r="C400" s="11">
        <v>74836.3</v>
      </c>
      <c r="D400" s="14">
        <f t="shared" si="12"/>
        <v>4.3447509346267238E-3</v>
      </c>
      <c r="E400" s="14">
        <f t="shared" si="13"/>
        <v>-9.0202945039619606E-3</v>
      </c>
    </row>
    <row r="401" spans="1:5" x14ac:dyDescent="0.35">
      <c r="A401" s="9">
        <v>45439</v>
      </c>
      <c r="B401" s="10">
        <v>98.97</v>
      </c>
      <c r="C401" s="11">
        <v>75517.490000000005</v>
      </c>
      <c r="D401" s="14">
        <f t="shared" si="12"/>
        <v>1.8220467658669156E-3</v>
      </c>
      <c r="E401" s="14">
        <f t="shared" si="13"/>
        <v>-6.1270251887788167E-3</v>
      </c>
    </row>
    <row r="402" spans="1:5" x14ac:dyDescent="0.35">
      <c r="A402" s="9">
        <v>45436</v>
      </c>
      <c r="B402" s="10">
        <v>98.79</v>
      </c>
      <c r="C402" s="11">
        <v>75983.039999999994</v>
      </c>
      <c r="D402" s="14">
        <f t="shared" si="12"/>
        <v>8.0612244897959821E-3</v>
      </c>
      <c r="E402" s="14">
        <f t="shared" si="13"/>
        <v>1.1563284677372981E-2</v>
      </c>
    </row>
    <row r="403" spans="1:5" x14ac:dyDescent="0.35">
      <c r="A403" s="9">
        <v>45435</v>
      </c>
      <c r="B403" s="10">
        <v>98</v>
      </c>
      <c r="C403" s="11">
        <v>75114.47</v>
      </c>
      <c r="D403" s="14">
        <f t="shared" si="12"/>
        <v>-2.0366598778004362E-3</v>
      </c>
      <c r="E403" s="14">
        <f t="shared" si="13"/>
        <v>2.1052162536036208E-3</v>
      </c>
    </row>
    <row r="404" spans="1:5" x14ac:dyDescent="0.35">
      <c r="A404" s="9">
        <v>45434</v>
      </c>
      <c r="B404" s="10">
        <v>98.2</v>
      </c>
      <c r="C404" s="11">
        <v>74956.67</v>
      </c>
      <c r="D404" s="14">
        <f t="shared" si="12"/>
        <v>-3.0456852791877886E-3</v>
      </c>
      <c r="E404" s="14">
        <f t="shared" si="13"/>
        <v>-3.3254984890323811E-3</v>
      </c>
    </row>
    <row r="405" spans="1:5" x14ac:dyDescent="0.35">
      <c r="A405" s="9">
        <v>45433</v>
      </c>
      <c r="B405" s="10">
        <v>98.5</v>
      </c>
      <c r="C405" s="11">
        <v>75206.77</v>
      </c>
      <c r="D405" s="14">
        <f t="shared" si="12"/>
        <v>2.5445292620865142E-3</v>
      </c>
      <c r="E405" s="14">
        <f t="shared" si="13"/>
        <v>1.635102019072027E-3</v>
      </c>
    </row>
    <row r="406" spans="1:5" x14ac:dyDescent="0.35">
      <c r="A406" s="9">
        <v>45432</v>
      </c>
      <c r="B406" s="10">
        <v>98.25</v>
      </c>
      <c r="C406" s="11">
        <v>75084</v>
      </c>
      <c r="D406" s="14">
        <f t="shared" si="12"/>
        <v>1.2886597938144329E-2</v>
      </c>
      <c r="E406" s="14">
        <f t="shared" si="13"/>
        <v>-3.429014359122138E-3</v>
      </c>
    </row>
    <row r="407" spans="1:5" x14ac:dyDescent="0.35">
      <c r="A407" s="9">
        <v>45429</v>
      </c>
      <c r="B407" s="10">
        <v>97</v>
      </c>
      <c r="C407" s="11">
        <v>75342.350000000006</v>
      </c>
      <c r="D407" s="14">
        <f t="shared" si="12"/>
        <v>-1.7522536209865328E-2</v>
      </c>
      <c r="E407" s="14">
        <f t="shared" si="13"/>
        <v>5.4937428850926088E-3</v>
      </c>
    </row>
    <row r="408" spans="1:5" x14ac:dyDescent="0.35">
      <c r="A408" s="9">
        <v>45428</v>
      </c>
      <c r="B408" s="10">
        <v>98.73</v>
      </c>
      <c r="C408" s="11">
        <v>74930.7</v>
      </c>
      <c r="D408" s="14">
        <f t="shared" si="12"/>
        <v>4.6809809707948303E-3</v>
      </c>
      <c r="E408" s="14">
        <f t="shared" si="13"/>
        <v>3.5722713951225368E-3</v>
      </c>
    </row>
    <row r="409" spans="1:5" x14ac:dyDescent="0.35">
      <c r="A409" s="9">
        <v>45427</v>
      </c>
      <c r="B409" s="10">
        <v>98.27</v>
      </c>
      <c r="C409" s="11">
        <v>74663.98</v>
      </c>
      <c r="D409" s="14">
        <f t="shared" si="12"/>
        <v>2.7551020408162858E-3</v>
      </c>
      <c r="E409" s="14">
        <f t="shared" si="13"/>
        <v>1.7816701974031756E-3</v>
      </c>
    </row>
    <row r="410" spans="1:5" x14ac:dyDescent="0.35">
      <c r="A410" s="9">
        <v>45426</v>
      </c>
      <c r="B410" s="10">
        <v>98</v>
      </c>
      <c r="C410" s="11">
        <v>74531.19</v>
      </c>
      <c r="D410" s="14">
        <f t="shared" si="12"/>
        <v>0</v>
      </c>
      <c r="E410" s="14">
        <f t="shared" si="13"/>
        <v>9.9199028280964607E-3</v>
      </c>
    </row>
    <row r="411" spans="1:5" x14ac:dyDescent="0.35">
      <c r="A411" s="9">
        <v>45425</v>
      </c>
      <c r="B411" s="10">
        <v>98</v>
      </c>
      <c r="C411" s="11">
        <v>73799.11</v>
      </c>
      <c r="D411" s="14">
        <f t="shared" si="12"/>
        <v>1.5544041450777202E-2</v>
      </c>
      <c r="E411" s="14">
        <f t="shared" si="13"/>
        <v>9.764043483317492E-3</v>
      </c>
    </row>
    <row r="412" spans="1:5" x14ac:dyDescent="0.35">
      <c r="A412" s="9">
        <v>45422</v>
      </c>
      <c r="B412" s="10">
        <v>96.5</v>
      </c>
      <c r="C412" s="11">
        <v>73085.5</v>
      </c>
      <c r="D412" s="14">
        <f t="shared" si="12"/>
        <v>5.208333333333333E-3</v>
      </c>
      <c r="E412" s="14">
        <f t="shared" si="13"/>
        <v>5.8830370482004001E-3</v>
      </c>
    </row>
    <row r="413" spans="1:5" x14ac:dyDescent="0.35">
      <c r="A413" s="9">
        <v>45421</v>
      </c>
      <c r="B413" s="10">
        <v>96</v>
      </c>
      <c r="C413" s="11">
        <v>72658.05</v>
      </c>
      <c r="D413" s="14">
        <f t="shared" si="12"/>
        <v>5.7621791513881313E-3</v>
      </c>
      <c r="E413" s="14">
        <f t="shared" si="13"/>
        <v>7.744984905336522E-4</v>
      </c>
    </row>
    <row r="414" spans="1:5" x14ac:dyDescent="0.35">
      <c r="A414" s="9">
        <v>45420</v>
      </c>
      <c r="B414" s="10">
        <v>95.45</v>
      </c>
      <c r="C414" s="11">
        <v>72601.820000000007</v>
      </c>
      <c r="D414" s="14">
        <f t="shared" si="12"/>
        <v>1.0052910052910083E-2</v>
      </c>
      <c r="E414" s="14">
        <f t="shared" si="13"/>
        <v>-2.1904531536037081E-3</v>
      </c>
    </row>
    <row r="415" spans="1:5" x14ac:dyDescent="0.35">
      <c r="A415" s="9">
        <v>45419</v>
      </c>
      <c r="B415" s="10">
        <v>94.5</v>
      </c>
      <c r="C415" s="11">
        <v>72761.2</v>
      </c>
      <c r="D415" s="14">
        <f t="shared" si="12"/>
        <v>5.3191489361702126E-3</v>
      </c>
      <c r="E415" s="14">
        <f t="shared" si="13"/>
        <v>-4.177876385444483E-5</v>
      </c>
    </row>
    <row r="416" spans="1:5" x14ac:dyDescent="0.35">
      <c r="A416" s="9">
        <v>45418</v>
      </c>
      <c r="B416" s="10">
        <v>94</v>
      </c>
      <c r="C416" s="11">
        <v>72764.240000000005</v>
      </c>
      <c r="D416" s="14">
        <f t="shared" si="12"/>
        <v>7.5026795284030313E-3</v>
      </c>
      <c r="E416" s="14">
        <f t="shared" si="13"/>
        <v>1.1990611121318015E-2</v>
      </c>
    </row>
    <row r="417" spans="1:5" x14ac:dyDescent="0.35">
      <c r="A417" s="9">
        <v>45415</v>
      </c>
      <c r="B417" s="10">
        <v>93.3</v>
      </c>
      <c r="C417" s="11">
        <v>71902.09</v>
      </c>
      <c r="D417" s="14">
        <f t="shared" si="12"/>
        <v>-4.3076923076923103E-2</v>
      </c>
      <c r="E417" s="14">
        <f t="shared" si="13"/>
        <v>1.7612391243183288E-2</v>
      </c>
    </row>
    <row r="418" spans="1:5" x14ac:dyDescent="0.35">
      <c r="A418" s="9">
        <v>45414</v>
      </c>
      <c r="B418" s="10">
        <v>97.5</v>
      </c>
      <c r="C418" s="11">
        <v>70657.64</v>
      </c>
      <c r="D418" s="14">
        <f t="shared" si="12"/>
        <v>-1.5151515151515152E-2</v>
      </c>
      <c r="E418" s="14">
        <f t="shared" si="13"/>
        <v>-6.2573001952813713E-3</v>
      </c>
    </row>
    <row r="419" spans="1:5" x14ac:dyDescent="0.35">
      <c r="A419" s="9">
        <v>45412</v>
      </c>
      <c r="B419" s="10">
        <v>99</v>
      </c>
      <c r="C419" s="11">
        <v>71102.55</v>
      </c>
      <c r="D419" s="14">
        <f t="shared" si="12"/>
        <v>3.5478966041560494E-3</v>
      </c>
      <c r="E419" s="14">
        <f t="shared" si="13"/>
        <v>-8.2638922112173736E-3</v>
      </c>
    </row>
    <row r="420" spans="1:5" x14ac:dyDescent="0.35">
      <c r="A420" s="9">
        <v>45411</v>
      </c>
      <c r="B420" s="10">
        <v>98.65</v>
      </c>
      <c r="C420" s="11">
        <v>71695.03</v>
      </c>
      <c r="D420" s="14">
        <f t="shared" si="12"/>
        <v>1.1379946688538029E-2</v>
      </c>
      <c r="E420" s="14">
        <f t="shared" si="13"/>
        <v>-1.4403084843506758E-2</v>
      </c>
    </row>
    <row r="421" spans="1:5" x14ac:dyDescent="0.35">
      <c r="A421" s="9">
        <v>45408</v>
      </c>
      <c r="B421" s="10">
        <v>97.54</v>
      </c>
      <c r="C421" s="11">
        <v>72742.75</v>
      </c>
      <c r="D421" s="14">
        <f t="shared" si="12"/>
        <v>-4.6938775510203447E-3</v>
      </c>
      <c r="E421" s="14">
        <f t="shared" si="13"/>
        <v>1.0717451654407248E-2</v>
      </c>
    </row>
    <row r="422" spans="1:5" x14ac:dyDescent="0.35">
      <c r="A422" s="9">
        <v>45407</v>
      </c>
      <c r="B422" s="10">
        <v>98</v>
      </c>
      <c r="C422" s="11">
        <v>71971.399999999994</v>
      </c>
      <c r="D422" s="14">
        <f t="shared" si="12"/>
        <v>2.044989775051154E-3</v>
      </c>
      <c r="E422" s="14">
        <f t="shared" si="13"/>
        <v>-1.1171115705640093E-3</v>
      </c>
    </row>
    <row r="423" spans="1:5" x14ac:dyDescent="0.35">
      <c r="A423" s="9">
        <v>45406</v>
      </c>
      <c r="B423" s="10">
        <v>97.8</v>
      </c>
      <c r="C423" s="11">
        <v>72051.89</v>
      </c>
      <c r="D423" s="14">
        <f t="shared" si="12"/>
        <v>3.4920634920634894E-2</v>
      </c>
      <c r="E423" s="14">
        <f t="shared" si="13"/>
        <v>9.7041161074621542E-3</v>
      </c>
    </row>
    <row r="424" spans="1:5" x14ac:dyDescent="0.35">
      <c r="A424" s="9">
        <v>45405</v>
      </c>
      <c r="B424" s="10">
        <v>94.5</v>
      </c>
      <c r="C424" s="11">
        <v>71359.41</v>
      </c>
      <c r="D424" s="14">
        <f t="shared" si="12"/>
        <v>5.3191489361702126E-3</v>
      </c>
      <c r="E424" s="14">
        <f t="shared" si="13"/>
        <v>-1.036629053107646E-3</v>
      </c>
    </row>
    <row r="425" spans="1:5" x14ac:dyDescent="0.35">
      <c r="A425" s="9">
        <v>45404</v>
      </c>
      <c r="B425" s="10">
        <v>94</v>
      </c>
      <c r="C425" s="11">
        <v>71433.460000000006</v>
      </c>
      <c r="D425" s="14">
        <f t="shared" si="12"/>
        <v>2.1628083903923428E-2</v>
      </c>
      <c r="E425" s="14">
        <f t="shared" si="13"/>
        <v>7.3834542144328545E-3</v>
      </c>
    </row>
    <row r="426" spans="1:5" x14ac:dyDescent="0.35">
      <c r="A426" s="9">
        <v>45401</v>
      </c>
      <c r="B426" s="10">
        <v>92.01</v>
      </c>
      <c r="C426" s="11">
        <v>70909.899999999994</v>
      </c>
      <c r="D426" s="14">
        <f t="shared" si="12"/>
        <v>1.6685082872928234E-2</v>
      </c>
      <c r="E426" s="14">
        <f t="shared" si="13"/>
        <v>8.8174554261679864E-3</v>
      </c>
    </row>
    <row r="427" spans="1:5" x14ac:dyDescent="0.35">
      <c r="A427" s="9">
        <v>45400</v>
      </c>
      <c r="B427" s="10">
        <v>90.5</v>
      </c>
      <c r="C427" s="11">
        <v>70290.12</v>
      </c>
      <c r="D427" s="14">
        <f t="shared" si="12"/>
        <v>0</v>
      </c>
      <c r="E427" s="14">
        <f t="shared" si="13"/>
        <v>-6.1421812591829362E-4</v>
      </c>
    </row>
    <row r="428" spans="1:5" x14ac:dyDescent="0.35">
      <c r="A428" s="9">
        <v>45399</v>
      </c>
      <c r="B428" s="10">
        <v>90.5</v>
      </c>
      <c r="C428" s="11">
        <v>70333.320000000007</v>
      </c>
      <c r="D428" s="14">
        <f t="shared" si="12"/>
        <v>2.0293122886133001E-2</v>
      </c>
      <c r="E428" s="14">
        <f t="shared" si="13"/>
        <v>-2.1329766360032453E-3</v>
      </c>
    </row>
    <row r="429" spans="1:5" x14ac:dyDescent="0.35">
      <c r="A429" s="9">
        <v>45398</v>
      </c>
      <c r="B429" s="10">
        <v>88.7</v>
      </c>
      <c r="C429" s="11">
        <v>70483.66</v>
      </c>
      <c r="D429" s="14">
        <f t="shared" si="12"/>
        <v>2.2478386167147008E-2</v>
      </c>
      <c r="E429" s="14">
        <f t="shared" si="13"/>
        <v>-8.6356740659591783E-4</v>
      </c>
    </row>
    <row r="430" spans="1:5" x14ac:dyDescent="0.35">
      <c r="A430" s="9">
        <v>45397</v>
      </c>
      <c r="B430" s="10">
        <v>86.75</v>
      </c>
      <c r="C430" s="11">
        <v>70544.58</v>
      </c>
      <c r="D430" s="14">
        <f t="shared" si="12"/>
        <v>-1.977401129943503E-2</v>
      </c>
      <c r="E430" s="14">
        <f t="shared" si="13"/>
        <v>3.2690167862433439E-3</v>
      </c>
    </row>
    <row r="431" spans="1:5" x14ac:dyDescent="0.35">
      <c r="A431" s="9">
        <v>45391</v>
      </c>
      <c r="B431" s="10">
        <v>88.5</v>
      </c>
      <c r="C431" s="11">
        <v>70314.720000000001</v>
      </c>
      <c r="D431" s="14">
        <f t="shared" si="12"/>
        <v>2.3121387283236993E-2</v>
      </c>
      <c r="E431" s="14">
        <f t="shared" si="13"/>
        <v>9.9788868111011769E-3</v>
      </c>
    </row>
    <row r="432" spans="1:5" x14ac:dyDescent="0.35">
      <c r="A432" s="9">
        <v>45390</v>
      </c>
      <c r="B432" s="10">
        <v>86.5</v>
      </c>
      <c r="C432" s="11">
        <v>69619.990000000005</v>
      </c>
      <c r="D432" s="14">
        <f t="shared" si="12"/>
        <v>-6.8886337543053316E-3</v>
      </c>
      <c r="E432" s="14">
        <f t="shared" si="13"/>
        <v>1.7586475130808646E-2</v>
      </c>
    </row>
    <row r="433" spans="1:5" x14ac:dyDescent="0.35">
      <c r="A433" s="9">
        <v>45386</v>
      </c>
      <c r="B433" s="10">
        <v>87.1</v>
      </c>
      <c r="C433" s="11">
        <v>68416.78</v>
      </c>
      <c r="D433" s="14">
        <f t="shared" si="12"/>
        <v>7.0528384784368072E-3</v>
      </c>
      <c r="E433" s="14">
        <f t="shared" si="13"/>
        <v>9.7517505450437376E-3</v>
      </c>
    </row>
    <row r="434" spans="1:5" x14ac:dyDescent="0.35">
      <c r="A434" s="9">
        <v>45385</v>
      </c>
      <c r="B434" s="10">
        <v>86.49</v>
      </c>
      <c r="C434" s="11">
        <v>67756.039999999994</v>
      </c>
      <c r="D434" s="14">
        <f t="shared" si="12"/>
        <v>6.8684516880091872E-3</v>
      </c>
      <c r="E434" s="14">
        <f t="shared" si="13"/>
        <v>1.3003866563925071E-2</v>
      </c>
    </row>
    <row r="435" spans="1:5" x14ac:dyDescent="0.35">
      <c r="A435" s="9">
        <v>45384</v>
      </c>
      <c r="B435" s="10">
        <v>85.9</v>
      </c>
      <c r="C435" s="11">
        <v>66886.259999999995</v>
      </c>
      <c r="D435" s="14">
        <f t="shared" si="12"/>
        <v>1.0588235294117714E-2</v>
      </c>
      <c r="E435" s="14">
        <f t="shared" si="13"/>
        <v>1.3464813630449666E-3</v>
      </c>
    </row>
    <row r="436" spans="1:5" x14ac:dyDescent="0.35">
      <c r="A436" s="9">
        <v>45383</v>
      </c>
      <c r="B436" s="10">
        <v>85</v>
      </c>
      <c r="C436" s="11">
        <v>66796.320000000007</v>
      </c>
      <c r="D436" s="14">
        <f t="shared" si="12"/>
        <v>-1.1627906976744186E-2</v>
      </c>
      <c r="E436" s="14">
        <f t="shared" si="13"/>
        <v>-3.1160310012175729E-3</v>
      </c>
    </row>
    <row r="437" spans="1:5" x14ac:dyDescent="0.35">
      <c r="A437" s="9">
        <v>45380</v>
      </c>
      <c r="B437" s="10">
        <v>86</v>
      </c>
      <c r="C437" s="11">
        <v>67005.11</v>
      </c>
      <c r="D437" s="14">
        <f t="shared" si="12"/>
        <v>1.1764705882352941E-2</v>
      </c>
      <c r="E437" s="14">
        <f t="shared" si="13"/>
        <v>-2.0405968712336573E-3</v>
      </c>
    </row>
    <row r="438" spans="1:5" x14ac:dyDescent="0.35">
      <c r="A438" s="9">
        <v>45379</v>
      </c>
      <c r="B438" s="10">
        <v>85</v>
      </c>
      <c r="C438" s="11">
        <v>67142.12</v>
      </c>
      <c r="D438" s="14">
        <f t="shared" si="12"/>
        <v>-2.2988505747126436E-2</v>
      </c>
      <c r="E438" s="14">
        <f t="shared" si="13"/>
        <v>8.9308750899166119E-3</v>
      </c>
    </row>
    <row r="439" spans="1:5" x14ac:dyDescent="0.35">
      <c r="A439" s="9">
        <v>45378</v>
      </c>
      <c r="B439" s="10">
        <v>87</v>
      </c>
      <c r="C439" s="11">
        <v>66547.789999999994</v>
      </c>
      <c r="D439" s="14">
        <f t="shared" si="12"/>
        <v>1.1627906976744186E-2</v>
      </c>
      <c r="E439" s="14">
        <f t="shared" si="13"/>
        <v>9.7336702966696765E-3</v>
      </c>
    </row>
    <row r="440" spans="1:5" x14ac:dyDescent="0.35">
      <c r="A440" s="9">
        <v>45377</v>
      </c>
      <c r="B440" s="10">
        <v>86</v>
      </c>
      <c r="C440" s="11">
        <v>65906.28</v>
      </c>
      <c r="D440" s="14">
        <f t="shared" si="12"/>
        <v>7.0257611241217131E-3</v>
      </c>
      <c r="E440" s="14">
        <f t="shared" si="13"/>
        <v>5.8088702668343982E-3</v>
      </c>
    </row>
    <row r="441" spans="1:5" x14ac:dyDescent="0.35">
      <c r="A441" s="9">
        <v>45376</v>
      </c>
      <c r="B441" s="10">
        <v>85.4</v>
      </c>
      <c r="C441" s="11">
        <v>65525.65</v>
      </c>
      <c r="D441" s="14">
        <f t="shared" si="12"/>
        <v>2.1121802393805071E-3</v>
      </c>
      <c r="E441" s="14">
        <f t="shared" si="13"/>
        <v>5.7376745979353105E-3</v>
      </c>
    </row>
    <row r="442" spans="1:5" x14ac:dyDescent="0.35">
      <c r="A442" s="9">
        <v>45373</v>
      </c>
      <c r="B442" s="10">
        <v>85.22</v>
      </c>
      <c r="C442" s="11">
        <v>65151.83</v>
      </c>
      <c r="D442" s="14">
        <f t="shared" si="12"/>
        <v>-4.6915317851285775E-4</v>
      </c>
      <c r="E442" s="14">
        <f t="shared" si="13"/>
        <v>-4.0596232806562127E-3</v>
      </c>
    </row>
    <row r="443" spans="1:5" x14ac:dyDescent="0.35">
      <c r="A443" s="9">
        <v>45372</v>
      </c>
      <c r="B443" s="10">
        <v>85.26</v>
      </c>
      <c r="C443" s="11">
        <v>65417.4</v>
      </c>
      <c r="D443" s="14">
        <f t="shared" si="12"/>
        <v>-9.1807088901800348E-3</v>
      </c>
      <c r="E443" s="14">
        <f t="shared" si="13"/>
        <v>-4.7829216274194297E-3</v>
      </c>
    </row>
    <row r="444" spans="1:5" x14ac:dyDescent="0.35">
      <c r="A444" s="9">
        <v>45371</v>
      </c>
      <c r="B444" s="10">
        <v>86.05</v>
      </c>
      <c r="C444" s="11">
        <v>65731.789999999994</v>
      </c>
      <c r="D444" s="14">
        <f t="shared" si="12"/>
        <v>5.8139534883717623E-4</v>
      </c>
      <c r="E444" s="14">
        <f t="shared" si="13"/>
        <v>3.4989450800425488E-3</v>
      </c>
    </row>
    <row r="445" spans="1:5" x14ac:dyDescent="0.35">
      <c r="A445" s="9">
        <v>45370</v>
      </c>
      <c r="B445" s="10">
        <v>86</v>
      </c>
      <c r="C445" s="11">
        <v>65502.6</v>
      </c>
      <c r="D445" s="14">
        <f t="shared" si="12"/>
        <v>-1.6918152720621901E-2</v>
      </c>
      <c r="E445" s="14">
        <f t="shared" si="13"/>
        <v>9.4326581806799866E-3</v>
      </c>
    </row>
    <row r="446" spans="1:5" x14ac:dyDescent="0.35">
      <c r="A446" s="9">
        <v>45369</v>
      </c>
      <c r="B446" s="10">
        <v>87.48</v>
      </c>
      <c r="C446" s="11">
        <v>64890.51</v>
      </c>
      <c r="D446" s="14">
        <f t="shared" si="12"/>
        <v>3.4305317324186547E-4</v>
      </c>
      <c r="E446" s="14">
        <f t="shared" si="13"/>
        <v>1.1423022574355078E-3</v>
      </c>
    </row>
    <row r="447" spans="1:5" x14ac:dyDescent="0.35">
      <c r="A447" s="9">
        <v>45366</v>
      </c>
      <c r="B447" s="10">
        <v>87.45</v>
      </c>
      <c r="C447" s="11">
        <v>64816.47</v>
      </c>
      <c r="D447" s="14">
        <f t="shared" si="12"/>
        <v>-5.7142857142853895E-4</v>
      </c>
      <c r="E447" s="14">
        <f t="shared" si="13"/>
        <v>1.1991392764601273E-2</v>
      </c>
    </row>
    <row r="448" spans="1:5" x14ac:dyDescent="0.35">
      <c r="A448" s="9">
        <v>45364</v>
      </c>
      <c r="B448" s="10">
        <v>87.5</v>
      </c>
      <c r="C448" s="11">
        <v>64048.44</v>
      </c>
      <c r="D448" s="14">
        <f t="shared" si="12"/>
        <v>4.5924225028703292E-3</v>
      </c>
      <c r="E448" s="14">
        <f t="shared" si="13"/>
        <v>-2.5957903627859033E-2</v>
      </c>
    </row>
    <row r="449" spans="1:5" x14ac:dyDescent="0.35">
      <c r="A449" s="9">
        <v>45362</v>
      </c>
      <c r="B449" s="10">
        <v>87.1</v>
      </c>
      <c r="C449" s="11">
        <v>65755.31</v>
      </c>
      <c r="D449" s="14">
        <f t="shared" si="12"/>
        <v>0</v>
      </c>
      <c r="E449" s="14">
        <f t="shared" si="13"/>
        <v>-5.8440192504573523E-4</v>
      </c>
    </row>
    <row r="450" spans="1:5" x14ac:dyDescent="0.35">
      <c r="A450" s="9">
        <v>45359</v>
      </c>
      <c r="B450" s="10">
        <v>87.1</v>
      </c>
      <c r="C450" s="11">
        <v>65793.759999999995</v>
      </c>
      <c r="D450" s="14">
        <f t="shared" si="12"/>
        <v>1.2790697674418539E-2</v>
      </c>
      <c r="E450" s="14">
        <f t="shared" si="13"/>
        <v>2.9064179751288888E-3</v>
      </c>
    </row>
    <row r="451" spans="1:5" x14ac:dyDescent="0.35">
      <c r="A451" s="9">
        <v>45357</v>
      </c>
      <c r="B451" s="10">
        <v>86</v>
      </c>
      <c r="C451" s="11">
        <v>65603.09</v>
      </c>
      <c r="D451" s="14">
        <f t="shared" si="12"/>
        <v>-5.7803468208092483E-3</v>
      </c>
      <c r="E451" s="14">
        <f t="shared" si="13"/>
        <v>-8.1530240210353261E-4</v>
      </c>
    </row>
    <row r="452" spans="1:5" x14ac:dyDescent="0.35">
      <c r="A452" s="9">
        <v>45356</v>
      </c>
      <c r="B452" s="10">
        <v>86.5</v>
      </c>
      <c r="C452" s="11">
        <v>65656.62</v>
      </c>
      <c r="D452" s="14">
        <f t="shared" si="12"/>
        <v>1.1459307764265715E-2</v>
      </c>
      <c r="E452" s="14">
        <f t="shared" si="13"/>
        <v>-1.05620238188697E-3</v>
      </c>
    </row>
    <row r="453" spans="1:5" x14ac:dyDescent="0.35">
      <c r="A453" s="9">
        <v>45355</v>
      </c>
      <c r="B453" s="10">
        <v>85.52</v>
      </c>
      <c r="C453" s="11">
        <v>65726.039999999994</v>
      </c>
      <c r="D453" s="14">
        <f t="shared" ref="D453:D516" si="14">(B453-B454)/B454</f>
        <v>-2.3744292237442906E-2</v>
      </c>
      <c r="E453" s="14">
        <f t="shared" ref="E453:E516" si="15">(C453-C454)/C454</f>
        <v>-3.4220482161726818E-3</v>
      </c>
    </row>
    <row r="454" spans="1:5" x14ac:dyDescent="0.35">
      <c r="A454" s="9">
        <v>45352</v>
      </c>
      <c r="B454" s="10">
        <v>87.6</v>
      </c>
      <c r="C454" s="11">
        <v>65951.73</v>
      </c>
      <c r="D454" s="14">
        <f t="shared" si="14"/>
        <v>1.0380622837370143E-2</v>
      </c>
      <c r="E454" s="14">
        <f t="shared" si="15"/>
        <v>9.5833660539979531E-3</v>
      </c>
    </row>
    <row r="455" spans="1:5" x14ac:dyDescent="0.35">
      <c r="A455" s="9">
        <v>45351</v>
      </c>
      <c r="B455" s="10">
        <v>86.7</v>
      </c>
      <c r="C455" s="11">
        <v>65325.69</v>
      </c>
      <c r="D455" s="14">
        <f t="shared" si="14"/>
        <v>8.1395348837209631E-3</v>
      </c>
      <c r="E455" s="14">
        <f t="shared" si="15"/>
        <v>2.5465496766658716E-2</v>
      </c>
    </row>
    <row r="456" spans="1:5" x14ac:dyDescent="0.35">
      <c r="A456" s="9">
        <v>45350</v>
      </c>
      <c r="B456" s="10">
        <v>86</v>
      </c>
      <c r="C456" s="11">
        <v>63703.45</v>
      </c>
      <c r="D456" s="14">
        <f t="shared" si="14"/>
        <v>-1.1494252873563218E-2</v>
      </c>
      <c r="E456" s="14">
        <f t="shared" si="15"/>
        <v>7.6614504160925825E-3</v>
      </c>
    </row>
    <row r="457" spans="1:5" x14ac:dyDescent="0.35">
      <c r="A457" s="9">
        <v>45349</v>
      </c>
      <c r="B457" s="10">
        <v>87</v>
      </c>
      <c r="C457" s="11">
        <v>63219.1</v>
      </c>
      <c r="D457" s="14">
        <f t="shared" si="14"/>
        <v>3.4602076124567146E-3</v>
      </c>
      <c r="E457" s="14">
        <f t="shared" si="15"/>
        <v>-1.3715934668363887E-3</v>
      </c>
    </row>
    <row r="458" spans="1:5" x14ac:dyDescent="0.35">
      <c r="A458" s="9">
        <v>45348</v>
      </c>
      <c r="B458" s="10">
        <v>86.7</v>
      </c>
      <c r="C458" s="11">
        <v>63305.93</v>
      </c>
      <c r="D458" s="14">
        <f t="shared" si="14"/>
        <v>-3.4482758620689329E-3</v>
      </c>
      <c r="E458" s="14">
        <f t="shared" si="15"/>
        <v>7.8023338706714419E-3</v>
      </c>
    </row>
    <row r="459" spans="1:5" x14ac:dyDescent="0.35">
      <c r="A459" s="9">
        <v>45345</v>
      </c>
      <c r="B459" s="10">
        <v>87</v>
      </c>
      <c r="C459" s="11">
        <v>62815.82</v>
      </c>
      <c r="D459" s="14">
        <f t="shared" si="14"/>
        <v>6.3620589936379075E-3</v>
      </c>
      <c r="E459" s="14">
        <f t="shared" si="15"/>
        <v>1.4560116444752592E-2</v>
      </c>
    </row>
    <row r="460" spans="1:5" x14ac:dyDescent="0.35">
      <c r="A460" s="9">
        <v>45344</v>
      </c>
      <c r="B460" s="10">
        <v>86.45</v>
      </c>
      <c r="C460" s="11">
        <v>61914.34</v>
      </c>
      <c r="D460" s="14">
        <f t="shared" si="14"/>
        <v>-6.3218390804597371E-3</v>
      </c>
      <c r="E460" s="14">
        <f t="shared" si="15"/>
        <v>5.769734349851314E-3</v>
      </c>
    </row>
    <row r="461" spans="1:5" x14ac:dyDescent="0.35">
      <c r="A461" s="9">
        <v>45343</v>
      </c>
      <c r="B461" s="10">
        <v>87</v>
      </c>
      <c r="C461" s="11">
        <v>61559.16</v>
      </c>
      <c r="D461" s="14">
        <f t="shared" si="14"/>
        <v>7.5275043427910334E-3</v>
      </c>
      <c r="E461" s="14">
        <f t="shared" si="15"/>
        <v>1.8108554742439591E-2</v>
      </c>
    </row>
    <row r="462" spans="1:5" x14ac:dyDescent="0.35">
      <c r="A462" s="9">
        <v>45342</v>
      </c>
      <c r="B462" s="10">
        <v>86.35</v>
      </c>
      <c r="C462" s="11">
        <v>60464.24</v>
      </c>
      <c r="D462" s="14">
        <f t="shared" si="14"/>
        <v>1.5882352941176403E-2</v>
      </c>
      <c r="E462" s="14">
        <f t="shared" si="15"/>
        <v>7.4264283262798192E-5</v>
      </c>
    </row>
    <row r="463" spans="1:5" x14ac:dyDescent="0.35">
      <c r="A463" s="9">
        <v>45341</v>
      </c>
      <c r="B463" s="10">
        <v>85</v>
      </c>
      <c r="C463" s="11">
        <v>60459.75</v>
      </c>
      <c r="D463" s="14">
        <f t="shared" si="14"/>
        <v>-1.151296662402599E-2</v>
      </c>
      <c r="E463" s="14">
        <f t="shared" si="15"/>
        <v>9.8005844374489063E-3</v>
      </c>
    </row>
    <row r="464" spans="1:5" x14ac:dyDescent="0.35">
      <c r="A464" s="9">
        <v>45338</v>
      </c>
      <c r="B464" s="10">
        <v>85.99</v>
      </c>
      <c r="C464" s="11">
        <v>59872.959999999999</v>
      </c>
      <c r="D464" s="14">
        <f t="shared" si="14"/>
        <v>-5.3209947946790967E-3</v>
      </c>
      <c r="E464" s="14">
        <f t="shared" si="15"/>
        <v>-1.8798736022219556E-2</v>
      </c>
    </row>
    <row r="465" spans="1:5" x14ac:dyDescent="0.35">
      <c r="A465" s="9">
        <v>45337</v>
      </c>
      <c r="B465" s="10">
        <v>86.45</v>
      </c>
      <c r="C465" s="11">
        <v>61020.06</v>
      </c>
      <c r="D465" s="14">
        <f t="shared" si="14"/>
        <v>5.2325581395349166E-3</v>
      </c>
      <c r="E465" s="14">
        <f t="shared" si="15"/>
        <v>-1.8241511707080351E-2</v>
      </c>
    </row>
    <row r="466" spans="1:5" x14ac:dyDescent="0.35">
      <c r="A466" s="9">
        <v>45336</v>
      </c>
      <c r="B466" s="10">
        <v>86</v>
      </c>
      <c r="C466" s="11">
        <v>62153.84</v>
      </c>
      <c r="D466" s="14">
        <f t="shared" si="14"/>
        <v>5.9656100128670621E-3</v>
      </c>
      <c r="E466" s="14">
        <f t="shared" si="15"/>
        <v>1.5138926612848238E-2</v>
      </c>
    </row>
    <row r="467" spans="1:5" x14ac:dyDescent="0.35">
      <c r="A467" s="9">
        <v>45335</v>
      </c>
      <c r="B467" s="10">
        <v>85.49</v>
      </c>
      <c r="C467" s="11">
        <v>61226.93</v>
      </c>
      <c r="D467" s="14">
        <f t="shared" si="14"/>
        <v>-5.9302325581395941E-3</v>
      </c>
      <c r="E467" s="14">
        <f t="shared" si="15"/>
        <v>2.6465103269744691E-3</v>
      </c>
    </row>
    <row r="468" spans="1:5" x14ac:dyDescent="0.35">
      <c r="A468" s="9">
        <v>45334</v>
      </c>
      <c r="B468" s="10">
        <v>86</v>
      </c>
      <c r="C468" s="11">
        <v>61065.32</v>
      </c>
      <c r="D468" s="14">
        <f t="shared" si="14"/>
        <v>-4.338153503893221E-2</v>
      </c>
      <c r="E468" s="14">
        <f t="shared" si="15"/>
        <v>-4.7994453717868951E-2</v>
      </c>
    </row>
    <row r="469" spans="1:5" x14ac:dyDescent="0.35">
      <c r="A469" s="9">
        <v>45329</v>
      </c>
      <c r="B469" s="10">
        <v>89.9</v>
      </c>
      <c r="C469" s="11">
        <v>64143.87</v>
      </c>
      <c r="D469" s="14">
        <f t="shared" si="14"/>
        <v>1.0112359550561861E-2</v>
      </c>
      <c r="E469" s="14">
        <f t="shared" si="15"/>
        <v>5.4052554412278722E-3</v>
      </c>
    </row>
    <row r="470" spans="1:5" x14ac:dyDescent="0.35">
      <c r="A470" s="9">
        <v>45328</v>
      </c>
      <c r="B470" s="10">
        <v>89</v>
      </c>
      <c r="C470" s="11">
        <v>63799.02</v>
      </c>
      <c r="D470" s="14">
        <f t="shared" si="14"/>
        <v>3.4883720930232558E-2</v>
      </c>
      <c r="E470" s="14">
        <f t="shared" si="15"/>
        <v>1.2635922271539137E-2</v>
      </c>
    </row>
    <row r="471" spans="1:5" x14ac:dyDescent="0.35">
      <c r="A471" s="9">
        <v>45324</v>
      </c>
      <c r="B471" s="10">
        <v>86</v>
      </c>
      <c r="C471" s="11">
        <v>63002.92</v>
      </c>
      <c r="D471" s="14">
        <f t="shared" si="14"/>
        <v>5.8479532163742687E-3</v>
      </c>
      <c r="E471" s="14">
        <f t="shared" si="15"/>
        <v>9.7634794772680777E-3</v>
      </c>
    </row>
    <row r="472" spans="1:5" x14ac:dyDescent="0.35">
      <c r="A472" s="9">
        <v>45323</v>
      </c>
      <c r="B472" s="10">
        <v>85.5</v>
      </c>
      <c r="C472" s="11">
        <v>62393.74</v>
      </c>
      <c r="D472" s="14">
        <f t="shared" si="14"/>
        <v>-5.8139534883720929E-3</v>
      </c>
      <c r="E472" s="14">
        <f t="shared" si="15"/>
        <v>6.6886977207507052E-3</v>
      </c>
    </row>
    <row r="473" spans="1:5" x14ac:dyDescent="0.35">
      <c r="A473" s="9">
        <v>45322</v>
      </c>
      <c r="B473" s="10">
        <v>86</v>
      </c>
      <c r="C473" s="11">
        <v>61979.18</v>
      </c>
      <c r="D473" s="14">
        <f t="shared" si="14"/>
        <v>0</v>
      </c>
      <c r="E473" s="14">
        <f t="shared" si="15"/>
        <v>2.2224471691773603E-3</v>
      </c>
    </row>
    <row r="474" spans="1:5" x14ac:dyDescent="0.35">
      <c r="A474" s="9">
        <v>45321</v>
      </c>
      <c r="B474" s="10">
        <v>86</v>
      </c>
      <c r="C474" s="11">
        <v>61841.74</v>
      </c>
      <c r="D474" s="14">
        <f t="shared" si="14"/>
        <v>-1.7142857142857144E-2</v>
      </c>
      <c r="E474" s="14">
        <f t="shared" si="15"/>
        <v>-3.0892108919396748E-2</v>
      </c>
    </row>
    <row r="475" spans="1:5" x14ac:dyDescent="0.35">
      <c r="A475" s="9">
        <v>45317</v>
      </c>
      <c r="B475" s="10">
        <v>87.5</v>
      </c>
      <c r="C475" s="11">
        <v>63813.06</v>
      </c>
      <c r="D475" s="14">
        <f t="shared" si="14"/>
        <v>1.7441860465116279E-2</v>
      </c>
      <c r="E475" s="14">
        <f t="shared" si="15"/>
        <v>-7.5422240906056716E-3</v>
      </c>
    </row>
    <row r="476" spans="1:5" x14ac:dyDescent="0.35">
      <c r="A476" s="9">
        <v>45316</v>
      </c>
      <c r="B476" s="10">
        <v>86</v>
      </c>
      <c r="C476" s="11">
        <v>64298.01</v>
      </c>
      <c r="D476" s="14">
        <f t="shared" si="14"/>
        <v>5.8479532163742687E-3</v>
      </c>
      <c r="E476" s="14">
        <f t="shared" si="15"/>
        <v>-8.0901009110580738E-3</v>
      </c>
    </row>
    <row r="477" spans="1:5" x14ac:dyDescent="0.35">
      <c r="A477" s="9">
        <v>45315</v>
      </c>
      <c r="B477" s="10">
        <v>85.5</v>
      </c>
      <c r="C477" s="11">
        <v>64822.43</v>
      </c>
      <c r="D477" s="14">
        <f t="shared" si="14"/>
        <v>5.8823529411764705E-3</v>
      </c>
      <c r="E477" s="14">
        <f t="shared" si="15"/>
        <v>5.7127368851876432E-3</v>
      </c>
    </row>
    <row r="478" spans="1:5" x14ac:dyDescent="0.35">
      <c r="A478" s="9">
        <v>45314</v>
      </c>
      <c r="B478" s="10">
        <v>85</v>
      </c>
      <c r="C478" s="11">
        <v>64454.22</v>
      </c>
      <c r="D478" s="14">
        <f t="shared" si="14"/>
        <v>5.7981303987693156E-3</v>
      </c>
      <c r="E478" s="14">
        <f t="shared" si="15"/>
        <v>8.0515287832652448E-3</v>
      </c>
    </row>
    <row r="479" spans="1:5" x14ac:dyDescent="0.35">
      <c r="A479" s="9">
        <v>45313</v>
      </c>
      <c r="B479" s="10">
        <v>84.51</v>
      </c>
      <c r="C479" s="11">
        <v>63939.41</v>
      </c>
      <c r="D479" s="14">
        <f t="shared" si="14"/>
        <v>5.472932778108364E-3</v>
      </c>
      <c r="E479" s="14">
        <f t="shared" si="15"/>
        <v>1.038490584165571E-2</v>
      </c>
    </row>
    <row r="480" spans="1:5" x14ac:dyDescent="0.35">
      <c r="A480" s="9">
        <v>45310</v>
      </c>
      <c r="B480" s="10">
        <v>84.05</v>
      </c>
      <c r="C480" s="11">
        <v>63282.23</v>
      </c>
      <c r="D480" s="14">
        <f t="shared" si="14"/>
        <v>-1.1060124720555333E-2</v>
      </c>
      <c r="E480" s="14">
        <f t="shared" si="15"/>
        <v>1.2630849461413133E-3</v>
      </c>
    </row>
    <row r="481" spans="1:5" x14ac:dyDescent="0.35">
      <c r="A481" s="9">
        <v>45309</v>
      </c>
      <c r="B481" s="10">
        <v>84.99</v>
      </c>
      <c r="C481" s="11">
        <v>63202.400000000001</v>
      </c>
      <c r="D481" s="14">
        <f t="shared" si="14"/>
        <v>1.299165673420726E-2</v>
      </c>
      <c r="E481" s="14">
        <f t="shared" si="15"/>
        <v>-5.7409984435402685E-3</v>
      </c>
    </row>
    <row r="482" spans="1:5" x14ac:dyDescent="0.35">
      <c r="A482" s="9">
        <v>45308</v>
      </c>
      <c r="B482" s="10">
        <v>83.9</v>
      </c>
      <c r="C482" s="11">
        <v>63567.34</v>
      </c>
      <c r="D482" s="14">
        <f t="shared" si="14"/>
        <v>4.7904191616767152E-3</v>
      </c>
      <c r="E482" s="14">
        <f t="shared" si="15"/>
        <v>-2.6690740421724153E-3</v>
      </c>
    </row>
    <row r="483" spans="1:5" x14ac:dyDescent="0.35">
      <c r="A483" s="9">
        <v>45307</v>
      </c>
      <c r="B483" s="10">
        <v>83.5</v>
      </c>
      <c r="C483" s="11">
        <v>63737.46</v>
      </c>
      <c r="D483" s="14">
        <f t="shared" si="14"/>
        <v>-1.1974613818710472E-4</v>
      </c>
      <c r="E483" s="14">
        <f t="shared" si="15"/>
        <v>-8.2764140559625481E-3</v>
      </c>
    </row>
    <row r="484" spans="1:5" x14ac:dyDescent="0.35">
      <c r="A484" s="9">
        <v>45306</v>
      </c>
      <c r="B484" s="10">
        <v>83.51</v>
      </c>
      <c r="C484" s="11">
        <v>64269.38</v>
      </c>
      <c r="D484" s="14">
        <f t="shared" si="14"/>
        <v>-8.1947743467933216E-3</v>
      </c>
      <c r="E484" s="14">
        <f t="shared" si="15"/>
        <v>-5.6972995920024621E-3</v>
      </c>
    </row>
    <row r="485" spans="1:5" x14ac:dyDescent="0.35">
      <c r="A485" s="9">
        <v>45303</v>
      </c>
      <c r="B485" s="10">
        <v>84.2</v>
      </c>
      <c r="C485" s="11">
        <v>64637.64</v>
      </c>
      <c r="D485" s="14">
        <f t="shared" si="14"/>
        <v>2.380952380952415E-3</v>
      </c>
      <c r="E485" s="14">
        <f t="shared" si="15"/>
        <v>3.1059663803513054E-4</v>
      </c>
    </row>
    <row r="486" spans="1:5" x14ac:dyDescent="0.35">
      <c r="A486" s="9">
        <v>45302</v>
      </c>
      <c r="B486" s="10">
        <v>84</v>
      </c>
      <c r="C486" s="11">
        <v>64617.57</v>
      </c>
      <c r="D486" s="14">
        <f t="shared" si="14"/>
        <v>-5.7995028997513895E-3</v>
      </c>
      <c r="E486" s="14">
        <f t="shared" si="15"/>
        <v>1.0915545014576868E-2</v>
      </c>
    </row>
    <row r="487" spans="1:5" x14ac:dyDescent="0.35">
      <c r="A487" s="9">
        <v>45301</v>
      </c>
      <c r="B487" s="10">
        <v>84.49</v>
      </c>
      <c r="C487" s="11">
        <v>63919.85</v>
      </c>
      <c r="D487" s="14">
        <f t="shared" si="14"/>
        <v>5.833333333333272E-3</v>
      </c>
      <c r="E487" s="14">
        <f t="shared" si="15"/>
        <v>-3.9072422284480391E-3</v>
      </c>
    </row>
    <row r="488" spans="1:5" x14ac:dyDescent="0.35">
      <c r="A488" s="9">
        <v>45300</v>
      </c>
      <c r="B488" s="10">
        <v>84</v>
      </c>
      <c r="C488" s="11">
        <v>64170.58</v>
      </c>
      <c r="D488" s="14">
        <f t="shared" si="14"/>
        <v>5.9880239520958087E-3</v>
      </c>
      <c r="E488" s="14">
        <f t="shared" si="15"/>
        <v>-1.034450067196399E-3</v>
      </c>
    </row>
    <row r="489" spans="1:5" x14ac:dyDescent="0.35">
      <c r="A489" s="9">
        <v>45299</v>
      </c>
      <c r="B489" s="10">
        <v>83.5</v>
      </c>
      <c r="C489" s="11">
        <v>64237.03</v>
      </c>
      <c r="D489" s="14">
        <f t="shared" si="14"/>
        <v>-5.8340278604595182E-3</v>
      </c>
      <c r="E489" s="14">
        <f t="shared" si="15"/>
        <v>-4.3070670496273356E-3</v>
      </c>
    </row>
    <row r="490" spans="1:5" x14ac:dyDescent="0.35">
      <c r="A490" s="9">
        <v>45296</v>
      </c>
      <c r="B490" s="10">
        <v>83.99</v>
      </c>
      <c r="C490" s="11">
        <v>64514.9</v>
      </c>
      <c r="D490" s="14">
        <f t="shared" si="14"/>
        <v>1.3148371531966093E-2</v>
      </c>
      <c r="E490" s="14">
        <f t="shared" si="15"/>
        <v>-1.9223640901274402E-3</v>
      </c>
    </row>
    <row r="491" spans="1:5" x14ac:dyDescent="0.35">
      <c r="A491" s="9">
        <v>45295</v>
      </c>
      <c r="B491" s="10">
        <v>82.9</v>
      </c>
      <c r="C491" s="11">
        <v>64639.16</v>
      </c>
      <c r="D491" s="14">
        <f t="shared" si="14"/>
        <v>-7.1856287425149023E-3</v>
      </c>
      <c r="E491" s="14">
        <f t="shared" si="15"/>
        <v>-1.1895397842269272E-4</v>
      </c>
    </row>
    <row r="492" spans="1:5" x14ac:dyDescent="0.35">
      <c r="A492" s="9">
        <v>45294</v>
      </c>
      <c r="B492" s="10">
        <v>83.5</v>
      </c>
      <c r="C492" s="11">
        <v>64646.85</v>
      </c>
      <c r="D492" s="14">
        <f t="shared" si="14"/>
        <v>-1.1834319526627219E-2</v>
      </c>
      <c r="E492" s="14">
        <f t="shared" si="15"/>
        <v>4.6192983328567699E-3</v>
      </c>
    </row>
    <row r="493" spans="1:5" x14ac:dyDescent="0.35">
      <c r="A493" s="9">
        <v>45293</v>
      </c>
      <c r="B493" s="10">
        <v>84.5</v>
      </c>
      <c r="C493" s="11">
        <v>64349.599999999999</v>
      </c>
      <c r="D493" s="14">
        <f t="shared" si="14"/>
        <v>1.4162265962554092E-2</v>
      </c>
      <c r="E493" s="14">
        <f t="shared" si="15"/>
        <v>-4.8278906024548087E-3</v>
      </c>
    </row>
    <row r="494" spans="1:5" x14ac:dyDescent="0.35">
      <c r="A494" s="9">
        <v>45292</v>
      </c>
      <c r="B494" s="10">
        <v>83.32</v>
      </c>
      <c r="C494" s="11">
        <v>64661.78</v>
      </c>
      <c r="D494" s="14">
        <f t="shared" si="14"/>
        <v>3.8554216867469058E-3</v>
      </c>
      <c r="E494" s="14">
        <f t="shared" si="15"/>
        <v>3.5399570607631159E-2</v>
      </c>
    </row>
    <row r="495" spans="1:5" x14ac:dyDescent="0.35">
      <c r="A495" s="9">
        <v>45289</v>
      </c>
      <c r="B495" s="10">
        <v>83</v>
      </c>
      <c r="C495" s="11">
        <v>62451.040000000001</v>
      </c>
      <c r="D495" s="14">
        <f t="shared" si="14"/>
        <v>5.9386741001090154E-3</v>
      </c>
      <c r="E495" s="14">
        <f t="shared" si="15"/>
        <v>6.426842931052979E-3</v>
      </c>
    </row>
    <row r="496" spans="1:5" x14ac:dyDescent="0.35">
      <c r="A496" s="9">
        <v>45288</v>
      </c>
      <c r="B496" s="10">
        <v>82.51</v>
      </c>
      <c r="C496" s="11">
        <v>62052.24</v>
      </c>
      <c r="D496" s="14">
        <f t="shared" si="14"/>
        <v>-5.903614457831264E-3</v>
      </c>
      <c r="E496" s="14">
        <f t="shared" si="15"/>
        <v>1.9529236019809458E-2</v>
      </c>
    </row>
    <row r="497" spans="1:5" x14ac:dyDescent="0.35">
      <c r="A497" s="9">
        <v>45287</v>
      </c>
      <c r="B497" s="10">
        <v>83</v>
      </c>
      <c r="C497" s="11">
        <v>60863.62</v>
      </c>
      <c r="D497" s="14">
        <f t="shared" si="14"/>
        <v>1.2318575436028847E-2</v>
      </c>
      <c r="E497" s="14">
        <f t="shared" si="15"/>
        <v>2.8605914588536462E-2</v>
      </c>
    </row>
    <row r="498" spans="1:5" x14ac:dyDescent="0.35">
      <c r="A498" s="9">
        <v>45286</v>
      </c>
      <c r="B498" s="10">
        <v>81.99</v>
      </c>
      <c r="C498" s="11">
        <v>59170.98</v>
      </c>
      <c r="D498" s="14">
        <f t="shared" si="14"/>
        <v>1.2222222222222159E-2</v>
      </c>
      <c r="E498" s="14">
        <f t="shared" si="15"/>
        <v>-4.1068086927674739E-2</v>
      </c>
    </row>
    <row r="499" spans="1:5" x14ac:dyDescent="0.35">
      <c r="A499" s="9">
        <v>45282</v>
      </c>
      <c r="B499" s="10">
        <v>81</v>
      </c>
      <c r="C499" s="11">
        <v>61705.09</v>
      </c>
      <c r="D499" s="14">
        <f t="shared" si="14"/>
        <v>-1.3518450858604305E-2</v>
      </c>
      <c r="E499" s="14">
        <f t="shared" si="15"/>
        <v>-1.5766848179167389E-2</v>
      </c>
    </row>
    <row r="500" spans="1:5" x14ac:dyDescent="0.35">
      <c r="A500" s="9">
        <v>45281</v>
      </c>
      <c r="B500" s="10">
        <v>82.11</v>
      </c>
      <c r="C500" s="11">
        <v>62693.57</v>
      </c>
      <c r="D500" s="14">
        <f t="shared" si="14"/>
        <v>-5.3301029678982162E-3</v>
      </c>
      <c r="E500" s="14">
        <f t="shared" si="15"/>
        <v>3.932230987024209E-3</v>
      </c>
    </row>
    <row r="501" spans="1:5" x14ac:dyDescent="0.35">
      <c r="A501" s="9">
        <v>45280</v>
      </c>
      <c r="B501" s="10">
        <v>82.55</v>
      </c>
      <c r="C501" s="11">
        <v>62448.01</v>
      </c>
      <c r="D501" s="14">
        <f t="shared" si="14"/>
        <v>-2.8823529411764741E-2</v>
      </c>
      <c r="E501" s="14">
        <f t="shared" si="15"/>
        <v>-6.1276688391439472E-3</v>
      </c>
    </row>
    <row r="502" spans="1:5" x14ac:dyDescent="0.35">
      <c r="A502" s="9">
        <v>45279</v>
      </c>
      <c r="B502" s="10">
        <v>85</v>
      </c>
      <c r="C502" s="11">
        <v>62833.03</v>
      </c>
      <c r="D502" s="14">
        <f t="shared" si="14"/>
        <v>-1.1627906976744186E-2</v>
      </c>
      <c r="E502" s="14">
        <f t="shared" si="15"/>
        <v>-3.6372389221141818E-2</v>
      </c>
    </row>
    <row r="503" spans="1:5" x14ac:dyDescent="0.35">
      <c r="A503" s="9">
        <v>45278</v>
      </c>
      <c r="B503" s="10">
        <v>86</v>
      </c>
      <c r="C503" s="11">
        <v>65204.68</v>
      </c>
      <c r="D503" s="14">
        <f t="shared" si="14"/>
        <v>-5.7803468208092483E-3</v>
      </c>
      <c r="E503" s="14">
        <f t="shared" si="15"/>
        <v>-1.3992737337747724E-2</v>
      </c>
    </row>
    <row r="504" spans="1:5" x14ac:dyDescent="0.35">
      <c r="A504" s="9">
        <v>45275</v>
      </c>
      <c r="B504" s="10">
        <v>86.5</v>
      </c>
      <c r="C504" s="11">
        <v>66130.02</v>
      </c>
      <c r="D504" s="14">
        <f t="shared" si="14"/>
        <v>-5.7471264367816091E-3</v>
      </c>
      <c r="E504" s="14">
        <f t="shared" si="15"/>
        <v>1.0386982833816094E-2</v>
      </c>
    </row>
    <row r="505" spans="1:5" x14ac:dyDescent="0.35">
      <c r="A505" s="9">
        <v>45274</v>
      </c>
      <c r="B505" s="10">
        <v>87</v>
      </c>
      <c r="C505" s="11">
        <v>65450.19</v>
      </c>
      <c r="D505" s="14">
        <f t="shared" si="14"/>
        <v>1.1627906976744186E-2</v>
      </c>
      <c r="E505" s="14">
        <f t="shared" si="15"/>
        <v>2.6046198416180173E-3</v>
      </c>
    </row>
    <row r="506" spans="1:5" x14ac:dyDescent="0.35">
      <c r="A506" s="9">
        <v>45273</v>
      </c>
      <c r="B506" s="10">
        <v>86</v>
      </c>
      <c r="C506" s="11">
        <v>65280.160000000003</v>
      </c>
      <c r="D506" s="14">
        <f t="shared" si="14"/>
        <v>-2.8138772742682734E-2</v>
      </c>
      <c r="E506" s="14">
        <f t="shared" si="15"/>
        <v>-1.726141173785626E-2</v>
      </c>
    </row>
    <row r="507" spans="1:5" x14ac:dyDescent="0.35">
      <c r="A507" s="9">
        <v>45272</v>
      </c>
      <c r="B507" s="10">
        <v>88.49</v>
      </c>
      <c r="C507" s="11">
        <v>66426.78</v>
      </c>
      <c r="D507" s="14">
        <f t="shared" si="14"/>
        <v>-1.6777777777777836E-2</v>
      </c>
      <c r="E507" s="14">
        <f t="shared" si="15"/>
        <v>6.2783725404026349E-3</v>
      </c>
    </row>
    <row r="508" spans="1:5" x14ac:dyDescent="0.35">
      <c r="A508" s="9">
        <v>45271</v>
      </c>
      <c r="B508" s="10">
        <v>90</v>
      </c>
      <c r="C508" s="11">
        <v>66012.33</v>
      </c>
      <c r="D508" s="14">
        <f t="shared" si="14"/>
        <v>0</v>
      </c>
      <c r="E508" s="14">
        <f t="shared" si="15"/>
        <v>-3.190703982853294E-3</v>
      </c>
    </row>
    <row r="509" spans="1:5" x14ac:dyDescent="0.35">
      <c r="A509" s="9">
        <v>45268</v>
      </c>
      <c r="B509" s="10">
        <v>90</v>
      </c>
      <c r="C509" s="11">
        <v>66223.63</v>
      </c>
      <c r="D509" s="14">
        <f t="shared" si="14"/>
        <v>1.6949152542372881E-2</v>
      </c>
      <c r="E509" s="14">
        <f t="shared" si="15"/>
        <v>2.3263205583354804E-2</v>
      </c>
    </row>
    <row r="510" spans="1:5" x14ac:dyDescent="0.35">
      <c r="A510" s="9">
        <v>45267</v>
      </c>
      <c r="B510" s="10">
        <v>88.5</v>
      </c>
      <c r="C510" s="11">
        <v>64718.080000000002</v>
      </c>
      <c r="D510" s="14">
        <f t="shared" si="14"/>
        <v>4.9199762892709019E-2</v>
      </c>
      <c r="E510" s="14">
        <f t="shared" si="15"/>
        <v>1.4727946220332034E-2</v>
      </c>
    </row>
    <row r="511" spans="1:5" x14ac:dyDescent="0.35">
      <c r="A511" s="9">
        <v>45266</v>
      </c>
      <c r="B511" s="10">
        <v>84.35</v>
      </c>
      <c r="C511" s="11">
        <v>63778.75</v>
      </c>
      <c r="D511" s="14">
        <f t="shared" si="14"/>
        <v>-1.7751479289941502E-3</v>
      </c>
      <c r="E511" s="14">
        <f t="shared" si="15"/>
        <v>1.190928558407179E-2</v>
      </c>
    </row>
    <row r="512" spans="1:5" x14ac:dyDescent="0.35">
      <c r="A512" s="9">
        <v>45265</v>
      </c>
      <c r="B512" s="10">
        <v>84.5</v>
      </c>
      <c r="C512" s="11">
        <v>63028.13</v>
      </c>
      <c r="D512" s="14">
        <f t="shared" si="14"/>
        <v>-1.1832919181168046E-4</v>
      </c>
      <c r="E512" s="14">
        <f t="shared" si="15"/>
        <v>7.2357565718769263E-3</v>
      </c>
    </row>
    <row r="513" spans="1:5" x14ac:dyDescent="0.35">
      <c r="A513" s="9">
        <v>45264</v>
      </c>
      <c r="B513" s="10">
        <v>84.51</v>
      </c>
      <c r="C513" s="11">
        <v>62575.35</v>
      </c>
      <c r="D513" s="14">
        <f t="shared" si="14"/>
        <v>-5.764705882352881E-3</v>
      </c>
      <c r="E513" s="14">
        <f t="shared" si="15"/>
        <v>1.433104370554979E-2</v>
      </c>
    </row>
    <row r="514" spans="1:5" x14ac:dyDescent="0.35">
      <c r="A514" s="9">
        <v>45261</v>
      </c>
      <c r="B514" s="10">
        <v>85</v>
      </c>
      <c r="C514" s="11">
        <v>61691.25</v>
      </c>
      <c r="D514" s="14">
        <f t="shared" si="14"/>
        <v>1.2145748987854203E-2</v>
      </c>
      <c r="E514" s="14">
        <f t="shared" si="15"/>
        <v>1.9239090405782488E-2</v>
      </c>
    </row>
    <row r="515" spans="1:5" x14ac:dyDescent="0.35">
      <c r="A515" s="9">
        <v>45260</v>
      </c>
      <c r="B515" s="10">
        <v>83.98</v>
      </c>
      <c r="C515" s="11">
        <v>60526.77</v>
      </c>
      <c r="D515" s="14">
        <f t="shared" si="14"/>
        <v>-1.1999999999999953E-2</v>
      </c>
      <c r="E515" s="14">
        <f t="shared" si="15"/>
        <v>4.5967732337874357E-4</v>
      </c>
    </row>
    <row r="516" spans="1:5" x14ac:dyDescent="0.35">
      <c r="A516" s="9">
        <v>45259</v>
      </c>
      <c r="B516" s="10">
        <v>85</v>
      </c>
      <c r="C516" s="11">
        <v>60498.96</v>
      </c>
      <c r="D516" s="14">
        <f t="shared" si="14"/>
        <v>2.4096385542168676E-2</v>
      </c>
      <c r="E516" s="14">
        <f t="shared" si="15"/>
        <v>-5.6958991071324339E-3</v>
      </c>
    </row>
    <row r="517" spans="1:5" x14ac:dyDescent="0.35">
      <c r="A517" s="9">
        <v>45258</v>
      </c>
      <c r="B517" s="10">
        <v>83</v>
      </c>
      <c r="C517" s="11">
        <v>60845.53</v>
      </c>
      <c r="D517" s="14">
        <f t="shared" ref="D517:D580" si="16">(B517-B518)/B518</f>
        <v>1.715686274509811E-2</v>
      </c>
      <c r="E517" s="14">
        <f t="shared" ref="E517:E580" si="17">(C517-C518)/C518</f>
        <v>1.7925334166693733E-2</v>
      </c>
    </row>
    <row r="518" spans="1:5" x14ac:dyDescent="0.35">
      <c r="A518" s="9">
        <v>45257</v>
      </c>
      <c r="B518" s="10">
        <v>81.599999999999994</v>
      </c>
      <c r="C518" s="11">
        <v>59774.06</v>
      </c>
      <c r="D518" s="14">
        <f t="shared" si="16"/>
        <v>3.2911392405063217E-2</v>
      </c>
      <c r="E518" s="14">
        <f t="shared" si="17"/>
        <v>1.0151869068063443E-2</v>
      </c>
    </row>
    <row r="519" spans="1:5" x14ac:dyDescent="0.35">
      <c r="A519" s="9">
        <v>45254</v>
      </c>
      <c r="B519" s="10">
        <v>79</v>
      </c>
      <c r="C519" s="11">
        <v>59173.34</v>
      </c>
      <c r="D519" s="14">
        <f t="shared" si="16"/>
        <v>-3.6585365853658534E-2</v>
      </c>
      <c r="E519" s="14">
        <f t="shared" si="17"/>
        <v>4.4565682353659023E-3</v>
      </c>
    </row>
    <row r="520" spans="1:5" x14ac:dyDescent="0.35">
      <c r="A520" s="9">
        <v>45253</v>
      </c>
      <c r="B520" s="10">
        <v>82</v>
      </c>
      <c r="C520" s="11">
        <v>58910.8</v>
      </c>
      <c r="D520" s="14">
        <f t="shared" si="16"/>
        <v>7.105538140020895E-2</v>
      </c>
      <c r="E520" s="14">
        <f t="shared" si="17"/>
        <v>1.25911272370252E-2</v>
      </c>
    </row>
    <row r="521" spans="1:5" x14ac:dyDescent="0.35">
      <c r="A521" s="9">
        <v>45252</v>
      </c>
      <c r="B521" s="10">
        <v>76.56</v>
      </c>
      <c r="C521" s="11">
        <v>58178.27</v>
      </c>
      <c r="D521" s="14">
        <f t="shared" si="16"/>
        <v>-4.0481263316205086E-2</v>
      </c>
      <c r="E521" s="14">
        <f t="shared" si="17"/>
        <v>1.341429043735573E-2</v>
      </c>
    </row>
    <row r="522" spans="1:5" x14ac:dyDescent="0.35">
      <c r="A522" s="9">
        <v>45251</v>
      </c>
      <c r="B522" s="10">
        <v>79.790000000000006</v>
      </c>
      <c r="C522" s="11">
        <v>57408.18</v>
      </c>
      <c r="D522" s="14">
        <f t="shared" si="16"/>
        <v>2.360487491982044E-2</v>
      </c>
      <c r="E522" s="14">
        <f t="shared" si="17"/>
        <v>5.9963911955264832E-3</v>
      </c>
    </row>
    <row r="523" spans="1:5" x14ac:dyDescent="0.35">
      <c r="A523" s="9">
        <v>45250</v>
      </c>
      <c r="B523" s="10">
        <v>77.95</v>
      </c>
      <c r="C523" s="11">
        <v>57065.99</v>
      </c>
      <c r="D523" s="14">
        <f t="shared" si="16"/>
        <v>1.1024643320363276E-2</v>
      </c>
      <c r="E523" s="14">
        <f t="shared" si="17"/>
        <v>8.599195748071949E-4</v>
      </c>
    </row>
    <row r="524" spans="1:5" x14ac:dyDescent="0.35">
      <c r="A524" s="9">
        <v>45247</v>
      </c>
      <c r="B524" s="10">
        <v>77.099999999999994</v>
      </c>
      <c r="C524" s="11">
        <v>57016.959999999999</v>
      </c>
      <c r="D524" s="14">
        <f t="shared" si="16"/>
        <v>-4.378023068336849E-2</v>
      </c>
      <c r="E524" s="14">
        <f t="shared" si="17"/>
        <v>-5.705899258093664E-3</v>
      </c>
    </row>
    <row r="525" spans="1:5" x14ac:dyDescent="0.35">
      <c r="A525" s="9">
        <v>45246</v>
      </c>
      <c r="B525" s="10">
        <v>80.63</v>
      </c>
      <c r="C525" s="11">
        <v>57344.160000000003</v>
      </c>
      <c r="D525" s="14">
        <f t="shared" si="16"/>
        <v>7.5066666666666601E-2</v>
      </c>
      <c r="E525" s="14">
        <f t="shared" si="17"/>
        <v>1.0197782870092506E-2</v>
      </c>
    </row>
    <row r="526" spans="1:5" x14ac:dyDescent="0.35">
      <c r="A526" s="9">
        <v>45245</v>
      </c>
      <c r="B526" s="10">
        <v>75</v>
      </c>
      <c r="C526" s="11">
        <v>56765.279999999999</v>
      </c>
      <c r="D526" s="14">
        <f t="shared" si="16"/>
        <v>-2.723735408560304E-2</v>
      </c>
      <c r="E526" s="14">
        <f t="shared" si="17"/>
        <v>2.1308305225318483E-3</v>
      </c>
    </row>
    <row r="527" spans="1:5" x14ac:dyDescent="0.35">
      <c r="A527" s="9">
        <v>45244</v>
      </c>
      <c r="B527" s="10">
        <v>77.099999999999994</v>
      </c>
      <c r="C527" s="11">
        <v>56644.58</v>
      </c>
      <c r="D527" s="14">
        <f t="shared" si="16"/>
        <v>-5.1612903225807189E-3</v>
      </c>
      <c r="E527" s="14">
        <f t="shared" si="17"/>
        <v>2.0852089215877348E-3</v>
      </c>
    </row>
    <row r="528" spans="1:5" x14ac:dyDescent="0.35">
      <c r="A528" s="9">
        <v>45243</v>
      </c>
      <c r="B528" s="10">
        <v>77.5</v>
      </c>
      <c r="C528" s="11">
        <v>56526.71</v>
      </c>
      <c r="D528" s="14">
        <f t="shared" si="16"/>
        <v>9.7719869706840382E-3</v>
      </c>
      <c r="E528" s="14">
        <f t="shared" si="17"/>
        <v>2.0343987670682375E-2</v>
      </c>
    </row>
    <row r="529" spans="1:5" x14ac:dyDescent="0.35">
      <c r="A529" s="9">
        <v>45240</v>
      </c>
      <c r="B529" s="10">
        <v>76.75</v>
      </c>
      <c r="C529" s="11">
        <v>55399.66</v>
      </c>
      <c r="D529" s="14">
        <f t="shared" si="16"/>
        <v>2.3333333333333334E-2</v>
      </c>
      <c r="E529" s="14">
        <f t="shared" si="17"/>
        <v>2.0113108036717682E-2</v>
      </c>
    </row>
    <row r="530" spans="1:5" x14ac:dyDescent="0.35">
      <c r="A530" s="9">
        <v>45238</v>
      </c>
      <c r="B530" s="10">
        <v>75</v>
      </c>
      <c r="C530" s="11">
        <v>54307.37</v>
      </c>
      <c r="D530" s="14">
        <f t="shared" si="16"/>
        <v>2.0408163265306121E-2</v>
      </c>
      <c r="E530" s="14">
        <f t="shared" si="17"/>
        <v>9.2276980726181627E-3</v>
      </c>
    </row>
    <row r="531" spans="1:5" x14ac:dyDescent="0.35">
      <c r="A531" s="9">
        <v>45237</v>
      </c>
      <c r="B531" s="10">
        <v>73.5</v>
      </c>
      <c r="C531" s="11">
        <v>53810.82</v>
      </c>
      <c r="D531" s="14">
        <f t="shared" si="16"/>
        <v>-5.278116118554616E-3</v>
      </c>
      <c r="E531" s="14">
        <f t="shared" si="17"/>
        <v>-2.4141173399697367E-3</v>
      </c>
    </row>
    <row r="532" spans="1:5" x14ac:dyDescent="0.35">
      <c r="A532" s="9">
        <v>45236</v>
      </c>
      <c r="B532" s="10">
        <v>73.89</v>
      </c>
      <c r="C532" s="11">
        <v>53941.04</v>
      </c>
      <c r="D532" s="14">
        <f t="shared" si="16"/>
        <v>-3.3991371421100723E-2</v>
      </c>
      <c r="E532" s="14">
        <f t="shared" si="17"/>
        <v>1.4392282793726154E-2</v>
      </c>
    </row>
    <row r="533" spans="1:5" x14ac:dyDescent="0.35">
      <c r="A533" s="9">
        <v>45233</v>
      </c>
      <c r="B533" s="10">
        <v>76.489999999999995</v>
      </c>
      <c r="C533" s="11">
        <v>53175.72</v>
      </c>
      <c r="D533" s="14">
        <f t="shared" si="16"/>
        <v>1.9866666666666599E-2</v>
      </c>
      <c r="E533" s="14">
        <f t="shared" si="17"/>
        <v>8.9995660459308378E-3</v>
      </c>
    </row>
    <row r="534" spans="1:5" x14ac:dyDescent="0.35">
      <c r="A534" s="9">
        <v>45232</v>
      </c>
      <c r="B534" s="10">
        <v>75</v>
      </c>
      <c r="C534" s="11">
        <v>52701.43</v>
      </c>
      <c r="D534" s="14">
        <f t="shared" si="16"/>
        <v>0</v>
      </c>
      <c r="E534" s="14">
        <f t="shared" si="17"/>
        <v>6.577528718672984E-3</v>
      </c>
    </row>
    <row r="535" spans="1:5" x14ac:dyDescent="0.35">
      <c r="A535" s="9">
        <v>45231</v>
      </c>
      <c r="B535" s="10">
        <v>75</v>
      </c>
      <c r="C535" s="11">
        <v>52357.05</v>
      </c>
      <c r="D535" s="14">
        <f t="shared" si="16"/>
        <v>-5.3050397877984837E-3</v>
      </c>
      <c r="E535" s="14">
        <f t="shared" si="17"/>
        <v>7.3252602964697811E-3</v>
      </c>
    </row>
    <row r="536" spans="1:5" x14ac:dyDescent="0.35">
      <c r="A536" s="9">
        <v>45230</v>
      </c>
      <c r="B536" s="10">
        <v>75.400000000000006</v>
      </c>
      <c r="C536" s="11">
        <v>51976.31</v>
      </c>
      <c r="D536" s="14">
        <f t="shared" si="16"/>
        <v>1.2080536912751754E-2</v>
      </c>
      <c r="E536" s="14">
        <f t="shared" si="17"/>
        <v>9.583370643434579E-3</v>
      </c>
    </row>
    <row r="537" spans="1:5" x14ac:dyDescent="0.35">
      <c r="A537" s="9">
        <v>45229</v>
      </c>
      <c r="B537" s="10">
        <v>74.5</v>
      </c>
      <c r="C537" s="11">
        <v>51482.93</v>
      </c>
      <c r="D537" s="14">
        <f t="shared" si="16"/>
        <v>-1.1936339522546493E-2</v>
      </c>
      <c r="E537" s="14">
        <f t="shared" si="17"/>
        <v>1.0292306771497233E-2</v>
      </c>
    </row>
    <row r="538" spans="1:5" x14ac:dyDescent="0.35">
      <c r="A538" s="9">
        <v>45226</v>
      </c>
      <c r="B538" s="10">
        <v>75.400000000000006</v>
      </c>
      <c r="C538" s="11">
        <v>50958.45</v>
      </c>
      <c r="D538" s="14">
        <f t="shared" si="16"/>
        <v>1.8918918918918996E-2</v>
      </c>
      <c r="E538" s="14">
        <f t="shared" si="17"/>
        <v>-3.9084490523551233E-3</v>
      </c>
    </row>
    <row r="539" spans="1:5" x14ac:dyDescent="0.35">
      <c r="A539" s="9">
        <v>45225</v>
      </c>
      <c r="B539" s="10">
        <v>74</v>
      </c>
      <c r="C539" s="11">
        <v>51158.400000000001</v>
      </c>
      <c r="D539" s="14">
        <f t="shared" si="16"/>
        <v>0</v>
      </c>
      <c r="E539" s="14">
        <f t="shared" si="17"/>
        <v>6.4703751487524665E-4</v>
      </c>
    </row>
    <row r="540" spans="1:5" x14ac:dyDescent="0.35">
      <c r="A540" s="9">
        <v>45224</v>
      </c>
      <c r="B540" s="10">
        <v>74</v>
      </c>
      <c r="C540" s="11">
        <v>51125.32</v>
      </c>
      <c r="D540" s="14">
        <f t="shared" si="16"/>
        <v>1.4393420150788172E-2</v>
      </c>
      <c r="E540" s="14">
        <f t="shared" si="17"/>
        <v>1.1194844536173379E-3</v>
      </c>
    </row>
    <row r="541" spans="1:5" x14ac:dyDescent="0.35">
      <c r="A541" s="9">
        <v>45223</v>
      </c>
      <c r="B541" s="10">
        <v>72.95</v>
      </c>
      <c r="C541" s="11">
        <v>51068.15</v>
      </c>
      <c r="D541" s="14">
        <f t="shared" si="16"/>
        <v>1.3194444444444484E-2</v>
      </c>
      <c r="E541" s="14">
        <f t="shared" si="17"/>
        <v>-8.9676036507187803E-5</v>
      </c>
    </row>
    <row r="542" spans="1:5" x14ac:dyDescent="0.35">
      <c r="A542" s="9">
        <v>45222</v>
      </c>
      <c r="B542" s="10">
        <v>72</v>
      </c>
      <c r="C542" s="11">
        <v>51072.73</v>
      </c>
      <c r="D542" s="14">
        <f t="shared" si="16"/>
        <v>0</v>
      </c>
      <c r="E542" s="14">
        <f t="shared" si="17"/>
        <v>1.4878794339953745E-2</v>
      </c>
    </row>
    <row r="543" spans="1:5" x14ac:dyDescent="0.35">
      <c r="A543" s="9">
        <v>45218</v>
      </c>
      <c r="B543" s="10">
        <v>72</v>
      </c>
      <c r="C543" s="11">
        <v>50323.97</v>
      </c>
      <c r="D543" s="14">
        <f t="shared" si="16"/>
        <v>1.9252548131370319E-2</v>
      </c>
      <c r="E543" s="14">
        <f t="shared" si="17"/>
        <v>1.8576214842715027E-2</v>
      </c>
    </row>
    <row r="544" spans="1:5" x14ac:dyDescent="0.35">
      <c r="A544" s="9">
        <v>45217</v>
      </c>
      <c r="B544" s="10">
        <v>70.64</v>
      </c>
      <c r="C544" s="11">
        <v>49406.19</v>
      </c>
      <c r="D544" s="14">
        <f t="shared" si="16"/>
        <v>-1.6840640222686065E-2</v>
      </c>
      <c r="E544" s="14">
        <f t="shared" si="17"/>
        <v>-2.4569999765787485E-3</v>
      </c>
    </row>
    <row r="545" spans="1:5" x14ac:dyDescent="0.35">
      <c r="A545" s="9">
        <v>45216</v>
      </c>
      <c r="B545" s="10">
        <v>71.849999999999994</v>
      </c>
      <c r="C545" s="11">
        <v>49527.88</v>
      </c>
      <c r="D545" s="14">
        <f t="shared" si="16"/>
        <v>-2.9054054054054132E-2</v>
      </c>
      <c r="E545" s="14">
        <f t="shared" si="17"/>
        <v>-3.8614340705236203E-3</v>
      </c>
    </row>
    <row r="546" spans="1:5" x14ac:dyDescent="0.35">
      <c r="A546" s="9">
        <v>45215</v>
      </c>
      <c r="B546" s="10">
        <v>74</v>
      </c>
      <c r="C546" s="11">
        <v>49719.87</v>
      </c>
      <c r="D546" s="14">
        <f t="shared" si="16"/>
        <v>2.9207232267037472E-2</v>
      </c>
      <c r="E546" s="14">
        <f t="shared" si="17"/>
        <v>4.5743408170815557E-3</v>
      </c>
    </row>
    <row r="547" spans="1:5" x14ac:dyDescent="0.35">
      <c r="A547" s="9">
        <v>45212</v>
      </c>
      <c r="B547" s="10">
        <v>71.900000000000006</v>
      </c>
      <c r="C547" s="11">
        <v>49493.47</v>
      </c>
      <c r="D547" s="14">
        <f t="shared" si="16"/>
        <v>1.2818706860121296E-2</v>
      </c>
      <c r="E547" s="14">
        <f t="shared" si="17"/>
        <v>1.4798742959801943E-2</v>
      </c>
    </row>
    <row r="548" spans="1:5" x14ac:dyDescent="0.35">
      <c r="A548" s="9">
        <v>45211</v>
      </c>
      <c r="B548" s="10">
        <v>70.989999999999995</v>
      </c>
      <c r="C548" s="11">
        <v>48771.71</v>
      </c>
      <c r="D548" s="14">
        <f t="shared" si="16"/>
        <v>1.1830102622576943E-2</v>
      </c>
      <c r="E548" s="14">
        <f t="shared" si="17"/>
        <v>5.5649481050187048E-3</v>
      </c>
    </row>
    <row r="549" spans="1:5" x14ac:dyDescent="0.35">
      <c r="A549" s="9">
        <v>45210</v>
      </c>
      <c r="B549" s="10">
        <v>70.16</v>
      </c>
      <c r="C549" s="11">
        <v>48501.8</v>
      </c>
      <c r="D549" s="14">
        <f t="shared" si="16"/>
        <v>1.4273479874392565E-3</v>
      </c>
      <c r="E549" s="14">
        <f t="shared" si="17"/>
        <v>7.4423338560761663E-3</v>
      </c>
    </row>
    <row r="550" spans="1:5" x14ac:dyDescent="0.35">
      <c r="A550" s="9">
        <v>45209</v>
      </c>
      <c r="B550" s="10">
        <v>70.06</v>
      </c>
      <c r="C550" s="11">
        <v>48143.5</v>
      </c>
      <c r="D550" s="14">
        <f t="shared" si="16"/>
        <v>-1.2829650748396779E-3</v>
      </c>
      <c r="E550" s="14">
        <f t="shared" si="17"/>
        <v>8.5236467357024184E-3</v>
      </c>
    </row>
    <row r="551" spans="1:5" x14ac:dyDescent="0.35">
      <c r="A551" s="9">
        <v>45208</v>
      </c>
      <c r="B551" s="10">
        <v>70.150000000000006</v>
      </c>
      <c r="C551" s="11">
        <v>47736.61</v>
      </c>
      <c r="D551" s="14">
        <f t="shared" si="16"/>
        <v>2.1428571428572241E-3</v>
      </c>
      <c r="E551" s="14">
        <f t="shared" si="17"/>
        <v>4.7978611061939291E-3</v>
      </c>
    </row>
    <row r="552" spans="1:5" x14ac:dyDescent="0.35">
      <c r="A552" s="9">
        <v>45205</v>
      </c>
      <c r="B552" s="10">
        <v>70</v>
      </c>
      <c r="C552" s="11">
        <v>47508.67</v>
      </c>
      <c r="D552" s="14">
        <f t="shared" si="16"/>
        <v>-1.2693935119887244E-2</v>
      </c>
      <c r="E552" s="14">
        <f t="shared" si="17"/>
        <v>5.0774399088884012E-4</v>
      </c>
    </row>
    <row r="553" spans="1:5" x14ac:dyDescent="0.35">
      <c r="A553" s="9">
        <v>45204</v>
      </c>
      <c r="B553" s="10">
        <v>70.900000000000006</v>
      </c>
      <c r="C553" s="11">
        <v>47484.56</v>
      </c>
      <c r="D553" s="14">
        <f t="shared" si="16"/>
        <v>1.1268007416916364E-2</v>
      </c>
      <c r="E553" s="14">
        <f t="shared" si="17"/>
        <v>8.5966750517152656E-3</v>
      </c>
    </row>
    <row r="554" spans="1:5" x14ac:dyDescent="0.35">
      <c r="A554" s="9">
        <v>45203</v>
      </c>
      <c r="B554" s="10">
        <v>70.11</v>
      </c>
      <c r="C554" s="11">
        <v>47079.83</v>
      </c>
      <c r="D554" s="14">
        <f t="shared" si="16"/>
        <v>-2.6250000000000009E-2</v>
      </c>
      <c r="E554" s="14">
        <f t="shared" si="17"/>
        <v>6.9087277144714524E-3</v>
      </c>
    </row>
    <row r="555" spans="1:5" x14ac:dyDescent="0.35">
      <c r="A555" s="9">
        <v>45202</v>
      </c>
      <c r="B555" s="10">
        <v>72</v>
      </c>
      <c r="C555" s="11">
        <v>46756.800000000003</v>
      </c>
      <c r="D555" s="14">
        <f t="shared" si="16"/>
        <v>1.4084507042253521E-2</v>
      </c>
      <c r="E555" s="14">
        <f t="shared" si="17"/>
        <v>2.7820742795817617E-3</v>
      </c>
    </row>
    <row r="556" spans="1:5" x14ac:dyDescent="0.35">
      <c r="A556" s="9">
        <v>45201</v>
      </c>
      <c r="B556" s="10">
        <v>71</v>
      </c>
      <c r="C556" s="11">
        <v>46627.08</v>
      </c>
      <c r="D556" s="14">
        <f t="shared" si="16"/>
        <v>1.4140837023282313E-2</v>
      </c>
      <c r="E556" s="14">
        <f t="shared" si="17"/>
        <v>8.532725508131932E-3</v>
      </c>
    </row>
    <row r="557" spans="1:5" x14ac:dyDescent="0.35">
      <c r="A557" s="9">
        <v>45197</v>
      </c>
      <c r="B557" s="10">
        <v>70.010000000000005</v>
      </c>
      <c r="C557" s="11">
        <v>46232.59</v>
      </c>
      <c r="D557" s="14">
        <f t="shared" si="16"/>
        <v>-1.4281633818895894E-4</v>
      </c>
      <c r="E557" s="14">
        <f t="shared" si="17"/>
        <v>-1.6400862562284272E-3</v>
      </c>
    </row>
    <row r="558" spans="1:5" x14ac:dyDescent="0.35">
      <c r="A558" s="9">
        <v>45195</v>
      </c>
      <c r="B558" s="10">
        <v>70.02</v>
      </c>
      <c r="C558" s="11">
        <v>46308.54</v>
      </c>
      <c r="D558" s="14">
        <f t="shared" si="16"/>
        <v>-1.3663896323425819E-2</v>
      </c>
      <c r="E558" s="14">
        <f t="shared" si="17"/>
        <v>-1.8489332314817598E-3</v>
      </c>
    </row>
    <row r="559" spans="1:5" x14ac:dyDescent="0.35">
      <c r="A559" s="9">
        <v>45194</v>
      </c>
      <c r="B559" s="10">
        <v>70.989999999999995</v>
      </c>
      <c r="C559" s="11">
        <v>46394.32</v>
      </c>
      <c r="D559" s="14">
        <f t="shared" si="16"/>
        <v>-1.5471167369901469E-3</v>
      </c>
      <c r="E559" s="14">
        <f t="shared" si="17"/>
        <v>-9.0640081780662594E-4</v>
      </c>
    </row>
    <row r="560" spans="1:5" x14ac:dyDescent="0.35">
      <c r="A560" s="9">
        <v>45191</v>
      </c>
      <c r="B560" s="10">
        <v>71.099999999999994</v>
      </c>
      <c r="C560" s="11">
        <v>46436.41</v>
      </c>
      <c r="D560" s="14">
        <f t="shared" si="16"/>
        <v>1.5714285714285632E-2</v>
      </c>
      <c r="E560" s="14">
        <f t="shared" si="17"/>
        <v>2.8437699561146405E-3</v>
      </c>
    </row>
    <row r="561" spans="1:5" x14ac:dyDescent="0.35">
      <c r="A561" s="9">
        <v>45190</v>
      </c>
      <c r="B561" s="10">
        <v>70</v>
      </c>
      <c r="C561" s="11">
        <v>46304.73</v>
      </c>
      <c r="D561" s="14">
        <f t="shared" si="16"/>
        <v>-1.3945626144527327E-2</v>
      </c>
      <c r="E561" s="14">
        <f t="shared" si="17"/>
        <v>8.103409087940449E-3</v>
      </c>
    </row>
    <row r="562" spans="1:5" x14ac:dyDescent="0.35">
      <c r="A562" s="9">
        <v>45189</v>
      </c>
      <c r="B562" s="10">
        <v>70.989999999999995</v>
      </c>
      <c r="C562" s="11">
        <v>45932.52</v>
      </c>
      <c r="D562" s="14">
        <f t="shared" si="16"/>
        <v>1.3853184804341601E-2</v>
      </c>
      <c r="E562" s="14">
        <f t="shared" si="17"/>
        <v>3.9944086990111787E-4</v>
      </c>
    </row>
    <row r="563" spans="1:5" x14ac:dyDescent="0.35">
      <c r="A563" s="9">
        <v>45188</v>
      </c>
      <c r="B563" s="10">
        <v>70.02</v>
      </c>
      <c r="C563" s="11">
        <v>45914.18</v>
      </c>
      <c r="D563" s="14">
        <f t="shared" si="16"/>
        <v>2.8571428571422887E-4</v>
      </c>
      <c r="E563" s="14">
        <f t="shared" si="17"/>
        <v>3.5116431504380375E-3</v>
      </c>
    </row>
    <row r="564" spans="1:5" x14ac:dyDescent="0.35">
      <c r="A564" s="9">
        <v>45184</v>
      </c>
      <c r="B564" s="10">
        <v>70</v>
      </c>
      <c r="C564" s="11">
        <v>45753.51</v>
      </c>
      <c r="D564" s="14">
        <f t="shared" si="16"/>
        <v>0</v>
      </c>
      <c r="E564" s="14">
        <f t="shared" si="17"/>
        <v>2.2663721069308604E-3</v>
      </c>
    </row>
    <row r="565" spans="1:5" x14ac:dyDescent="0.35">
      <c r="A565" s="9">
        <v>45183</v>
      </c>
      <c r="B565" s="10">
        <v>70</v>
      </c>
      <c r="C565" s="11">
        <v>45650.05</v>
      </c>
      <c r="D565" s="14">
        <f t="shared" si="16"/>
        <v>0</v>
      </c>
      <c r="E565" s="14">
        <f t="shared" si="17"/>
        <v>1.2969687823804533E-3</v>
      </c>
    </row>
    <row r="566" spans="1:5" x14ac:dyDescent="0.35">
      <c r="A566" s="9">
        <v>45182</v>
      </c>
      <c r="B566" s="10">
        <v>70</v>
      </c>
      <c r="C566" s="11">
        <v>45590.92</v>
      </c>
      <c r="D566" s="14">
        <f t="shared" si="16"/>
        <v>0</v>
      </c>
      <c r="E566" s="14">
        <f t="shared" si="17"/>
        <v>1.8135117502508622E-3</v>
      </c>
    </row>
    <row r="567" spans="1:5" x14ac:dyDescent="0.35">
      <c r="A567" s="9">
        <v>45181</v>
      </c>
      <c r="B567" s="10">
        <v>70</v>
      </c>
      <c r="C567" s="11">
        <v>45508.39</v>
      </c>
      <c r="D567" s="14">
        <f t="shared" si="16"/>
        <v>0</v>
      </c>
      <c r="E567" s="14">
        <f t="shared" si="17"/>
        <v>-7.7910021272964312E-3</v>
      </c>
    </row>
    <row r="568" spans="1:5" x14ac:dyDescent="0.35">
      <c r="A568" s="9">
        <v>45180</v>
      </c>
      <c r="B568" s="10">
        <v>70</v>
      </c>
      <c r="C568" s="11">
        <v>45865.73</v>
      </c>
      <c r="D568" s="14">
        <f t="shared" si="16"/>
        <v>0</v>
      </c>
      <c r="E568" s="14">
        <f t="shared" si="17"/>
        <v>-3.2110155545722685E-3</v>
      </c>
    </row>
    <row r="569" spans="1:5" x14ac:dyDescent="0.35">
      <c r="A569" s="9">
        <v>45177</v>
      </c>
      <c r="B569" s="10">
        <v>70</v>
      </c>
      <c r="C569" s="11">
        <v>46013.48</v>
      </c>
      <c r="D569" s="14">
        <f t="shared" si="16"/>
        <v>1.4492753623188406E-2</v>
      </c>
      <c r="E569" s="14">
        <f t="shared" si="17"/>
        <v>5.6002078797164944E-3</v>
      </c>
    </row>
    <row r="570" spans="1:5" x14ac:dyDescent="0.35">
      <c r="A570" s="9">
        <v>45176</v>
      </c>
      <c r="B570" s="10">
        <v>69</v>
      </c>
      <c r="C570" s="11">
        <v>45757.23</v>
      </c>
      <c r="D570" s="14">
        <f t="shared" si="16"/>
        <v>-2.1276595744680851E-2</v>
      </c>
      <c r="E570" s="14">
        <f t="shared" si="17"/>
        <v>-1.0989449997019381E-3</v>
      </c>
    </row>
    <row r="571" spans="1:5" x14ac:dyDescent="0.35">
      <c r="A571" s="9">
        <v>45175</v>
      </c>
      <c r="B571" s="10">
        <v>70.5</v>
      </c>
      <c r="C571" s="11">
        <v>45807.57</v>
      </c>
      <c r="D571" s="14">
        <f t="shared" si="16"/>
        <v>2.1739130434782608E-2</v>
      </c>
      <c r="E571" s="14">
        <f t="shared" si="17"/>
        <v>6.9483340616747682E-3</v>
      </c>
    </row>
    <row r="572" spans="1:5" x14ac:dyDescent="0.35">
      <c r="A572" s="9">
        <v>45174</v>
      </c>
      <c r="B572" s="10">
        <v>69</v>
      </c>
      <c r="C572" s="11">
        <v>45491.48</v>
      </c>
      <c r="D572" s="14">
        <f t="shared" si="16"/>
        <v>-1.5916654608594911E-3</v>
      </c>
      <c r="E572" s="14">
        <f t="shared" si="17"/>
        <v>-4.724397045381145E-3</v>
      </c>
    </row>
    <row r="573" spans="1:5" x14ac:dyDescent="0.35">
      <c r="A573" s="9">
        <v>45173</v>
      </c>
      <c r="B573" s="10">
        <v>69.11</v>
      </c>
      <c r="C573" s="11">
        <v>45707.42</v>
      </c>
      <c r="D573" s="14">
        <f t="shared" si="16"/>
        <v>7.2400810889077839E-4</v>
      </c>
      <c r="E573" s="14">
        <f t="shared" si="17"/>
        <v>8.7121366770647225E-3</v>
      </c>
    </row>
    <row r="574" spans="1:5" x14ac:dyDescent="0.35">
      <c r="A574" s="9">
        <v>45170</v>
      </c>
      <c r="B574" s="10">
        <v>69.06</v>
      </c>
      <c r="C574" s="11">
        <v>45312.65</v>
      </c>
      <c r="D574" s="14">
        <f t="shared" si="16"/>
        <v>-6.3309352517985284E-3</v>
      </c>
      <c r="E574" s="14">
        <f t="shared" si="17"/>
        <v>6.8938530180938738E-3</v>
      </c>
    </row>
    <row r="575" spans="1:5" x14ac:dyDescent="0.35">
      <c r="A575" s="9">
        <v>45169</v>
      </c>
      <c r="B575" s="10">
        <v>69.5</v>
      </c>
      <c r="C575" s="11">
        <v>45002.41</v>
      </c>
      <c r="D575" s="14">
        <f t="shared" si="16"/>
        <v>7.246376811594203E-3</v>
      </c>
      <c r="E575" s="14">
        <f t="shared" si="17"/>
        <v>-2.6860246234421122E-2</v>
      </c>
    </row>
    <row r="576" spans="1:5" x14ac:dyDescent="0.35">
      <c r="A576" s="9">
        <v>45168</v>
      </c>
      <c r="B576" s="10">
        <v>69</v>
      </c>
      <c r="C576" s="11">
        <v>46244.55</v>
      </c>
      <c r="D576" s="14">
        <f t="shared" si="16"/>
        <v>0</v>
      </c>
      <c r="E576" s="14">
        <f t="shared" si="17"/>
        <v>-1.1243433615399149E-2</v>
      </c>
    </row>
    <row r="577" spans="1:5" x14ac:dyDescent="0.35">
      <c r="A577" s="9">
        <v>45167</v>
      </c>
      <c r="B577" s="10">
        <v>69</v>
      </c>
      <c r="C577" s="11">
        <v>46770.41</v>
      </c>
      <c r="D577" s="14">
        <f t="shared" si="16"/>
        <v>-7.1942446043165471E-3</v>
      </c>
      <c r="E577" s="14">
        <f t="shared" si="17"/>
        <v>-1.4916190680392646E-2</v>
      </c>
    </row>
    <row r="578" spans="1:5" x14ac:dyDescent="0.35">
      <c r="A578" s="9">
        <v>45166</v>
      </c>
      <c r="B578" s="10">
        <v>69.5</v>
      </c>
      <c r="C578" s="11">
        <v>47478.61</v>
      </c>
      <c r="D578" s="14">
        <f t="shared" si="16"/>
        <v>-2.7972027972027972E-2</v>
      </c>
      <c r="E578" s="14">
        <f t="shared" si="17"/>
        <v>-4.0401743526123747E-3</v>
      </c>
    </row>
    <row r="579" spans="1:5" x14ac:dyDescent="0.35">
      <c r="A579" s="9">
        <v>45163</v>
      </c>
      <c r="B579" s="10">
        <v>71.5</v>
      </c>
      <c r="C579" s="11">
        <v>47671.21</v>
      </c>
      <c r="D579" s="14">
        <f t="shared" si="16"/>
        <v>2.1282673903727966E-2</v>
      </c>
      <c r="E579" s="14">
        <f t="shared" si="17"/>
        <v>-1.6659420708697182E-3</v>
      </c>
    </row>
    <row r="580" spans="1:5" x14ac:dyDescent="0.35">
      <c r="A580" s="9">
        <v>45162</v>
      </c>
      <c r="B580" s="10">
        <v>70.010000000000005</v>
      </c>
      <c r="C580" s="11">
        <v>47750.76</v>
      </c>
      <c r="D580" s="14">
        <f t="shared" si="16"/>
        <v>1.4285714285721594E-4</v>
      </c>
      <c r="E580" s="14">
        <f t="shared" si="17"/>
        <v>7.0042091051556038E-3</v>
      </c>
    </row>
    <row r="581" spans="1:5" x14ac:dyDescent="0.35">
      <c r="A581" s="9">
        <v>45161</v>
      </c>
      <c r="B581" s="10">
        <v>70</v>
      </c>
      <c r="C581" s="11">
        <v>47418.63</v>
      </c>
      <c r="D581" s="14">
        <f t="shared" ref="D581:D644" si="18">(B581-B582)/B582</f>
        <v>-1.4265335235377221E-3</v>
      </c>
      <c r="E581" s="14">
        <f t="shared" ref="E581:E644" si="19">(C581-C582)/C582</f>
        <v>1.5395030146757352E-5</v>
      </c>
    </row>
    <row r="582" spans="1:5" x14ac:dyDescent="0.35">
      <c r="A582" s="9">
        <v>45160</v>
      </c>
      <c r="B582" s="10">
        <v>70.099999999999994</v>
      </c>
      <c r="C582" s="11">
        <v>47417.9</v>
      </c>
      <c r="D582" s="14">
        <f t="shared" si="18"/>
        <v>-5.673758865248308E-3</v>
      </c>
      <c r="E582" s="14">
        <f t="shared" si="19"/>
        <v>-6.3332557044078056E-4</v>
      </c>
    </row>
    <row r="583" spans="1:5" x14ac:dyDescent="0.35">
      <c r="A583" s="9">
        <v>45159</v>
      </c>
      <c r="B583" s="10">
        <v>70.5</v>
      </c>
      <c r="C583" s="11">
        <v>47447.95</v>
      </c>
      <c r="D583" s="14">
        <f t="shared" si="18"/>
        <v>-1.0526315789473684E-2</v>
      </c>
      <c r="E583" s="14">
        <f t="shared" si="19"/>
        <v>-1.5980176898944803E-2</v>
      </c>
    </row>
    <row r="584" spans="1:5" x14ac:dyDescent="0.35">
      <c r="A584" s="9">
        <v>45156</v>
      </c>
      <c r="B584" s="10">
        <v>71.25</v>
      </c>
      <c r="C584" s="11">
        <v>48218.49</v>
      </c>
      <c r="D584" s="14">
        <f t="shared" si="18"/>
        <v>3.5211267605633804E-3</v>
      </c>
      <c r="E584" s="14">
        <f t="shared" si="19"/>
        <v>-2.2213788730831899E-3</v>
      </c>
    </row>
    <row r="585" spans="1:5" x14ac:dyDescent="0.35">
      <c r="A585" s="9">
        <v>45155</v>
      </c>
      <c r="B585" s="10">
        <v>71</v>
      </c>
      <c r="C585" s="11">
        <v>48325.84</v>
      </c>
      <c r="D585" s="14">
        <f t="shared" si="18"/>
        <v>-1.3888888888888888E-2</v>
      </c>
      <c r="E585" s="14">
        <f t="shared" si="19"/>
        <v>3.7263406653410486E-3</v>
      </c>
    </row>
    <row r="586" spans="1:5" x14ac:dyDescent="0.35">
      <c r="A586" s="9">
        <v>45154</v>
      </c>
      <c r="B586" s="10">
        <v>72</v>
      </c>
      <c r="C586" s="11">
        <v>48146.43</v>
      </c>
      <c r="D586" s="14">
        <f t="shared" si="18"/>
        <v>1.4084507042253521E-2</v>
      </c>
      <c r="E586" s="14">
        <f t="shared" si="19"/>
        <v>-8.6340682476848344E-3</v>
      </c>
    </row>
    <row r="587" spans="1:5" x14ac:dyDescent="0.35">
      <c r="A587" s="9">
        <v>45153</v>
      </c>
      <c r="B587" s="10">
        <v>71</v>
      </c>
      <c r="C587" s="11">
        <v>48565.75</v>
      </c>
      <c r="D587" s="14">
        <f t="shared" si="18"/>
        <v>-2.8089887640449836E-3</v>
      </c>
      <c r="E587" s="14">
        <f t="shared" si="19"/>
        <v>2.9189829920453023E-3</v>
      </c>
    </row>
    <row r="588" spans="1:5" x14ac:dyDescent="0.35">
      <c r="A588" s="9">
        <v>45149</v>
      </c>
      <c r="B588" s="10">
        <v>71.2</v>
      </c>
      <c r="C588" s="11">
        <v>48424.4</v>
      </c>
      <c r="D588" s="14">
        <f t="shared" si="18"/>
        <v>2.8169014084507443E-3</v>
      </c>
      <c r="E588" s="14">
        <f t="shared" si="19"/>
        <v>1.288603620205188E-2</v>
      </c>
    </row>
    <row r="589" spans="1:5" x14ac:dyDescent="0.35">
      <c r="A589" s="9">
        <v>45148</v>
      </c>
      <c r="B589" s="10">
        <v>71</v>
      </c>
      <c r="C589" s="11">
        <v>47808.34</v>
      </c>
      <c r="D589" s="14">
        <f t="shared" si="18"/>
        <v>-6.993006993006993E-3</v>
      </c>
      <c r="E589" s="14">
        <f t="shared" si="19"/>
        <v>-8.6933623070607289E-3</v>
      </c>
    </row>
    <row r="590" spans="1:5" x14ac:dyDescent="0.35">
      <c r="A590" s="9">
        <v>45147</v>
      </c>
      <c r="B590" s="10">
        <v>71.5</v>
      </c>
      <c r="C590" s="11">
        <v>48227.6</v>
      </c>
      <c r="D590" s="14">
        <f t="shared" si="18"/>
        <v>1.7793594306049824E-2</v>
      </c>
      <c r="E590" s="14">
        <f t="shared" si="19"/>
        <v>1.6820219853248417E-2</v>
      </c>
    </row>
    <row r="591" spans="1:5" x14ac:dyDescent="0.35">
      <c r="A591" s="9">
        <v>45146</v>
      </c>
      <c r="B591" s="10">
        <v>70.25</v>
      </c>
      <c r="C591" s="11">
        <v>47429.82</v>
      </c>
      <c r="D591" s="14">
        <f t="shared" si="18"/>
        <v>-1.0563380281690141E-2</v>
      </c>
      <c r="E591" s="14">
        <f t="shared" si="19"/>
        <v>-1.9766565914903517E-2</v>
      </c>
    </row>
    <row r="592" spans="1:5" x14ac:dyDescent="0.35">
      <c r="A592" s="9">
        <v>45145</v>
      </c>
      <c r="B592" s="10">
        <v>71</v>
      </c>
      <c r="C592" s="11">
        <v>48386.25</v>
      </c>
      <c r="D592" s="14">
        <f t="shared" si="18"/>
        <v>-3.5087719298245615E-3</v>
      </c>
      <c r="E592" s="14">
        <f t="shared" si="19"/>
        <v>-4.1053223262559942E-3</v>
      </c>
    </row>
    <row r="593" spans="1:5" x14ac:dyDescent="0.35">
      <c r="A593" s="9">
        <v>45142</v>
      </c>
      <c r="B593" s="10">
        <v>71.25</v>
      </c>
      <c r="C593" s="11">
        <v>48585.71</v>
      </c>
      <c r="D593" s="14">
        <f t="shared" si="18"/>
        <v>-3.4965034965034965E-3</v>
      </c>
      <c r="E593" s="14">
        <f t="shared" si="19"/>
        <v>-5.2395354319728844E-4</v>
      </c>
    </row>
    <row r="594" spans="1:5" x14ac:dyDescent="0.35">
      <c r="A594" s="9">
        <v>45141</v>
      </c>
      <c r="B594" s="10">
        <v>71.5</v>
      </c>
      <c r="C594" s="11">
        <v>48611.18</v>
      </c>
      <c r="D594" s="14">
        <f t="shared" si="18"/>
        <v>-2.0547945205479451E-2</v>
      </c>
      <c r="E594" s="14">
        <f t="shared" si="19"/>
        <v>-3.1451125869100117E-3</v>
      </c>
    </row>
    <row r="595" spans="1:5" x14ac:dyDescent="0.35">
      <c r="A595" s="9">
        <v>45140</v>
      </c>
      <c r="B595" s="10">
        <v>73</v>
      </c>
      <c r="C595" s="11">
        <v>48764.55</v>
      </c>
      <c r="D595" s="14">
        <f t="shared" si="18"/>
        <v>1.5016685205784181E-2</v>
      </c>
      <c r="E595" s="14">
        <f t="shared" si="19"/>
        <v>1.1072868827816483E-2</v>
      </c>
    </row>
    <row r="596" spans="1:5" x14ac:dyDescent="0.35">
      <c r="A596" s="9">
        <v>45139</v>
      </c>
      <c r="B596" s="10">
        <v>71.92</v>
      </c>
      <c r="C596" s="11">
        <v>48230.5</v>
      </c>
      <c r="D596" s="14">
        <f t="shared" si="18"/>
        <v>5.7334638512095727E-3</v>
      </c>
      <c r="E596" s="14">
        <f t="shared" si="19"/>
        <v>4.0785192503985882E-3</v>
      </c>
    </row>
    <row r="597" spans="1:5" x14ac:dyDescent="0.35">
      <c r="A597" s="9">
        <v>45138</v>
      </c>
      <c r="B597" s="10">
        <v>71.510000000000005</v>
      </c>
      <c r="C597" s="11">
        <v>48034.59</v>
      </c>
      <c r="D597" s="14">
        <f t="shared" si="18"/>
        <v>6.4743138634765374E-3</v>
      </c>
      <c r="E597" s="14">
        <f t="shared" si="19"/>
        <v>1.8997621081116148E-2</v>
      </c>
    </row>
    <row r="598" spans="1:5" x14ac:dyDescent="0.35">
      <c r="A598" s="9">
        <v>45134</v>
      </c>
      <c r="B598" s="10">
        <v>71.05</v>
      </c>
      <c r="C598" s="11">
        <v>47139.06</v>
      </c>
      <c r="D598" s="14">
        <f t="shared" si="18"/>
        <v>-9.6180652355728705E-3</v>
      </c>
      <c r="E598" s="14">
        <f t="shared" si="19"/>
        <v>8.8707057398909935E-3</v>
      </c>
    </row>
    <row r="599" spans="1:5" x14ac:dyDescent="0.35">
      <c r="A599" s="9">
        <v>45133</v>
      </c>
      <c r="B599" s="10">
        <v>71.739999999999995</v>
      </c>
      <c r="C599" s="11">
        <v>46724.58</v>
      </c>
      <c r="D599" s="14">
        <f t="shared" si="18"/>
        <v>-3.3342595165324965E-3</v>
      </c>
      <c r="E599" s="14">
        <f t="shared" si="19"/>
        <v>7.012186842796077E-3</v>
      </c>
    </row>
    <row r="600" spans="1:5" x14ac:dyDescent="0.35">
      <c r="A600" s="9">
        <v>45132</v>
      </c>
      <c r="B600" s="10">
        <v>71.98</v>
      </c>
      <c r="C600" s="11">
        <v>46399.22</v>
      </c>
      <c r="D600" s="14">
        <f t="shared" si="18"/>
        <v>1.0245614035087775E-2</v>
      </c>
      <c r="E600" s="14">
        <f t="shared" si="19"/>
        <v>7.2433738444455395E-3</v>
      </c>
    </row>
    <row r="601" spans="1:5" x14ac:dyDescent="0.35">
      <c r="A601" s="9">
        <v>45131</v>
      </c>
      <c r="B601" s="10">
        <v>71.25</v>
      </c>
      <c r="C601" s="11">
        <v>46065.55</v>
      </c>
      <c r="D601" s="14">
        <f t="shared" si="18"/>
        <v>1.0351673284174759E-2</v>
      </c>
      <c r="E601" s="14">
        <f t="shared" si="19"/>
        <v>3.863515417668939E-3</v>
      </c>
    </row>
    <row r="602" spans="1:5" x14ac:dyDescent="0.35">
      <c r="A602" s="9">
        <v>45128</v>
      </c>
      <c r="B602" s="10">
        <v>70.52</v>
      </c>
      <c r="C602" s="11">
        <v>45888.26</v>
      </c>
      <c r="D602" s="14">
        <f t="shared" si="18"/>
        <v>-6.760563380281746E-3</v>
      </c>
      <c r="E602" s="14">
        <f t="shared" si="19"/>
        <v>1.0163212815052339E-2</v>
      </c>
    </row>
    <row r="603" spans="1:5" x14ac:dyDescent="0.35">
      <c r="A603" s="9">
        <v>45127</v>
      </c>
      <c r="B603" s="10">
        <v>71</v>
      </c>
      <c r="C603" s="11">
        <v>45426.58</v>
      </c>
      <c r="D603" s="14">
        <f t="shared" si="18"/>
        <v>-1.2517385257301885E-2</v>
      </c>
      <c r="E603" s="14">
        <f t="shared" si="19"/>
        <v>7.5466333143549271E-3</v>
      </c>
    </row>
    <row r="604" spans="1:5" x14ac:dyDescent="0.35">
      <c r="A604" s="9">
        <v>45126</v>
      </c>
      <c r="B604" s="10">
        <v>71.900000000000006</v>
      </c>
      <c r="C604" s="11">
        <v>45086.33</v>
      </c>
      <c r="D604" s="14">
        <f t="shared" si="18"/>
        <v>5.5944055944056742E-3</v>
      </c>
      <c r="E604" s="14">
        <f t="shared" si="19"/>
        <v>1.482465744357184E-3</v>
      </c>
    </row>
    <row r="605" spans="1:5" x14ac:dyDescent="0.35">
      <c r="A605" s="9">
        <v>45125</v>
      </c>
      <c r="B605" s="10">
        <v>71.5</v>
      </c>
      <c r="C605" s="11">
        <v>45019.59</v>
      </c>
      <c r="D605" s="14">
        <f t="shared" si="18"/>
        <v>-1.3793103448275862E-2</v>
      </c>
      <c r="E605" s="14">
        <f t="shared" si="19"/>
        <v>-6.1624046697535009E-4</v>
      </c>
    </row>
    <row r="606" spans="1:5" x14ac:dyDescent="0.35">
      <c r="A606" s="9">
        <v>45124</v>
      </c>
      <c r="B606" s="10">
        <v>72.5</v>
      </c>
      <c r="C606" s="11">
        <v>45047.35</v>
      </c>
      <c r="D606" s="14">
        <f t="shared" si="18"/>
        <v>2.1126760563380281E-2</v>
      </c>
      <c r="E606" s="14">
        <f t="shared" si="19"/>
        <v>-5.455722562641808E-4</v>
      </c>
    </row>
    <row r="607" spans="1:5" x14ac:dyDescent="0.35">
      <c r="A607" s="9">
        <v>45121</v>
      </c>
      <c r="B607" s="10">
        <v>71</v>
      </c>
      <c r="C607" s="11">
        <v>45071.94</v>
      </c>
      <c r="D607" s="14">
        <f t="shared" si="18"/>
        <v>2.8687337003767084E-2</v>
      </c>
      <c r="E607" s="14">
        <f t="shared" si="19"/>
        <v>-4.9579967732619303E-3</v>
      </c>
    </row>
    <row r="608" spans="1:5" x14ac:dyDescent="0.35">
      <c r="A608" s="9">
        <v>45120</v>
      </c>
      <c r="B608" s="10">
        <v>69.02</v>
      </c>
      <c r="C608" s="11">
        <v>45296.52</v>
      </c>
      <c r="D608" s="14">
        <f t="shared" si="18"/>
        <v>-4.7868671540902179E-2</v>
      </c>
      <c r="E608" s="14">
        <f t="shared" si="19"/>
        <v>-6.2440312471410998E-3</v>
      </c>
    </row>
    <row r="609" spans="1:5" x14ac:dyDescent="0.35">
      <c r="A609" s="9">
        <v>45119</v>
      </c>
      <c r="B609" s="10">
        <v>72.489999999999995</v>
      </c>
      <c r="C609" s="11">
        <v>45581.13</v>
      </c>
      <c r="D609" s="14">
        <f t="shared" si="18"/>
        <v>1.5550574390585591E-2</v>
      </c>
      <c r="E609" s="14">
        <f t="shared" si="19"/>
        <v>8.895680603675498E-3</v>
      </c>
    </row>
    <row r="610" spans="1:5" x14ac:dyDescent="0.35">
      <c r="A610" s="9">
        <v>45118</v>
      </c>
      <c r="B610" s="10">
        <v>71.38</v>
      </c>
      <c r="C610" s="11">
        <v>45179.23</v>
      </c>
      <c r="D610" s="14">
        <f t="shared" si="18"/>
        <v>-2.2191780821917872E-2</v>
      </c>
      <c r="E610" s="14">
        <f t="shared" si="19"/>
        <v>1.3855134283115085E-2</v>
      </c>
    </row>
    <row r="611" spans="1:5" x14ac:dyDescent="0.35">
      <c r="A611" s="9">
        <v>45117</v>
      </c>
      <c r="B611" s="10">
        <v>73</v>
      </c>
      <c r="C611" s="11">
        <v>44561.82</v>
      </c>
      <c r="D611" s="14">
        <f t="shared" si="18"/>
        <v>6.7407515718672317E-2</v>
      </c>
      <c r="E611" s="14">
        <f t="shared" si="19"/>
        <v>6.2526927902320124E-3</v>
      </c>
    </row>
    <row r="612" spans="1:5" x14ac:dyDescent="0.35">
      <c r="A612" s="9">
        <v>45114</v>
      </c>
      <c r="B612" s="10">
        <v>68.39</v>
      </c>
      <c r="C612" s="11">
        <v>44284.92</v>
      </c>
      <c r="D612" s="14">
        <f t="shared" si="18"/>
        <v>-1.6058394160583858E-3</v>
      </c>
      <c r="E612" s="14">
        <f t="shared" si="19"/>
        <v>1.6556695826354887E-3</v>
      </c>
    </row>
    <row r="613" spans="1:5" x14ac:dyDescent="0.35">
      <c r="A613" s="9">
        <v>45113</v>
      </c>
      <c r="B613" s="10">
        <v>68.5</v>
      </c>
      <c r="C613" s="11">
        <v>44211.72</v>
      </c>
      <c r="D613" s="14">
        <f t="shared" si="18"/>
        <v>1.6320474777447986E-2</v>
      </c>
      <c r="E613" s="14">
        <f t="shared" si="19"/>
        <v>1.5105681913935968E-2</v>
      </c>
    </row>
    <row r="614" spans="1:5" x14ac:dyDescent="0.35">
      <c r="A614" s="9">
        <v>45112</v>
      </c>
      <c r="B614" s="10">
        <v>67.400000000000006</v>
      </c>
      <c r="C614" s="11">
        <v>43553.81</v>
      </c>
      <c r="D614" s="14">
        <f t="shared" si="18"/>
        <v>5.2199850857570255E-3</v>
      </c>
      <c r="E614" s="14">
        <f t="shared" si="19"/>
        <v>1.17049694859349E-3</v>
      </c>
    </row>
    <row r="615" spans="1:5" x14ac:dyDescent="0.35">
      <c r="A615" s="9">
        <v>45111</v>
      </c>
      <c r="B615" s="10">
        <v>67.05</v>
      </c>
      <c r="C615" s="11">
        <v>43502.89</v>
      </c>
      <c r="D615" s="14">
        <f t="shared" si="18"/>
        <v>-1.4260511614231093E-2</v>
      </c>
      <c r="E615" s="14">
        <f t="shared" si="19"/>
        <v>-9.1200454453413734E-3</v>
      </c>
    </row>
    <row r="616" spans="1:5" x14ac:dyDescent="0.35">
      <c r="A616" s="9">
        <v>45110</v>
      </c>
      <c r="B616" s="10">
        <v>68.02</v>
      </c>
      <c r="C616" s="11">
        <v>43903.29</v>
      </c>
      <c r="D616" s="14">
        <f t="shared" si="18"/>
        <v>1.5223880597014867E-2</v>
      </c>
      <c r="E616" s="14">
        <f t="shared" si="19"/>
        <v>5.9118252426622372E-2</v>
      </c>
    </row>
    <row r="617" spans="1:5" x14ac:dyDescent="0.35">
      <c r="A617" s="9">
        <v>45104</v>
      </c>
      <c r="B617" s="10">
        <v>67</v>
      </c>
      <c r="C617" s="11">
        <v>41452.68</v>
      </c>
      <c r="D617" s="14">
        <f t="shared" si="18"/>
        <v>-2.1897810218978103E-2</v>
      </c>
      <c r="E617" s="14">
        <f t="shared" si="19"/>
        <v>1.597378086659527E-3</v>
      </c>
    </row>
    <row r="618" spans="1:5" x14ac:dyDescent="0.35">
      <c r="A618" s="9">
        <v>45103</v>
      </c>
      <c r="B618" s="10">
        <v>68.5</v>
      </c>
      <c r="C618" s="11">
        <v>41386.57</v>
      </c>
      <c r="D618" s="14">
        <f t="shared" si="18"/>
        <v>4.5482295482295543E-2</v>
      </c>
      <c r="E618" s="14">
        <f t="shared" si="19"/>
        <v>3.2332211534144346E-2</v>
      </c>
    </row>
    <row r="619" spans="1:5" x14ac:dyDescent="0.35">
      <c r="A619" s="9">
        <v>45100</v>
      </c>
      <c r="B619" s="10">
        <v>65.52</v>
      </c>
      <c r="C619" s="11">
        <v>40090.36</v>
      </c>
      <c r="D619" s="14">
        <f t="shared" si="18"/>
        <v>-1.2195121951219254E-3</v>
      </c>
      <c r="E619" s="14">
        <f t="shared" si="19"/>
        <v>-2.276650347520072E-3</v>
      </c>
    </row>
    <row r="620" spans="1:5" x14ac:dyDescent="0.35">
      <c r="A620" s="9">
        <v>45099</v>
      </c>
      <c r="B620" s="10">
        <v>65.599999999999994</v>
      </c>
      <c r="C620" s="11">
        <v>40181.839999999997</v>
      </c>
      <c r="D620" s="14">
        <f t="shared" si="18"/>
        <v>-4.2056074766355277E-2</v>
      </c>
      <c r="E620" s="14">
        <f t="shared" si="19"/>
        <v>-1.1911579885141132E-3</v>
      </c>
    </row>
    <row r="621" spans="1:5" x14ac:dyDescent="0.35">
      <c r="A621" s="9">
        <v>45098</v>
      </c>
      <c r="B621" s="10">
        <v>68.48</v>
      </c>
      <c r="C621" s="11">
        <v>40229.760000000002</v>
      </c>
      <c r="D621" s="14">
        <f t="shared" si="18"/>
        <v>4.5496183206106933E-2</v>
      </c>
      <c r="E621" s="14">
        <f t="shared" si="19"/>
        <v>-1.0276651836719056E-2</v>
      </c>
    </row>
    <row r="622" spans="1:5" x14ac:dyDescent="0.35">
      <c r="A622" s="9">
        <v>45097</v>
      </c>
      <c r="B622" s="10">
        <v>65.5</v>
      </c>
      <c r="C622" s="11">
        <v>40647.480000000003</v>
      </c>
      <c r="D622" s="14">
        <f t="shared" si="18"/>
        <v>-3.6623032798940948E-2</v>
      </c>
      <c r="E622" s="14">
        <f t="shared" si="19"/>
        <v>-7.3061921823593299E-5</v>
      </c>
    </row>
    <row r="623" spans="1:5" x14ac:dyDescent="0.35">
      <c r="A623" s="9">
        <v>45096</v>
      </c>
      <c r="B623" s="10">
        <v>67.989999999999995</v>
      </c>
      <c r="C623" s="11">
        <v>40650.449999999997</v>
      </c>
      <c r="D623" s="14">
        <f t="shared" si="18"/>
        <v>1.4927601134497688E-2</v>
      </c>
      <c r="E623" s="14">
        <f t="shared" si="19"/>
        <v>-1.6573635320510025E-2</v>
      </c>
    </row>
    <row r="624" spans="1:5" x14ac:dyDescent="0.35">
      <c r="A624" s="9">
        <v>45093</v>
      </c>
      <c r="B624" s="10">
        <v>66.989999999999995</v>
      </c>
      <c r="C624" s="11">
        <v>41335.53</v>
      </c>
      <c r="D624" s="14">
        <f t="shared" si="18"/>
        <v>-1.4925373134335994E-4</v>
      </c>
      <c r="E624" s="14">
        <f t="shared" si="19"/>
        <v>-1.6657609680107515E-3</v>
      </c>
    </row>
    <row r="625" spans="1:5" x14ac:dyDescent="0.35">
      <c r="A625" s="9">
        <v>45092</v>
      </c>
      <c r="B625" s="10">
        <v>67</v>
      </c>
      <c r="C625" s="11">
        <v>41404.5</v>
      </c>
      <c r="D625" s="14">
        <f t="shared" si="18"/>
        <v>0</v>
      </c>
      <c r="E625" s="14">
        <f t="shared" si="19"/>
        <v>-3.1868072871163045E-3</v>
      </c>
    </row>
    <row r="626" spans="1:5" x14ac:dyDescent="0.35">
      <c r="A626" s="9">
        <v>45091</v>
      </c>
      <c r="B626" s="10">
        <v>67</v>
      </c>
      <c r="C626" s="11">
        <v>41536.870000000003</v>
      </c>
      <c r="D626" s="14">
        <f t="shared" si="18"/>
        <v>0</v>
      </c>
      <c r="E626" s="14">
        <f t="shared" si="19"/>
        <v>1.7093539701289834E-5</v>
      </c>
    </row>
    <row r="627" spans="1:5" x14ac:dyDescent="0.35">
      <c r="A627" s="9">
        <v>45090</v>
      </c>
      <c r="B627" s="10">
        <v>67</v>
      </c>
      <c r="C627" s="11">
        <v>41536.160000000003</v>
      </c>
      <c r="D627" s="14">
        <f t="shared" si="18"/>
        <v>1.5151515151515152E-2</v>
      </c>
      <c r="E627" s="14">
        <f t="shared" si="19"/>
        <v>-5.6537425611642503E-3</v>
      </c>
    </row>
    <row r="628" spans="1:5" x14ac:dyDescent="0.35">
      <c r="A628" s="9">
        <v>45089</v>
      </c>
      <c r="B628" s="10">
        <v>66</v>
      </c>
      <c r="C628" s="11">
        <v>41772.33</v>
      </c>
      <c r="D628" s="14">
        <f t="shared" si="18"/>
        <v>-1.4925373134328358E-2</v>
      </c>
      <c r="E628" s="14">
        <f t="shared" si="19"/>
        <v>-3.162640323819214E-3</v>
      </c>
    </row>
    <row r="629" spans="1:5" x14ac:dyDescent="0.35">
      <c r="A629" s="9">
        <v>45086</v>
      </c>
      <c r="B629" s="10">
        <v>67</v>
      </c>
      <c r="C629" s="11">
        <v>41904.86</v>
      </c>
      <c r="D629" s="14">
        <f t="shared" si="18"/>
        <v>0</v>
      </c>
      <c r="E629" s="14">
        <f t="shared" si="19"/>
        <v>5.6827686043534262E-3</v>
      </c>
    </row>
    <row r="630" spans="1:5" x14ac:dyDescent="0.35">
      <c r="A630" s="9">
        <v>45085</v>
      </c>
      <c r="B630" s="10">
        <v>67</v>
      </c>
      <c r="C630" s="11">
        <v>41668.07</v>
      </c>
      <c r="D630" s="14">
        <f t="shared" si="18"/>
        <v>0</v>
      </c>
      <c r="E630" s="14">
        <f t="shared" si="19"/>
        <v>-1.0711261984433744E-2</v>
      </c>
    </row>
    <row r="631" spans="1:5" x14ac:dyDescent="0.35">
      <c r="A631" s="9">
        <v>45084</v>
      </c>
      <c r="B631" s="10">
        <v>67</v>
      </c>
      <c r="C631" s="11">
        <v>42119.22</v>
      </c>
      <c r="D631" s="14">
        <f t="shared" si="18"/>
        <v>-8.9472114524309979E-4</v>
      </c>
      <c r="E631" s="14">
        <f t="shared" si="19"/>
        <v>4.9230689945430565E-3</v>
      </c>
    </row>
    <row r="632" spans="1:5" x14ac:dyDescent="0.35">
      <c r="A632" s="9">
        <v>45083</v>
      </c>
      <c r="B632" s="10">
        <v>67.06</v>
      </c>
      <c r="C632" s="11">
        <v>41912.879999999997</v>
      </c>
      <c r="D632" s="14">
        <f t="shared" si="18"/>
        <v>1.4914243102170195E-4</v>
      </c>
      <c r="E632" s="14">
        <f t="shared" si="19"/>
        <v>6.5888493181675374E-3</v>
      </c>
    </row>
    <row r="633" spans="1:5" x14ac:dyDescent="0.35">
      <c r="A633" s="9">
        <v>45082</v>
      </c>
      <c r="B633" s="10">
        <v>67.05</v>
      </c>
      <c r="C633" s="11">
        <v>41638.53</v>
      </c>
      <c r="D633" s="14">
        <f t="shared" si="18"/>
        <v>7.4626865671637553E-4</v>
      </c>
      <c r="E633" s="14">
        <f t="shared" si="19"/>
        <v>6.8258139521388036E-3</v>
      </c>
    </row>
    <row r="634" spans="1:5" x14ac:dyDescent="0.35">
      <c r="A634" s="9">
        <v>45079</v>
      </c>
      <c r="B634" s="10">
        <v>67</v>
      </c>
      <c r="C634" s="11">
        <v>41356.239999999998</v>
      </c>
      <c r="D634" s="14">
        <f t="shared" si="18"/>
        <v>0</v>
      </c>
      <c r="E634" s="14">
        <f t="shared" si="19"/>
        <v>1.9993351701760053E-3</v>
      </c>
    </row>
    <row r="635" spans="1:5" x14ac:dyDescent="0.35">
      <c r="A635" s="9">
        <v>45078</v>
      </c>
      <c r="B635" s="10">
        <v>67</v>
      </c>
      <c r="C635" s="11">
        <v>41273.72</v>
      </c>
      <c r="D635" s="14">
        <f t="shared" si="18"/>
        <v>0</v>
      </c>
      <c r="E635" s="14">
        <f t="shared" si="19"/>
        <v>-1.5506381323446314E-3</v>
      </c>
    </row>
    <row r="636" spans="1:5" x14ac:dyDescent="0.35">
      <c r="A636" s="9">
        <v>45077</v>
      </c>
      <c r="B636" s="10">
        <v>67</v>
      </c>
      <c r="C636" s="11">
        <v>41337.82</v>
      </c>
      <c r="D636" s="14">
        <f t="shared" si="18"/>
        <v>0</v>
      </c>
      <c r="E636" s="14">
        <f t="shared" si="19"/>
        <v>-7.8728743083364156E-3</v>
      </c>
    </row>
    <row r="637" spans="1:5" x14ac:dyDescent="0.35">
      <c r="A637" s="9">
        <v>45076</v>
      </c>
      <c r="B637" s="10">
        <v>67</v>
      </c>
      <c r="C637" s="11">
        <v>41665.85</v>
      </c>
      <c r="D637" s="14">
        <f t="shared" si="18"/>
        <v>0</v>
      </c>
      <c r="E637" s="14">
        <f t="shared" si="19"/>
        <v>7.6323601429253403E-3</v>
      </c>
    </row>
    <row r="638" spans="1:5" x14ac:dyDescent="0.35">
      <c r="A638" s="9">
        <v>45075</v>
      </c>
      <c r="B638" s="10">
        <v>67</v>
      </c>
      <c r="C638" s="11">
        <v>41350.25</v>
      </c>
      <c r="D638" s="14">
        <f t="shared" si="18"/>
        <v>-2.9841838257230711E-4</v>
      </c>
      <c r="E638" s="14">
        <f t="shared" si="19"/>
        <v>8.4787306170828556E-3</v>
      </c>
    </row>
    <row r="639" spans="1:5" x14ac:dyDescent="0.35">
      <c r="A639" s="9">
        <v>45072</v>
      </c>
      <c r="B639" s="10">
        <v>67.02</v>
      </c>
      <c r="C639" s="11">
        <v>41002.6</v>
      </c>
      <c r="D639" s="14">
        <f t="shared" si="18"/>
        <v>2.9850746268650775E-4</v>
      </c>
      <c r="E639" s="14">
        <f t="shared" si="19"/>
        <v>-1.648393121063259E-3</v>
      </c>
    </row>
    <row r="640" spans="1:5" x14ac:dyDescent="0.35">
      <c r="A640" s="9">
        <v>45071</v>
      </c>
      <c r="B640" s="10">
        <v>67</v>
      </c>
      <c r="C640" s="11">
        <v>41070.300000000003</v>
      </c>
      <c r="D640" s="14">
        <f t="shared" si="18"/>
        <v>-3.5138248847926233E-2</v>
      </c>
      <c r="E640" s="14">
        <f t="shared" si="19"/>
        <v>-6.8567012697307267E-4</v>
      </c>
    </row>
    <row r="641" spans="1:5" x14ac:dyDescent="0.35">
      <c r="A641" s="9">
        <v>45070</v>
      </c>
      <c r="B641" s="10">
        <v>69.44</v>
      </c>
      <c r="C641" s="11">
        <v>41098.480000000003</v>
      </c>
      <c r="D641" s="14">
        <f t="shared" si="18"/>
        <v>6.3768115942028653E-3</v>
      </c>
      <c r="E641" s="14">
        <f t="shared" si="19"/>
        <v>-4.4142722786362065E-4</v>
      </c>
    </row>
    <row r="642" spans="1:5" x14ac:dyDescent="0.35">
      <c r="A642" s="9">
        <v>45069</v>
      </c>
      <c r="B642" s="10">
        <v>69</v>
      </c>
      <c r="C642" s="11">
        <v>41116.629999999997</v>
      </c>
      <c r="D642" s="14">
        <f t="shared" si="18"/>
        <v>5.3435114503816793E-2</v>
      </c>
      <c r="E642" s="14">
        <f t="shared" si="19"/>
        <v>-2.1083160411130759E-3</v>
      </c>
    </row>
    <row r="643" spans="1:5" x14ac:dyDescent="0.35">
      <c r="A643" s="9">
        <v>45068</v>
      </c>
      <c r="B643" s="10">
        <v>65.5</v>
      </c>
      <c r="C643" s="11">
        <v>41203.5</v>
      </c>
      <c r="D643" s="14">
        <f t="shared" si="18"/>
        <v>-3.7472446730345291E-2</v>
      </c>
      <c r="E643" s="14">
        <f t="shared" si="19"/>
        <v>-9.8851684506043782E-3</v>
      </c>
    </row>
    <row r="644" spans="1:5" x14ac:dyDescent="0.35">
      <c r="A644" s="9">
        <v>45065</v>
      </c>
      <c r="B644" s="10">
        <v>68.05</v>
      </c>
      <c r="C644" s="11">
        <v>41614.870000000003</v>
      </c>
      <c r="D644" s="14">
        <f t="shared" si="18"/>
        <v>3.8931297709923623E-2</v>
      </c>
      <c r="E644" s="14">
        <f t="shared" si="19"/>
        <v>3.440135801814361E-3</v>
      </c>
    </row>
    <row r="645" spans="1:5" x14ac:dyDescent="0.35">
      <c r="A645" s="9">
        <v>45064</v>
      </c>
      <c r="B645" s="10">
        <v>65.5</v>
      </c>
      <c r="C645" s="11">
        <v>41472.199999999997</v>
      </c>
      <c r="D645" s="14">
        <f t="shared" ref="D645:D708" si="20">(B645-B646)/B646</f>
        <v>0</v>
      </c>
      <c r="E645" s="14">
        <f t="shared" ref="E645:E708" si="21">(C645-C646)/C646</f>
        <v>-8.685671068901479E-3</v>
      </c>
    </row>
    <row r="646" spans="1:5" x14ac:dyDescent="0.35">
      <c r="A646" s="9">
        <v>45063</v>
      </c>
      <c r="B646" s="10">
        <v>65.5</v>
      </c>
      <c r="C646" s="11">
        <v>41835.57</v>
      </c>
      <c r="D646" s="14">
        <f t="shared" si="20"/>
        <v>0</v>
      </c>
      <c r="E646" s="14">
        <f t="shared" si="21"/>
        <v>-3.44353388138621E-3</v>
      </c>
    </row>
    <row r="647" spans="1:5" x14ac:dyDescent="0.35">
      <c r="A647" s="9">
        <v>45062</v>
      </c>
      <c r="B647" s="10">
        <v>65.5</v>
      </c>
      <c r="C647" s="11">
        <v>41980.13</v>
      </c>
      <c r="D647" s="14">
        <f t="shared" si="20"/>
        <v>-7.575757575757576E-3</v>
      </c>
      <c r="E647" s="14">
        <f t="shared" si="21"/>
        <v>6.3253513138520883E-3</v>
      </c>
    </row>
    <row r="648" spans="1:5" x14ac:dyDescent="0.35">
      <c r="A648" s="9">
        <v>45061</v>
      </c>
      <c r="B648" s="10">
        <v>66</v>
      </c>
      <c r="C648" s="11">
        <v>41716.26</v>
      </c>
      <c r="D648" s="14">
        <f t="shared" si="20"/>
        <v>1.1494252873563218E-2</v>
      </c>
      <c r="E648" s="14">
        <f t="shared" si="21"/>
        <v>5.5120110645161821E-3</v>
      </c>
    </row>
    <row r="649" spans="1:5" x14ac:dyDescent="0.35">
      <c r="A649" s="9">
        <v>45058</v>
      </c>
      <c r="B649" s="10">
        <v>65.25</v>
      </c>
      <c r="C649" s="11">
        <v>41487.58</v>
      </c>
      <c r="D649" s="14">
        <f t="shared" si="20"/>
        <v>3.8461538461538464E-3</v>
      </c>
      <c r="E649" s="14">
        <f t="shared" si="21"/>
        <v>1.0045782161633907E-2</v>
      </c>
    </row>
    <row r="650" spans="1:5" x14ac:dyDescent="0.35">
      <c r="A650" s="9">
        <v>45056</v>
      </c>
      <c r="B650" s="10">
        <v>65</v>
      </c>
      <c r="C650" s="11">
        <v>41074.949999999997</v>
      </c>
      <c r="D650" s="14">
        <f t="shared" si="20"/>
        <v>0</v>
      </c>
      <c r="E650" s="14">
        <f t="shared" si="21"/>
        <v>-7.2234101717971004E-3</v>
      </c>
    </row>
    <row r="651" spans="1:5" x14ac:dyDescent="0.35">
      <c r="A651" s="9">
        <v>45055</v>
      </c>
      <c r="B651" s="10">
        <v>65</v>
      </c>
      <c r="C651" s="11">
        <v>41373.81</v>
      </c>
      <c r="D651" s="14">
        <f t="shared" si="20"/>
        <v>0</v>
      </c>
      <c r="E651" s="14">
        <f t="shared" si="21"/>
        <v>-1.0893749840124761E-2</v>
      </c>
    </row>
    <row r="652" spans="1:5" x14ac:dyDescent="0.35">
      <c r="A652" s="9">
        <v>45054</v>
      </c>
      <c r="B652" s="10">
        <v>65</v>
      </c>
      <c r="C652" s="11">
        <v>41829.49</v>
      </c>
      <c r="D652" s="14">
        <f t="shared" si="20"/>
        <v>-4.2709867452135571E-2</v>
      </c>
      <c r="E652" s="14">
        <f t="shared" si="21"/>
        <v>-9.7649305264574538E-3</v>
      </c>
    </row>
    <row r="653" spans="1:5" x14ac:dyDescent="0.35">
      <c r="A653" s="9">
        <v>45051</v>
      </c>
      <c r="B653" s="10">
        <v>67.900000000000006</v>
      </c>
      <c r="C653" s="11">
        <v>42241.98</v>
      </c>
      <c r="D653" s="14">
        <f t="shared" si="20"/>
        <v>1.3432835820895607E-2</v>
      </c>
      <c r="E653" s="14">
        <f t="shared" si="21"/>
        <v>3.520233383538675E-3</v>
      </c>
    </row>
    <row r="654" spans="1:5" x14ac:dyDescent="0.35">
      <c r="A654" s="9">
        <v>45050</v>
      </c>
      <c r="B654" s="10">
        <v>67</v>
      </c>
      <c r="C654" s="11">
        <v>42093.8</v>
      </c>
      <c r="D654" s="14">
        <f t="shared" si="20"/>
        <v>1.1320754716981131E-2</v>
      </c>
      <c r="E654" s="14">
        <f t="shared" si="21"/>
        <v>1.3946991453375396E-4</v>
      </c>
    </row>
    <row r="655" spans="1:5" x14ac:dyDescent="0.35">
      <c r="A655" s="9">
        <v>45049</v>
      </c>
      <c r="B655" s="10">
        <v>66.25</v>
      </c>
      <c r="C655" s="11">
        <v>42087.93</v>
      </c>
      <c r="D655" s="14">
        <f t="shared" si="20"/>
        <v>-3.2705504453204776E-2</v>
      </c>
      <c r="E655" s="14">
        <f t="shared" si="21"/>
        <v>3.8230150802668807E-3</v>
      </c>
    </row>
    <row r="656" spans="1:5" x14ac:dyDescent="0.35">
      <c r="A656" s="9">
        <v>45048</v>
      </c>
      <c r="B656" s="10">
        <v>68.489999999999995</v>
      </c>
      <c r="C656" s="11">
        <v>41927.64</v>
      </c>
      <c r="D656" s="14">
        <f t="shared" si="20"/>
        <v>7.015624999999992E-2</v>
      </c>
      <c r="E656" s="14">
        <f t="shared" si="21"/>
        <v>8.3401373468796544E-3</v>
      </c>
    </row>
    <row r="657" spans="1:5" x14ac:dyDescent="0.35">
      <c r="A657" s="9">
        <v>45044</v>
      </c>
      <c r="B657" s="10">
        <v>64</v>
      </c>
      <c r="C657" s="11">
        <v>41580.85</v>
      </c>
      <c r="D657" s="14">
        <f t="shared" si="20"/>
        <v>3.9215686274509803E-3</v>
      </c>
      <c r="E657" s="14">
        <f t="shared" si="21"/>
        <v>2.8202839529604187E-3</v>
      </c>
    </row>
    <row r="658" spans="1:5" x14ac:dyDescent="0.35">
      <c r="A658" s="9">
        <v>45043</v>
      </c>
      <c r="B658" s="10">
        <v>63.75</v>
      </c>
      <c r="C658" s="11">
        <v>41463.910000000003</v>
      </c>
      <c r="D658" s="14">
        <f t="shared" si="20"/>
        <v>2.459016393442625E-2</v>
      </c>
      <c r="E658" s="14">
        <f t="shared" si="21"/>
        <v>8.8645674724656971E-3</v>
      </c>
    </row>
    <row r="659" spans="1:5" x14ac:dyDescent="0.35">
      <c r="A659" s="9">
        <v>45042</v>
      </c>
      <c r="B659" s="10">
        <v>62.22</v>
      </c>
      <c r="C659" s="11">
        <v>41099.58</v>
      </c>
      <c r="D659" s="14">
        <f t="shared" si="20"/>
        <v>-2.2466614296936367E-2</v>
      </c>
      <c r="E659" s="14">
        <f t="shared" si="21"/>
        <v>2.2376219950244135E-3</v>
      </c>
    </row>
    <row r="660" spans="1:5" x14ac:dyDescent="0.35">
      <c r="A660" s="9">
        <v>45036</v>
      </c>
      <c r="B660" s="10">
        <v>63.65</v>
      </c>
      <c r="C660" s="11">
        <v>41007.82</v>
      </c>
      <c r="D660" s="14">
        <f t="shared" si="20"/>
        <v>1.5735641227380239E-3</v>
      </c>
      <c r="E660" s="14">
        <f t="shared" si="21"/>
        <v>1.3839233288131239E-2</v>
      </c>
    </row>
    <row r="661" spans="1:5" x14ac:dyDescent="0.35">
      <c r="A661" s="9">
        <v>45034</v>
      </c>
      <c r="B661" s="10">
        <v>63.55</v>
      </c>
      <c r="C661" s="11">
        <v>40448.050000000003</v>
      </c>
      <c r="D661" s="14">
        <f t="shared" si="20"/>
        <v>6.2982207526372455E-4</v>
      </c>
      <c r="E661" s="14">
        <f t="shared" si="21"/>
        <v>6.0317558227050809E-3</v>
      </c>
    </row>
    <row r="662" spans="1:5" x14ac:dyDescent="0.35">
      <c r="A662" s="9">
        <v>45029</v>
      </c>
      <c r="B662" s="10">
        <v>63.51</v>
      </c>
      <c r="C662" s="11">
        <v>40205.54</v>
      </c>
      <c r="D662" s="14">
        <f t="shared" si="20"/>
        <v>-2.9827315541602014E-3</v>
      </c>
      <c r="E662" s="14">
        <f t="shared" si="21"/>
        <v>1.9810073505864135E-3</v>
      </c>
    </row>
    <row r="663" spans="1:5" x14ac:dyDescent="0.35">
      <c r="A663" s="9">
        <v>45028</v>
      </c>
      <c r="B663" s="10">
        <v>63.7</v>
      </c>
      <c r="C663" s="11">
        <v>40126.050000000003</v>
      </c>
      <c r="D663" s="14">
        <f t="shared" si="20"/>
        <v>1.1111111111111157E-2</v>
      </c>
      <c r="E663" s="14">
        <f t="shared" si="21"/>
        <v>8.0729139842999429E-3</v>
      </c>
    </row>
    <row r="664" spans="1:5" x14ac:dyDescent="0.35">
      <c r="A664" s="9">
        <v>45027</v>
      </c>
      <c r="B664" s="10">
        <v>63</v>
      </c>
      <c r="C664" s="11">
        <v>39804.71</v>
      </c>
      <c r="D664" s="14">
        <f t="shared" si="20"/>
        <v>0</v>
      </c>
      <c r="E664" s="14">
        <f t="shared" si="21"/>
        <v>-7.8296210202361005E-4</v>
      </c>
    </row>
    <row r="665" spans="1:5" x14ac:dyDescent="0.35">
      <c r="A665" s="9">
        <v>45026</v>
      </c>
      <c r="B665" s="10">
        <v>63</v>
      </c>
      <c r="C665" s="11">
        <v>39835.9</v>
      </c>
      <c r="D665" s="14">
        <f t="shared" si="20"/>
        <v>1.6129032258064516E-2</v>
      </c>
      <c r="E665" s="14">
        <f t="shared" si="21"/>
        <v>-5.337125293229778E-3</v>
      </c>
    </row>
    <row r="666" spans="1:5" x14ac:dyDescent="0.35">
      <c r="A666" s="9">
        <v>45023</v>
      </c>
      <c r="B666" s="10">
        <v>62</v>
      </c>
      <c r="C666" s="11">
        <v>40049.65</v>
      </c>
      <c r="D666" s="14">
        <f t="shared" si="20"/>
        <v>-4.1760359781560881E-3</v>
      </c>
      <c r="E666" s="14">
        <f t="shared" si="21"/>
        <v>-7.4655106739900398E-3</v>
      </c>
    </row>
    <row r="667" spans="1:5" x14ac:dyDescent="0.35">
      <c r="A667" s="9">
        <v>45022</v>
      </c>
      <c r="B667" s="10">
        <v>62.26</v>
      </c>
      <c r="C667" s="11">
        <v>40350.89</v>
      </c>
      <c r="D667" s="14">
        <f t="shared" si="20"/>
        <v>4.1935483870967419E-3</v>
      </c>
      <c r="E667" s="14">
        <f t="shared" si="21"/>
        <v>1.5956331207047786E-2</v>
      </c>
    </row>
    <row r="668" spans="1:5" x14ac:dyDescent="0.35">
      <c r="A668" s="9">
        <v>45021</v>
      </c>
      <c r="B668" s="10">
        <v>62</v>
      </c>
      <c r="C668" s="11">
        <v>39717.15</v>
      </c>
      <c r="D668" s="14">
        <f t="shared" si="20"/>
        <v>-9.6680631646797082E-4</v>
      </c>
      <c r="E668" s="14">
        <f t="shared" si="21"/>
        <v>7.5313841267952021E-4</v>
      </c>
    </row>
    <row r="669" spans="1:5" x14ac:dyDescent="0.35">
      <c r="A669" s="9">
        <v>45020</v>
      </c>
      <c r="B669" s="10">
        <v>62.06</v>
      </c>
      <c r="C669" s="11">
        <v>39687.26</v>
      </c>
      <c r="D669" s="14">
        <f t="shared" si="20"/>
        <v>-2.1907013396375106E-2</v>
      </c>
      <c r="E669" s="14">
        <f t="shared" si="21"/>
        <v>-5.0799826522503044E-3</v>
      </c>
    </row>
    <row r="670" spans="1:5" x14ac:dyDescent="0.35">
      <c r="A670" s="9">
        <v>45019</v>
      </c>
      <c r="B670" s="10">
        <v>63.45</v>
      </c>
      <c r="C670" s="11">
        <v>39889.9</v>
      </c>
      <c r="D670" s="14">
        <f t="shared" si="20"/>
        <v>2.3387096774193594E-2</v>
      </c>
      <c r="E670" s="14">
        <f t="shared" si="21"/>
        <v>-2.7731924562565398E-3</v>
      </c>
    </row>
    <row r="671" spans="1:5" x14ac:dyDescent="0.35">
      <c r="A671" s="9">
        <v>45016</v>
      </c>
      <c r="B671" s="10">
        <v>62</v>
      </c>
      <c r="C671" s="11">
        <v>40000.83</v>
      </c>
      <c r="D671" s="14">
        <f t="shared" si="20"/>
        <v>3.2362459546926028E-3</v>
      </c>
      <c r="E671" s="14">
        <f t="shared" si="21"/>
        <v>3.0326061581414173E-3</v>
      </c>
    </row>
    <row r="672" spans="1:5" x14ac:dyDescent="0.35">
      <c r="A672" s="9">
        <v>45014</v>
      </c>
      <c r="B672" s="10">
        <v>61.8</v>
      </c>
      <c r="C672" s="11">
        <v>39879.89</v>
      </c>
      <c r="D672" s="14">
        <f t="shared" si="20"/>
        <v>0</v>
      </c>
      <c r="E672" s="14">
        <f t="shared" si="21"/>
        <v>-5.0515974978526269E-3</v>
      </c>
    </row>
    <row r="673" spans="1:5" x14ac:dyDescent="0.35">
      <c r="A673" s="9">
        <v>45013</v>
      </c>
      <c r="B673" s="10">
        <v>61.8</v>
      </c>
      <c r="C673" s="11">
        <v>40082.370000000003</v>
      </c>
      <c r="D673" s="14">
        <f t="shared" si="20"/>
        <v>4.8780487804877589E-3</v>
      </c>
      <c r="E673" s="14">
        <f t="shared" si="21"/>
        <v>2.0499810376754012E-3</v>
      </c>
    </row>
    <row r="674" spans="1:5" x14ac:dyDescent="0.35">
      <c r="A674" s="9">
        <v>45012</v>
      </c>
      <c r="B674" s="10">
        <v>61.5</v>
      </c>
      <c r="C674" s="11">
        <v>40000.370000000003</v>
      </c>
      <c r="D674" s="14">
        <f t="shared" si="20"/>
        <v>-1.6E-2</v>
      </c>
      <c r="E674" s="14">
        <f t="shared" si="21"/>
        <v>1.4601153421018628E-3</v>
      </c>
    </row>
    <row r="675" spans="1:5" x14ac:dyDescent="0.35">
      <c r="A675" s="9">
        <v>45009</v>
      </c>
      <c r="B675" s="10">
        <v>62.5</v>
      </c>
      <c r="C675" s="11">
        <v>39942.050000000003</v>
      </c>
      <c r="D675" s="14">
        <f t="shared" si="20"/>
        <v>-3.6237471087124051E-2</v>
      </c>
      <c r="E675" s="14">
        <f t="shared" si="21"/>
        <v>-1.0750171512354974E-2</v>
      </c>
    </row>
    <row r="676" spans="1:5" x14ac:dyDescent="0.35">
      <c r="A676" s="9">
        <v>45007</v>
      </c>
      <c r="B676" s="10">
        <v>64.849999999999994</v>
      </c>
      <c r="C676" s="11">
        <v>40376.1</v>
      </c>
      <c r="D676" s="14">
        <f t="shared" si="20"/>
        <v>2.1259842519684949E-2</v>
      </c>
      <c r="E676" s="14">
        <f t="shared" si="21"/>
        <v>-2.3078905249098985E-2</v>
      </c>
    </row>
    <row r="677" spans="1:5" x14ac:dyDescent="0.35">
      <c r="A677" s="9">
        <v>45002</v>
      </c>
      <c r="B677" s="10">
        <v>63.5</v>
      </c>
      <c r="C677" s="11">
        <v>41329.949999999997</v>
      </c>
      <c r="D677" s="14">
        <f t="shared" si="20"/>
        <v>-4.3962661848840734E-2</v>
      </c>
      <c r="E677" s="14">
        <f t="shared" si="21"/>
        <v>-8.7336118860010959E-3</v>
      </c>
    </row>
    <row r="678" spans="1:5" x14ac:dyDescent="0.35">
      <c r="A678" s="9">
        <v>45001</v>
      </c>
      <c r="B678" s="10">
        <v>66.42</v>
      </c>
      <c r="C678" s="11">
        <v>41694.089999999997</v>
      </c>
      <c r="D678" s="14">
        <f t="shared" si="20"/>
        <v>-9.5436922159260439E-3</v>
      </c>
      <c r="E678" s="14">
        <f t="shared" si="21"/>
        <v>-2.9256442981862342E-3</v>
      </c>
    </row>
    <row r="679" spans="1:5" x14ac:dyDescent="0.35">
      <c r="A679" s="9">
        <v>44999</v>
      </c>
      <c r="B679" s="10">
        <v>67.06</v>
      </c>
      <c r="C679" s="11">
        <v>41816.43</v>
      </c>
      <c r="D679" s="14">
        <f t="shared" si="20"/>
        <v>-1.3823529411764672E-2</v>
      </c>
      <c r="E679" s="14">
        <f t="shared" si="21"/>
        <v>-9.6567228542038534E-4</v>
      </c>
    </row>
    <row r="680" spans="1:5" x14ac:dyDescent="0.35">
      <c r="A680" s="9">
        <v>44998</v>
      </c>
      <c r="B680" s="10">
        <v>68</v>
      </c>
      <c r="C680" s="11">
        <v>41856.85</v>
      </c>
      <c r="D680" s="14">
        <f t="shared" si="20"/>
        <v>0</v>
      </c>
      <c r="E680" s="14">
        <f t="shared" si="21"/>
        <v>1.5069195554275284E-3</v>
      </c>
    </row>
    <row r="681" spans="1:5" x14ac:dyDescent="0.35">
      <c r="A681" s="9">
        <v>44995</v>
      </c>
      <c r="B681" s="10">
        <v>68</v>
      </c>
      <c r="C681" s="11">
        <v>41793.870000000003</v>
      </c>
      <c r="D681" s="14">
        <f t="shared" si="20"/>
        <v>1.4925373134328358E-2</v>
      </c>
      <c r="E681" s="14">
        <f t="shared" si="21"/>
        <v>5.009674035734578E-3</v>
      </c>
    </row>
    <row r="682" spans="1:5" x14ac:dyDescent="0.35">
      <c r="A682" s="9">
        <v>44994</v>
      </c>
      <c r="B682" s="10">
        <v>67</v>
      </c>
      <c r="C682" s="11">
        <v>41585.54</v>
      </c>
      <c r="D682" s="14">
        <f t="shared" si="20"/>
        <v>7.5187969924812026E-3</v>
      </c>
      <c r="E682" s="14">
        <f t="shared" si="21"/>
        <v>5.4791069304742793E-3</v>
      </c>
    </row>
    <row r="683" spans="1:5" x14ac:dyDescent="0.35">
      <c r="A683" s="9">
        <v>44993</v>
      </c>
      <c r="B683" s="10">
        <v>66.5</v>
      </c>
      <c r="C683" s="11">
        <v>41358.93</v>
      </c>
      <c r="D683" s="14">
        <f t="shared" si="20"/>
        <v>6.8130204390613605E-3</v>
      </c>
      <c r="E683" s="14">
        <f t="shared" si="21"/>
        <v>5.8643236467959383E-4</v>
      </c>
    </row>
    <row r="684" spans="1:5" x14ac:dyDescent="0.35">
      <c r="A684" s="9">
        <v>44992</v>
      </c>
      <c r="B684" s="10">
        <v>66.05</v>
      </c>
      <c r="C684" s="11">
        <v>41334.69</v>
      </c>
      <c r="D684" s="14">
        <f t="shared" si="20"/>
        <v>-4.539951573850051E-4</v>
      </c>
      <c r="E684" s="14">
        <f t="shared" si="21"/>
        <v>-2.4047691853590829E-3</v>
      </c>
    </row>
    <row r="685" spans="1:5" x14ac:dyDescent="0.35">
      <c r="A685" s="9">
        <v>44991</v>
      </c>
      <c r="B685" s="10">
        <v>66.08</v>
      </c>
      <c r="C685" s="11">
        <v>41434.33</v>
      </c>
      <c r="D685" s="14">
        <f t="shared" si="20"/>
        <v>-1.2257100149476941E-2</v>
      </c>
      <c r="E685" s="14">
        <f t="shared" si="21"/>
        <v>2.3545491932167729E-3</v>
      </c>
    </row>
    <row r="686" spans="1:5" x14ac:dyDescent="0.35">
      <c r="A686" s="9">
        <v>44988</v>
      </c>
      <c r="B686" s="10">
        <v>66.900000000000006</v>
      </c>
      <c r="C686" s="11">
        <v>41337</v>
      </c>
      <c r="D686" s="14">
        <f t="shared" si="20"/>
        <v>1.3636363636363722E-2</v>
      </c>
      <c r="E686" s="14">
        <f t="shared" si="21"/>
        <v>1.6378303100400154E-2</v>
      </c>
    </row>
    <row r="687" spans="1:5" x14ac:dyDescent="0.35">
      <c r="A687" s="9">
        <v>44987</v>
      </c>
      <c r="B687" s="10">
        <v>66</v>
      </c>
      <c r="C687" s="11">
        <v>40670.879999999997</v>
      </c>
      <c r="D687" s="14">
        <f t="shared" si="20"/>
        <v>0</v>
      </c>
      <c r="E687" s="14">
        <f t="shared" si="21"/>
        <v>6.3868425747604183E-3</v>
      </c>
    </row>
    <row r="688" spans="1:5" x14ac:dyDescent="0.35">
      <c r="A688" s="9">
        <v>44986</v>
      </c>
      <c r="B688" s="10">
        <v>66</v>
      </c>
      <c r="C688" s="11">
        <v>40412.769999999997</v>
      </c>
      <c r="D688" s="14">
        <f t="shared" si="20"/>
        <v>0</v>
      </c>
      <c r="E688" s="14">
        <f t="shared" si="21"/>
        <v>-2.4092596537628715E-3</v>
      </c>
    </row>
    <row r="689" spans="1:5" x14ac:dyDescent="0.35">
      <c r="A689" s="9">
        <v>44985</v>
      </c>
      <c r="B689" s="10">
        <v>66</v>
      </c>
      <c r="C689" s="11">
        <v>40510.370000000003</v>
      </c>
      <c r="D689" s="14">
        <f t="shared" si="20"/>
        <v>0</v>
      </c>
      <c r="E689" s="14">
        <f t="shared" si="21"/>
        <v>-6.7124148535225537E-3</v>
      </c>
    </row>
    <row r="690" spans="1:5" x14ac:dyDescent="0.35">
      <c r="A690" s="9">
        <v>44984</v>
      </c>
      <c r="B690" s="10">
        <v>66</v>
      </c>
      <c r="C690" s="11">
        <v>40784.129999999997</v>
      </c>
      <c r="D690" s="14">
        <f t="shared" si="20"/>
        <v>0</v>
      </c>
      <c r="E690" s="14">
        <f t="shared" si="21"/>
        <v>1.8760550813897729E-3</v>
      </c>
    </row>
    <row r="691" spans="1:5" x14ac:dyDescent="0.35">
      <c r="A691" s="9">
        <v>44981</v>
      </c>
      <c r="B691" s="10">
        <v>66</v>
      </c>
      <c r="C691" s="11">
        <v>40707.760000000002</v>
      </c>
      <c r="D691" s="14">
        <f t="shared" si="20"/>
        <v>-2.4183796856105896E-3</v>
      </c>
      <c r="E691" s="14">
        <f t="shared" si="21"/>
        <v>-3.201634927425119E-3</v>
      </c>
    </row>
    <row r="692" spans="1:5" x14ac:dyDescent="0.35">
      <c r="A692" s="9">
        <v>44980</v>
      </c>
      <c r="B692" s="10">
        <v>66.16</v>
      </c>
      <c r="C692" s="11">
        <v>40838.51</v>
      </c>
      <c r="D692" s="14">
        <f t="shared" si="20"/>
        <v>1.0076335877862544E-2</v>
      </c>
      <c r="E692" s="14">
        <f t="shared" si="21"/>
        <v>-7.993907830429671E-3</v>
      </c>
    </row>
    <row r="693" spans="1:5" x14ac:dyDescent="0.35">
      <c r="A693" s="9">
        <v>44979</v>
      </c>
      <c r="B693" s="10">
        <v>65.5</v>
      </c>
      <c r="C693" s="11">
        <v>41167.599999999999</v>
      </c>
      <c r="D693" s="14">
        <f t="shared" si="20"/>
        <v>6.1443932411675223E-3</v>
      </c>
      <c r="E693" s="14">
        <f t="shared" si="21"/>
        <v>5.3177252951416183E-3</v>
      </c>
    </row>
    <row r="694" spans="1:5" x14ac:dyDescent="0.35">
      <c r="A694" s="9">
        <v>44978</v>
      </c>
      <c r="B694" s="10">
        <v>65.099999999999994</v>
      </c>
      <c r="C694" s="11">
        <v>40949.839999999997</v>
      </c>
      <c r="D694" s="14">
        <f t="shared" si="20"/>
        <v>1.5384615384614511E-3</v>
      </c>
      <c r="E694" s="14">
        <f t="shared" si="21"/>
        <v>6.7906388511084102E-3</v>
      </c>
    </row>
    <row r="695" spans="1:5" x14ac:dyDescent="0.35">
      <c r="A695" s="9">
        <v>44977</v>
      </c>
      <c r="B695" s="10">
        <v>65</v>
      </c>
      <c r="C695" s="11">
        <v>40673.64</v>
      </c>
      <c r="D695" s="14">
        <f t="shared" si="20"/>
        <v>0</v>
      </c>
      <c r="E695" s="14">
        <f t="shared" si="21"/>
        <v>-1.0821620672488715E-2</v>
      </c>
    </row>
    <row r="696" spans="1:5" x14ac:dyDescent="0.35">
      <c r="A696" s="9">
        <v>44974</v>
      </c>
      <c r="B696" s="10">
        <v>65</v>
      </c>
      <c r="C696" s="11">
        <v>41118.61</v>
      </c>
      <c r="D696" s="14">
        <f t="shared" si="20"/>
        <v>1.5307716338644237E-2</v>
      </c>
      <c r="E696" s="14">
        <f t="shared" si="21"/>
        <v>9.7276809242755361E-4</v>
      </c>
    </row>
    <row r="697" spans="1:5" x14ac:dyDescent="0.35">
      <c r="A697" s="9">
        <v>44973</v>
      </c>
      <c r="B697" s="10">
        <v>64.02</v>
      </c>
      <c r="C697" s="11">
        <v>41078.65</v>
      </c>
      <c r="D697" s="14">
        <f t="shared" si="20"/>
        <v>-1.4470443349753661E-2</v>
      </c>
      <c r="E697" s="14">
        <f t="shared" si="21"/>
        <v>-6.005780745447502E-3</v>
      </c>
    </row>
    <row r="698" spans="1:5" x14ac:dyDescent="0.35">
      <c r="A698" s="9">
        <v>44972</v>
      </c>
      <c r="B698" s="10">
        <v>64.959999999999994</v>
      </c>
      <c r="C698" s="11">
        <v>41326.85</v>
      </c>
      <c r="D698" s="14">
        <f t="shared" si="20"/>
        <v>1.4999999999999902E-2</v>
      </c>
      <c r="E698" s="14">
        <f t="shared" si="21"/>
        <v>4.2937864640136278E-3</v>
      </c>
    </row>
    <row r="699" spans="1:5" x14ac:dyDescent="0.35">
      <c r="A699" s="9">
        <v>44971</v>
      </c>
      <c r="B699" s="10">
        <v>64</v>
      </c>
      <c r="C699" s="11">
        <v>41150.160000000003</v>
      </c>
      <c r="D699" s="14">
        <f t="shared" si="20"/>
        <v>0</v>
      </c>
      <c r="E699" s="14">
        <f t="shared" si="21"/>
        <v>-1.3586563734884588E-2</v>
      </c>
    </row>
    <row r="700" spans="1:5" x14ac:dyDescent="0.35">
      <c r="A700" s="9">
        <v>44970</v>
      </c>
      <c r="B700" s="10">
        <v>64</v>
      </c>
      <c r="C700" s="11">
        <v>41716.949999999997</v>
      </c>
      <c r="D700" s="14">
        <f t="shared" si="20"/>
        <v>0</v>
      </c>
      <c r="E700" s="14">
        <f t="shared" si="21"/>
        <v>-5.9484765623319725E-4</v>
      </c>
    </row>
    <row r="701" spans="1:5" x14ac:dyDescent="0.35">
      <c r="A701" s="9">
        <v>44967</v>
      </c>
      <c r="B701" s="10">
        <v>64</v>
      </c>
      <c r="C701" s="11">
        <v>41741.78</v>
      </c>
      <c r="D701" s="14">
        <f t="shared" si="20"/>
        <v>-4.4776119402985072E-2</v>
      </c>
      <c r="E701" s="14">
        <f t="shared" si="21"/>
        <v>-1.7067770216539584E-2</v>
      </c>
    </row>
    <row r="702" spans="1:5" x14ac:dyDescent="0.35">
      <c r="A702" s="9">
        <v>44966</v>
      </c>
      <c r="B702" s="10">
        <v>67</v>
      </c>
      <c r="C702" s="11">
        <v>42466.59</v>
      </c>
      <c r="D702" s="14">
        <f t="shared" si="20"/>
        <v>0</v>
      </c>
      <c r="E702" s="14">
        <f t="shared" si="21"/>
        <v>1.7814258309261987E-2</v>
      </c>
    </row>
    <row r="703" spans="1:5" x14ac:dyDescent="0.35">
      <c r="A703" s="9">
        <v>44965</v>
      </c>
      <c r="B703" s="10">
        <v>67</v>
      </c>
      <c r="C703" s="11">
        <v>41723.32</v>
      </c>
      <c r="D703" s="14">
        <f t="shared" si="20"/>
        <v>-2.7576197387518223E-2</v>
      </c>
      <c r="E703" s="14">
        <f t="shared" si="21"/>
        <v>4.8301220824434037E-3</v>
      </c>
    </row>
    <row r="704" spans="1:5" x14ac:dyDescent="0.35">
      <c r="A704" s="9">
        <v>44964</v>
      </c>
      <c r="B704" s="10">
        <v>68.900000000000006</v>
      </c>
      <c r="C704" s="11">
        <v>41522.76</v>
      </c>
      <c r="D704" s="14">
        <f t="shared" si="20"/>
        <v>4.3465091625018999E-2</v>
      </c>
      <c r="E704" s="14">
        <f t="shared" si="21"/>
        <v>8.0598153421265317E-3</v>
      </c>
    </row>
    <row r="705" spans="1:5" x14ac:dyDescent="0.35">
      <c r="A705" s="9">
        <v>44963</v>
      </c>
      <c r="B705" s="10">
        <v>66.03</v>
      </c>
      <c r="C705" s="11">
        <v>41190.769999999997</v>
      </c>
      <c r="D705" s="14">
        <f t="shared" si="20"/>
        <v>6.4014631915866741E-3</v>
      </c>
      <c r="E705" s="14">
        <f t="shared" si="21"/>
        <v>1.7780809840884058E-2</v>
      </c>
    </row>
    <row r="706" spans="1:5" x14ac:dyDescent="0.35">
      <c r="A706" s="9">
        <v>44960</v>
      </c>
      <c r="B706" s="10">
        <v>65.61</v>
      </c>
      <c r="C706" s="11">
        <v>40471.160000000003</v>
      </c>
      <c r="D706" s="14">
        <f t="shared" si="20"/>
        <v>-5.9090909090909177E-3</v>
      </c>
      <c r="E706" s="14">
        <f t="shared" si="21"/>
        <v>-6.4406430970470885E-3</v>
      </c>
    </row>
    <row r="707" spans="1:5" x14ac:dyDescent="0.35">
      <c r="A707" s="9">
        <v>44959</v>
      </c>
      <c r="B707" s="10">
        <v>66</v>
      </c>
      <c r="C707" s="11">
        <v>40733.51</v>
      </c>
      <c r="D707" s="14">
        <f t="shared" si="20"/>
        <v>-7.5700227100676998E-4</v>
      </c>
      <c r="E707" s="14">
        <f t="shared" si="21"/>
        <v>2.7959174730440199E-3</v>
      </c>
    </row>
    <row r="708" spans="1:5" x14ac:dyDescent="0.35">
      <c r="A708" s="9">
        <v>44958</v>
      </c>
      <c r="B708" s="10">
        <v>66.05</v>
      </c>
      <c r="C708" s="11">
        <v>40619.94</v>
      </c>
      <c r="D708" s="14">
        <f t="shared" si="20"/>
        <v>1.6153846153846109E-2</v>
      </c>
      <c r="E708" s="14">
        <f t="shared" si="21"/>
        <v>-1.3060241840666855E-3</v>
      </c>
    </row>
    <row r="709" spans="1:5" x14ac:dyDescent="0.35">
      <c r="A709" s="9">
        <v>44957</v>
      </c>
      <c r="B709" s="10">
        <v>65</v>
      </c>
      <c r="C709" s="11">
        <v>40673.06</v>
      </c>
      <c r="D709" s="14">
        <f t="shared" ref="D709:D772" si="22">(B709-B710)/B710</f>
        <v>-1.5360983102917715E-3</v>
      </c>
      <c r="E709" s="14">
        <f t="shared" ref="E709:E772" si="23">(C709-C710)/C710</f>
        <v>2.0109467293116093E-2</v>
      </c>
    </row>
    <row r="710" spans="1:5" x14ac:dyDescent="0.35">
      <c r="A710" s="9">
        <v>44956</v>
      </c>
      <c r="B710" s="10">
        <v>65.099999999999994</v>
      </c>
      <c r="C710" s="11">
        <v>39871.269999999997</v>
      </c>
      <c r="D710" s="14">
        <f t="shared" si="22"/>
        <v>1.5384615384614511E-3</v>
      </c>
      <c r="E710" s="14">
        <f t="shared" si="23"/>
        <v>-1.4320207918165771E-2</v>
      </c>
    </row>
    <row r="711" spans="1:5" x14ac:dyDescent="0.35">
      <c r="A711" s="9">
        <v>44953</v>
      </c>
      <c r="B711" s="10">
        <v>65</v>
      </c>
      <c r="C711" s="11">
        <v>40450.53</v>
      </c>
      <c r="D711" s="14">
        <f t="shared" si="22"/>
        <v>7.7519379844961239E-3</v>
      </c>
      <c r="E711" s="14">
        <f t="shared" si="23"/>
        <v>-9.6948259742014806E-3</v>
      </c>
    </row>
    <row r="712" spans="1:5" x14ac:dyDescent="0.35">
      <c r="A712" s="9">
        <v>44952</v>
      </c>
      <c r="B712" s="10">
        <v>64.5</v>
      </c>
      <c r="C712" s="11">
        <v>40846.53</v>
      </c>
      <c r="D712" s="14">
        <f t="shared" si="22"/>
        <v>7.8125E-3</v>
      </c>
      <c r="E712" s="14">
        <f t="shared" si="23"/>
        <v>2.668424452493276E-2</v>
      </c>
    </row>
    <row r="713" spans="1:5" x14ac:dyDescent="0.35">
      <c r="A713" s="9">
        <v>44951</v>
      </c>
      <c r="B713" s="10">
        <v>64</v>
      </c>
      <c r="C713" s="11">
        <v>39784.9</v>
      </c>
      <c r="D713" s="14">
        <f t="shared" si="22"/>
        <v>-2.2900763358778626E-2</v>
      </c>
      <c r="E713" s="14">
        <f t="shared" si="23"/>
        <v>1.8672074334955376E-2</v>
      </c>
    </row>
    <row r="714" spans="1:5" x14ac:dyDescent="0.35">
      <c r="A714" s="9">
        <v>44950</v>
      </c>
      <c r="B714" s="10">
        <v>65.5</v>
      </c>
      <c r="C714" s="11">
        <v>39055.65</v>
      </c>
      <c r="D714" s="14">
        <f t="shared" si="22"/>
        <v>1.5290519877674969E-3</v>
      </c>
      <c r="E714" s="14">
        <f t="shared" si="23"/>
        <v>1.5920989689048422E-2</v>
      </c>
    </row>
    <row r="715" spans="1:5" x14ac:dyDescent="0.35">
      <c r="A715" s="9">
        <v>44949</v>
      </c>
      <c r="B715" s="10">
        <v>65.400000000000006</v>
      </c>
      <c r="C715" s="11">
        <v>38443.589999999997</v>
      </c>
      <c r="D715" s="14">
        <f t="shared" si="22"/>
        <v>1.7898832684824992E-2</v>
      </c>
      <c r="E715" s="14">
        <f t="shared" si="23"/>
        <v>9.2715107641675777E-4</v>
      </c>
    </row>
    <row r="716" spans="1:5" x14ac:dyDescent="0.35">
      <c r="A716" s="9">
        <v>44946</v>
      </c>
      <c r="B716" s="10">
        <v>64.25</v>
      </c>
      <c r="C716" s="11">
        <v>38407.980000000003</v>
      </c>
      <c r="D716" s="14">
        <f t="shared" si="22"/>
        <v>0</v>
      </c>
      <c r="E716" s="14">
        <f t="shared" si="23"/>
        <v>-9.8762370430940036E-3</v>
      </c>
    </row>
    <row r="717" spans="1:5" x14ac:dyDescent="0.35">
      <c r="A717" s="9">
        <v>44944</v>
      </c>
      <c r="B717" s="10">
        <v>64.25</v>
      </c>
      <c r="C717" s="11">
        <v>38791.089999999997</v>
      </c>
      <c r="D717" s="14">
        <f t="shared" si="22"/>
        <v>0</v>
      </c>
      <c r="E717" s="14">
        <f t="shared" si="23"/>
        <v>1.1707202062687503E-2</v>
      </c>
    </row>
    <row r="718" spans="1:5" x14ac:dyDescent="0.35">
      <c r="A718" s="9">
        <v>44943</v>
      </c>
      <c r="B718" s="10">
        <v>64.25</v>
      </c>
      <c r="C718" s="11">
        <v>38342.21</v>
      </c>
      <c r="D718" s="14">
        <f t="shared" si="22"/>
        <v>0</v>
      </c>
      <c r="E718" s="14">
        <f t="shared" si="23"/>
        <v>-3.4705789795006409E-2</v>
      </c>
    </row>
    <row r="719" spans="1:5" x14ac:dyDescent="0.35">
      <c r="A719" s="9">
        <v>44942</v>
      </c>
      <c r="B719" s="10">
        <v>64.25</v>
      </c>
      <c r="C719" s="11">
        <v>39720.75</v>
      </c>
      <c r="D719" s="14">
        <f t="shared" si="22"/>
        <v>0</v>
      </c>
      <c r="E719" s="14">
        <f t="shared" si="23"/>
        <v>-1.4946637750490028E-2</v>
      </c>
    </row>
    <row r="720" spans="1:5" x14ac:dyDescent="0.35">
      <c r="A720" s="9">
        <v>44939</v>
      </c>
      <c r="B720" s="10">
        <v>64.25</v>
      </c>
      <c r="C720" s="11">
        <v>40323.449999999997</v>
      </c>
      <c r="D720" s="14">
        <f t="shared" si="22"/>
        <v>0</v>
      </c>
      <c r="E720" s="14">
        <f t="shared" si="23"/>
        <v>-1.1774367590933177E-2</v>
      </c>
    </row>
    <row r="721" spans="1:5" x14ac:dyDescent="0.35">
      <c r="A721" s="9">
        <v>44938</v>
      </c>
      <c r="B721" s="10">
        <v>64.25</v>
      </c>
      <c r="C721" s="11">
        <v>40803.89</v>
      </c>
      <c r="D721" s="14">
        <f t="shared" si="22"/>
        <v>3.90625E-3</v>
      </c>
      <c r="E721" s="14">
        <f t="shared" si="23"/>
        <v>5.8576277832908545E-5</v>
      </c>
    </row>
    <row r="722" spans="1:5" x14ac:dyDescent="0.35">
      <c r="A722" s="9">
        <v>44936</v>
      </c>
      <c r="B722" s="10">
        <v>64</v>
      </c>
      <c r="C722" s="11">
        <v>40801.5</v>
      </c>
      <c r="D722" s="14">
        <f t="shared" si="22"/>
        <v>-3.8910505836575876E-3</v>
      </c>
      <c r="E722" s="14">
        <f t="shared" si="23"/>
        <v>7.3260525429603325E-3</v>
      </c>
    </row>
    <row r="723" spans="1:5" x14ac:dyDescent="0.35">
      <c r="A723" s="9">
        <v>44935</v>
      </c>
      <c r="B723" s="10">
        <v>64.25</v>
      </c>
      <c r="C723" s="11">
        <v>40504.76</v>
      </c>
      <c r="D723" s="14">
        <f t="shared" si="22"/>
        <v>3.90625E-3</v>
      </c>
      <c r="E723" s="14">
        <f t="shared" si="23"/>
        <v>-1.2260190326066896E-2</v>
      </c>
    </row>
    <row r="724" spans="1:5" x14ac:dyDescent="0.35">
      <c r="A724" s="9">
        <v>44932</v>
      </c>
      <c r="B724" s="10">
        <v>64</v>
      </c>
      <c r="C724" s="11">
        <v>41007.519999999997</v>
      </c>
      <c r="D724" s="14">
        <f t="shared" si="22"/>
        <v>-1.4474899907606987E-2</v>
      </c>
      <c r="E724" s="14">
        <f t="shared" si="23"/>
        <v>7.1415344155744999E-3</v>
      </c>
    </row>
    <row r="725" spans="1:5" x14ac:dyDescent="0.35">
      <c r="A725" s="9">
        <v>44931</v>
      </c>
      <c r="B725" s="10">
        <v>64.94</v>
      </c>
      <c r="C725" s="11">
        <v>40716.74</v>
      </c>
      <c r="D725" s="14">
        <f t="shared" si="22"/>
        <v>1.4687499999999964E-2</v>
      </c>
      <c r="E725" s="14">
        <f t="shared" si="23"/>
        <v>4.3769872691436472E-3</v>
      </c>
    </row>
    <row r="726" spans="1:5" x14ac:dyDescent="0.35">
      <c r="A726" s="9">
        <v>44930</v>
      </c>
      <c r="B726" s="10">
        <v>64</v>
      </c>
      <c r="C726" s="11">
        <v>40539.300000000003</v>
      </c>
      <c r="D726" s="14">
        <f t="shared" si="22"/>
        <v>0</v>
      </c>
      <c r="E726" s="14">
        <f t="shared" si="23"/>
        <v>-2.248057131268336E-3</v>
      </c>
    </row>
    <row r="727" spans="1:5" x14ac:dyDescent="0.35">
      <c r="A727" s="9">
        <v>44929</v>
      </c>
      <c r="B727" s="10">
        <v>64</v>
      </c>
      <c r="C727" s="11">
        <v>40630.639999999999</v>
      </c>
      <c r="D727" s="14">
        <f t="shared" si="22"/>
        <v>0</v>
      </c>
      <c r="E727" s="14">
        <f t="shared" si="23"/>
        <v>-4.5389174316872111E-3</v>
      </c>
    </row>
    <row r="728" spans="1:5" x14ac:dyDescent="0.35">
      <c r="A728" s="9">
        <v>44928</v>
      </c>
      <c r="B728" s="10">
        <v>64</v>
      </c>
      <c r="C728" s="11">
        <v>40815.9</v>
      </c>
      <c r="D728" s="14">
        <f t="shared" si="22"/>
        <v>1.5627441787776232E-4</v>
      </c>
      <c r="E728" s="14">
        <f t="shared" si="23"/>
        <v>9.783414088660675E-3</v>
      </c>
    </row>
    <row r="729" spans="1:5" x14ac:dyDescent="0.35">
      <c r="A729" s="9">
        <v>44925</v>
      </c>
      <c r="B729" s="10">
        <v>63.99</v>
      </c>
      <c r="C729" s="11">
        <v>40420.449999999997</v>
      </c>
      <c r="D729" s="14">
        <f t="shared" si="22"/>
        <v>1.1699604743083035E-2</v>
      </c>
      <c r="E729" s="14">
        <f t="shared" si="23"/>
        <v>1.6934462297486463E-2</v>
      </c>
    </row>
    <row r="730" spans="1:5" x14ac:dyDescent="0.35">
      <c r="A730" s="9">
        <v>44924</v>
      </c>
      <c r="B730" s="10">
        <v>63.25</v>
      </c>
      <c r="C730" s="11">
        <v>39747.35</v>
      </c>
      <c r="D730" s="14">
        <f t="shared" si="22"/>
        <v>0</v>
      </c>
      <c r="E730" s="14">
        <f t="shared" si="23"/>
        <v>1.1912596491344152E-2</v>
      </c>
    </row>
    <row r="731" spans="1:5" x14ac:dyDescent="0.35">
      <c r="A731" s="9">
        <v>44923</v>
      </c>
      <c r="B731" s="10">
        <v>63.25</v>
      </c>
      <c r="C731" s="11">
        <v>39279.43</v>
      </c>
      <c r="D731" s="14">
        <f t="shared" si="22"/>
        <v>-3.937007874015748E-3</v>
      </c>
      <c r="E731" s="14">
        <f t="shared" si="23"/>
        <v>-1.3151802217476138E-2</v>
      </c>
    </row>
    <row r="732" spans="1:5" x14ac:dyDescent="0.35">
      <c r="A732" s="9">
        <v>44922</v>
      </c>
      <c r="B732" s="10">
        <v>63.5</v>
      </c>
      <c r="C732" s="11">
        <v>39802.910000000003</v>
      </c>
      <c r="D732" s="14">
        <f t="shared" si="22"/>
        <v>0</v>
      </c>
      <c r="E732" s="14">
        <f t="shared" si="23"/>
        <v>-8.7722225487334628E-3</v>
      </c>
    </row>
    <row r="733" spans="1:5" x14ac:dyDescent="0.35">
      <c r="A733" s="9">
        <v>44921</v>
      </c>
      <c r="B733" s="10">
        <v>63.5</v>
      </c>
      <c r="C733" s="11">
        <v>40155.160000000003</v>
      </c>
      <c r="D733" s="14">
        <f t="shared" si="22"/>
        <v>7.9365079365079361E-3</v>
      </c>
      <c r="E733" s="14">
        <f t="shared" si="23"/>
        <v>1.2250310064231355E-2</v>
      </c>
    </row>
    <row r="734" spans="1:5" x14ac:dyDescent="0.35">
      <c r="A734" s="9">
        <v>44918</v>
      </c>
      <c r="B734" s="10">
        <v>63</v>
      </c>
      <c r="C734" s="11">
        <v>39669.199999999997</v>
      </c>
      <c r="D734" s="14">
        <f t="shared" si="22"/>
        <v>-3.1735956839103657E-4</v>
      </c>
      <c r="E734" s="14">
        <f t="shared" si="23"/>
        <v>-4.245408881346298E-3</v>
      </c>
    </row>
    <row r="735" spans="1:5" x14ac:dyDescent="0.35">
      <c r="A735" s="9">
        <v>44917</v>
      </c>
      <c r="B735" s="10">
        <v>63.02</v>
      </c>
      <c r="C735" s="11">
        <v>39838.33</v>
      </c>
      <c r="D735" s="14">
        <f t="shared" si="22"/>
        <v>3.1746031746036706E-4</v>
      </c>
      <c r="E735" s="14">
        <f t="shared" si="23"/>
        <v>1.2592872562234302E-2</v>
      </c>
    </row>
    <row r="736" spans="1:5" x14ac:dyDescent="0.35">
      <c r="A736" s="9">
        <v>44916</v>
      </c>
      <c r="B736" s="10">
        <v>63</v>
      </c>
      <c r="C736" s="11">
        <v>39342.89</v>
      </c>
      <c r="D736" s="14">
        <f t="shared" si="22"/>
        <v>1.7770597738287583E-2</v>
      </c>
      <c r="E736" s="14">
        <f t="shared" si="23"/>
        <v>-1.2290481755453097E-2</v>
      </c>
    </row>
    <row r="737" spans="1:5" x14ac:dyDescent="0.35">
      <c r="A737" s="9">
        <v>44915</v>
      </c>
      <c r="B737" s="10">
        <v>61.9</v>
      </c>
      <c r="C737" s="11">
        <v>39832.449999999997</v>
      </c>
      <c r="D737" s="14">
        <f t="shared" si="22"/>
        <v>-1.2601690859786237E-2</v>
      </c>
      <c r="E737" s="14">
        <f t="shared" si="23"/>
        <v>-2.7784896665480521E-2</v>
      </c>
    </row>
    <row r="738" spans="1:5" x14ac:dyDescent="0.35">
      <c r="A738" s="9">
        <v>44914</v>
      </c>
      <c r="B738" s="10">
        <v>62.69</v>
      </c>
      <c r="C738" s="11">
        <v>40970.82</v>
      </c>
      <c r="D738" s="14">
        <f t="shared" si="22"/>
        <v>-4.9206349206349564E-3</v>
      </c>
      <c r="E738" s="14">
        <f t="shared" si="23"/>
        <v>-8.0060085013903496E-3</v>
      </c>
    </row>
    <row r="739" spans="1:5" x14ac:dyDescent="0.35">
      <c r="A739" s="9">
        <v>44911</v>
      </c>
      <c r="B739" s="10">
        <v>63</v>
      </c>
      <c r="C739" s="11">
        <v>41301.480000000003</v>
      </c>
      <c r="D739" s="14">
        <f t="shared" si="22"/>
        <v>-1.1764705882352941E-2</v>
      </c>
      <c r="E739" s="14">
        <f t="shared" si="23"/>
        <v>-9.8963664738470902E-3</v>
      </c>
    </row>
    <row r="740" spans="1:5" x14ac:dyDescent="0.35">
      <c r="A740" s="9">
        <v>44908</v>
      </c>
      <c r="B740" s="10">
        <v>63.75</v>
      </c>
      <c r="C740" s="11">
        <v>41714.300000000003</v>
      </c>
      <c r="D740" s="14">
        <f t="shared" si="22"/>
        <v>1.1904761904761904E-2</v>
      </c>
      <c r="E740" s="14">
        <f t="shared" si="23"/>
        <v>4.1826600755165734E-3</v>
      </c>
    </row>
    <row r="741" spans="1:5" x14ac:dyDescent="0.35">
      <c r="A741" s="9">
        <v>44907</v>
      </c>
      <c r="B741" s="10">
        <v>63</v>
      </c>
      <c r="C741" s="11">
        <v>41540.550000000003</v>
      </c>
      <c r="D741" s="14">
        <f t="shared" si="22"/>
        <v>-1.1764705882352941E-2</v>
      </c>
      <c r="E741" s="14">
        <f t="shared" si="23"/>
        <v>-3.7826500277708319E-3</v>
      </c>
    </row>
    <row r="742" spans="1:5" x14ac:dyDescent="0.35">
      <c r="A742" s="9">
        <v>44904</v>
      </c>
      <c r="B742" s="10">
        <v>63.75</v>
      </c>
      <c r="C742" s="11">
        <v>41698.28</v>
      </c>
      <c r="D742" s="14">
        <f t="shared" si="22"/>
        <v>0</v>
      </c>
      <c r="E742" s="14">
        <f t="shared" si="23"/>
        <v>1.1204848984228521E-3</v>
      </c>
    </row>
    <row r="743" spans="1:5" x14ac:dyDescent="0.35">
      <c r="A743" s="9">
        <v>44903</v>
      </c>
      <c r="B743" s="10">
        <v>63.75</v>
      </c>
      <c r="C743" s="11">
        <v>41651.61</v>
      </c>
      <c r="D743" s="14">
        <f t="shared" si="22"/>
        <v>0</v>
      </c>
      <c r="E743" s="14">
        <f t="shared" si="23"/>
        <v>-4.0096328751635978E-3</v>
      </c>
    </row>
    <row r="744" spans="1:5" x14ac:dyDescent="0.35">
      <c r="A744" s="9">
        <v>44902</v>
      </c>
      <c r="B744" s="10">
        <v>63.75</v>
      </c>
      <c r="C744" s="11">
        <v>41819.29</v>
      </c>
      <c r="D744" s="14">
        <f t="shared" si="22"/>
        <v>-1.5661707126076964E-3</v>
      </c>
      <c r="E744" s="14">
        <f t="shared" si="23"/>
        <v>6.7248532376310254E-3</v>
      </c>
    </row>
    <row r="745" spans="1:5" x14ac:dyDescent="0.35">
      <c r="A745" s="9">
        <v>44901</v>
      </c>
      <c r="B745" s="10">
        <v>63.85</v>
      </c>
      <c r="C745" s="11">
        <v>41539.94</v>
      </c>
      <c r="D745" s="14">
        <f t="shared" si="22"/>
        <v>1.5686274509804144E-3</v>
      </c>
      <c r="E745" s="14">
        <f t="shared" si="23"/>
        <v>-1.7477849895235257E-3</v>
      </c>
    </row>
    <row r="746" spans="1:5" x14ac:dyDescent="0.35">
      <c r="A746" s="9">
        <v>44900</v>
      </c>
      <c r="B746" s="10">
        <v>63.75</v>
      </c>
      <c r="C746" s="11">
        <v>41612.67</v>
      </c>
      <c r="D746" s="14">
        <f t="shared" si="22"/>
        <v>0</v>
      </c>
      <c r="E746" s="14">
        <f t="shared" si="23"/>
        <v>-1.2750384933843581E-2</v>
      </c>
    </row>
    <row r="747" spans="1:5" x14ac:dyDescent="0.35">
      <c r="A747" s="9">
        <v>44897</v>
      </c>
      <c r="B747" s="10">
        <v>63.75</v>
      </c>
      <c r="C747" s="11">
        <v>42150.1</v>
      </c>
      <c r="D747" s="14">
        <f t="shared" si="22"/>
        <v>-3.90625E-3</v>
      </c>
      <c r="E747" s="14">
        <f t="shared" si="23"/>
        <v>-5.7419152738436979E-3</v>
      </c>
    </row>
    <row r="748" spans="1:5" x14ac:dyDescent="0.35">
      <c r="A748" s="9">
        <v>44896</v>
      </c>
      <c r="B748" s="10">
        <v>64</v>
      </c>
      <c r="C748" s="11">
        <v>42393.52</v>
      </c>
      <c r="D748" s="14">
        <f t="shared" si="22"/>
        <v>7.7153204219808222E-3</v>
      </c>
      <c r="E748" s="14">
        <f t="shared" si="23"/>
        <v>1.0600106780313653E-3</v>
      </c>
    </row>
    <row r="749" spans="1:5" x14ac:dyDescent="0.35">
      <c r="A749" s="9">
        <v>44895</v>
      </c>
      <c r="B749" s="10">
        <v>63.51</v>
      </c>
      <c r="C749" s="11">
        <v>42348.63</v>
      </c>
      <c r="D749" s="14">
        <f t="shared" si="22"/>
        <v>-7.6562500000000311E-3</v>
      </c>
      <c r="E749" s="14">
        <f t="shared" si="23"/>
        <v>6.5909476617574073E-3</v>
      </c>
    </row>
    <row r="750" spans="1:5" x14ac:dyDescent="0.35">
      <c r="A750" s="9">
        <v>44893</v>
      </c>
      <c r="B750" s="10">
        <v>64</v>
      </c>
      <c r="C750" s="11">
        <v>42071.34</v>
      </c>
      <c r="D750" s="14">
        <f t="shared" si="22"/>
        <v>-4.6656298600310604E-3</v>
      </c>
      <c r="E750" s="14">
        <f t="shared" si="23"/>
        <v>-2.0155004817553796E-2</v>
      </c>
    </row>
    <row r="751" spans="1:5" x14ac:dyDescent="0.35">
      <c r="A751" s="9">
        <v>44890</v>
      </c>
      <c r="B751" s="10">
        <v>64.3</v>
      </c>
      <c r="C751" s="11">
        <v>42936.73</v>
      </c>
      <c r="D751" s="14">
        <f t="shared" si="22"/>
        <v>-1.5527950310560328E-3</v>
      </c>
      <c r="E751" s="14">
        <f t="shared" si="23"/>
        <v>1.3157554131489613E-3</v>
      </c>
    </row>
    <row r="752" spans="1:5" x14ac:dyDescent="0.35">
      <c r="A752" s="9">
        <v>44888</v>
      </c>
      <c r="B752" s="10">
        <v>64.400000000000006</v>
      </c>
      <c r="C752" s="11">
        <v>42880.31</v>
      </c>
      <c r="D752" s="14">
        <f t="shared" si="22"/>
        <v>-9.2307692307691432E-3</v>
      </c>
      <c r="E752" s="14">
        <f t="shared" si="23"/>
        <v>-1.1253564638230846E-3</v>
      </c>
    </row>
    <row r="753" spans="1:5" x14ac:dyDescent="0.35">
      <c r="A753" s="9">
        <v>44887</v>
      </c>
      <c r="B753" s="10">
        <v>65</v>
      </c>
      <c r="C753" s="11">
        <v>42928.62</v>
      </c>
      <c r="D753" s="14">
        <f t="shared" si="22"/>
        <v>1.6419077404222004E-2</v>
      </c>
      <c r="E753" s="14">
        <f t="shared" si="23"/>
        <v>3.9154663375832221E-3</v>
      </c>
    </row>
    <row r="754" spans="1:5" x14ac:dyDescent="0.35">
      <c r="A754" s="9">
        <v>44886</v>
      </c>
      <c r="B754" s="10">
        <v>63.95</v>
      </c>
      <c r="C754" s="11">
        <v>42761.19</v>
      </c>
      <c r="D754" s="14">
        <f t="shared" si="22"/>
        <v>-1.4637904468412986E-2</v>
      </c>
      <c r="E754" s="14">
        <f t="shared" si="23"/>
        <v>7.2431140101259363E-4</v>
      </c>
    </row>
    <row r="755" spans="1:5" x14ac:dyDescent="0.35">
      <c r="A755" s="9">
        <v>44883</v>
      </c>
      <c r="B755" s="10">
        <v>64.900000000000006</v>
      </c>
      <c r="C755" s="11">
        <v>42730.239999999998</v>
      </c>
      <c r="D755" s="14">
        <f t="shared" si="22"/>
        <v>1.3904077487892524E-2</v>
      </c>
      <c r="E755" s="14">
        <f t="shared" si="23"/>
        <v>-2.0896913851842841E-3</v>
      </c>
    </row>
    <row r="756" spans="1:5" x14ac:dyDescent="0.35">
      <c r="A756" s="9">
        <v>44882</v>
      </c>
      <c r="B756" s="10">
        <v>64.010000000000005</v>
      </c>
      <c r="C756" s="11">
        <v>42819.72</v>
      </c>
      <c r="D756" s="14">
        <f t="shared" si="22"/>
        <v>-4.8196517412933473E-3</v>
      </c>
      <c r="E756" s="14">
        <f t="shared" si="23"/>
        <v>-3.8160932910692724E-3</v>
      </c>
    </row>
    <row r="757" spans="1:5" x14ac:dyDescent="0.35">
      <c r="A757" s="9">
        <v>44881</v>
      </c>
      <c r="B757" s="10">
        <v>64.319999999999993</v>
      </c>
      <c r="C757" s="11">
        <v>42983.75</v>
      </c>
      <c r="D757" s="14">
        <f t="shared" si="22"/>
        <v>1.0894941634240183E-3</v>
      </c>
      <c r="E757" s="14">
        <f t="shared" si="23"/>
        <v>4.3671438435305748E-3</v>
      </c>
    </row>
    <row r="758" spans="1:5" x14ac:dyDescent="0.35">
      <c r="A758" s="9">
        <v>44880</v>
      </c>
      <c r="B758" s="10">
        <v>64.25</v>
      </c>
      <c r="C758" s="11">
        <v>42796.85</v>
      </c>
      <c r="D758" s="14">
        <f t="shared" si="22"/>
        <v>-9.3298087389212059E-4</v>
      </c>
      <c r="E758" s="14">
        <f t="shared" si="23"/>
        <v>-1.259718889925894E-3</v>
      </c>
    </row>
    <row r="759" spans="1:5" x14ac:dyDescent="0.35">
      <c r="A759" s="9">
        <v>44879</v>
      </c>
      <c r="B759" s="10">
        <v>64.31</v>
      </c>
      <c r="C759" s="11">
        <v>42850.83</v>
      </c>
      <c r="D759" s="14">
        <f t="shared" si="22"/>
        <v>-2.9457364341084918E-3</v>
      </c>
      <c r="E759" s="14">
        <f t="shared" si="23"/>
        <v>-5.6185524546357437E-3</v>
      </c>
    </row>
    <row r="760" spans="1:5" x14ac:dyDescent="0.35">
      <c r="A760" s="9">
        <v>44876</v>
      </c>
      <c r="B760" s="10">
        <v>64.5</v>
      </c>
      <c r="C760" s="11">
        <v>43092.95</v>
      </c>
      <c r="D760" s="14">
        <f t="shared" si="22"/>
        <v>-3.7071362372566403E-3</v>
      </c>
      <c r="E760" s="14">
        <f t="shared" si="23"/>
        <v>4.4679330005848381E-3</v>
      </c>
    </row>
    <row r="761" spans="1:5" x14ac:dyDescent="0.35">
      <c r="A761" s="9">
        <v>44875</v>
      </c>
      <c r="B761" s="10">
        <v>64.739999999999995</v>
      </c>
      <c r="C761" s="11">
        <v>42901.27</v>
      </c>
      <c r="D761" s="14">
        <f t="shared" si="22"/>
        <v>1.9527559055118028E-2</v>
      </c>
      <c r="E761" s="14">
        <f t="shared" si="23"/>
        <v>1.5045654408243446E-2</v>
      </c>
    </row>
    <row r="762" spans="1:5" x14ac:dyDescent="0.35">
      <c r="A762" s="9">
        <v>44873</v>
      </c>
      <c r="B762" s="10">
        <v>63.5</v>
      </c>
      <c r="C762" s="11">
        <v>42265.36</v>
      </c>
      <c r="D762" s="14">
        <f t="shared" si="22"/>
        <v>4.2701249406927591E-3</v>
      </c>
      <c r="E762" s="14">
        <f t="shared" si="23"/>
        <v>5.1846299030426646E-3</v>
      </c>
    </row>
    <row r="763" spans="1:5" x14ac:dyDescent="0.35">
      <c r="A763" s="9">
        <v>44872</v>
      </c>
      <c r="B763" s="10">
        <v>63.23</v>
      </c>
      <c r="C763" s="11">
        <v>42047.360000000001</v>
      </c>
      <c r="D763" s="14">
        <f t="shared" si="22"/>
        <v>3.6507936507936011E-3</v>
      </c>
      <c r="E763" s="14">
        <f t="shared" si="23"/>
        <v>4.5644252921483745E-3</v>
      </c>
    </row>
    <row r="764" spans="1:5" x14ac:dyDescent="0.35">
      <c r="A764" s="9">
        <v>44869</v>
      </c>
      <c r="B764" s="10">
        <v>63</v>
      </c>
      <c r="C764" s="11">
        <v>41856.31</v>
      </c>
      <c r="D764" s="14">
        <f t="shared" si="22"/>
        <v>-7.0921985815603278E-3</v>
      </c>
      <c r="E764" s="14">
        <f t="shared" si="23"/>
        <v>-5.5689248292557069E-3</v>
      </c>
    </row>
    <row r="765" spans="1:5" x14ac:dyDescent="0.35">
      <c r="A765" s="9">
        <v>44868</v>
      </c>
      <c r="B765" s="10">
        <v>63.45</v>
      </c>
      <c r="C765" s="11">
        <v>42090.71</v>
      </c>
      <c r="D765" s="14">
        <f t="shared" si="22"/>
        <v>5.387418792584431E-3</v>
      </c>
      <c r="E765" s="14">
        <f t="shared" si="23"/>
        <v>3.4836435402039365E-3</v>
      </c>
    </row>
    <row r="766" spans="1:5" x14ac:dyDescent="0.35">
      <c r="A766" s="9">
        <v>44867</v>
      </c>
      <c r="B766" s="10">
        <v>63.11</v>
      </c>
      <c r="C766" s="11">
        <v>41944.59</v>
      </c>
      <c r="D766" s="14">
        <f t="shared" si="22"/>
        <v>1.5847860538824104E-4</v>
      </c>
      <c r="E766" s="14">
        <f t="shared" si="23"/>
        <v>3.2505204061642249E-3</v>
      </c>
    </row>
    <row r="767" spans="1:5" x14ac:dyDescent="0.35">
      <c r="A767" s="9">
        <v>44866</v>
      </c>
      <c r="B767" s="10">
        <v>63.1</v>
      </c>
      <c r="C767" s="11">
        <v>41808.69</v>
      </c>
      <c r="D767" s="14">
        <f t="shared" si="22"/>
        <v>-5.9861373660994874E-3</v>
      </c>
      <c r="E767" s="14">
        <f t="shared" si="23"/>
        <v>1.3183920575136177E-2</v>
      </c>
    </row>
    <row r="768" spans="1:5" x14ac:dyDescent="0.35">
      <c r="A768" s="9">
        <v>44865</v>
      </c>
      <c r="B768" s="10">
        <v>63.48</v>
      </c>
      <c r="C768" s="11">
        <v>41264.660000000003</v>
      </c>
      <c r="D768" s="14">
        <f t="shared" si="22"/>
        <v>6.0221870047542855E-3</v>
      </c>
      <c r="E768" s="14">
        <f t="shared" si="23"/>
        <v>3.0220953502317978E-3</v>
      </c>
    </row>
    <row r="769" spans="1:5" x14ac:dyDescent="0.35">
      <c r="A769" s="9">
        <v>44862</v>
      </c>
      <c r="B769" s="10">
        <v>63.1</v>
      </c>
      <c r="C769" s="11">
        <v>41140.33</v>
      </c>
      <c r="D769" s="14">
        <f t="shared" si="22"/>
        <v>4.7566196289838494E-4</v>
      </c>
      <c r="E769" s="14">
        <f t="shared" si="23"/>
        <v>-1.1117507574601183E-2</v>
      </c>
    </row>
    <row r="770" spans="1:5" x14ac:dyDescent="0.35">
      <c r="A770" s="9">
        <v>44861</v>
      </c>
      <c r="B770" s="10">
        <v>63.07</v>
      </c>
      <c r="C770" s="11">
        <v>41602.85</v>
      </c>
      <c r="D770" s="14">
        <f t="shared" si="22"/>
        <v>-1.2989045383411554E-2</v>
      </c>
      <c r="E770" s="14">
        <f t="shared" si="23"/>
        <v>1.512276230903052E-3</v>
      </c>
    </row>
    <row r="771" spans="1:5" x14ac:dyDescent="0.35">
      <c r="A771" s="9">
        <v>44860</v>
      </c>
      <c r="B771" s="10">
        <v>63.9</v>
      </c>
      <c r="C771" s="11">
        <v>41540.03</v>
      </c>
      <c r="D771" s="14">
        <f t="shared" si="22"/>
        <v>-7.8186082877254516E-4</v>
      </c>
      <c r="E771" s="14">
        <f t="shared" si="23"/>
        <v>-1.5406250103697462E-2</v>
      </c>
    </row>
    <row r="772" spans="1:5" x14ac:dyDescent="0.35">
      <c r="A772" s="9">
        <v>44859</v>
      </c>
      <c r="B772" s="10">
        <v>63.95</v>
      </c>
      <c r="C772" s="11">
        <v>42190.02</v>
      </c>
      <c r="D772" s="14">
        <f t="shared" si="22"/>
        <v>-7.8124999999995559E-4</v>
      </c>
      <c r="E772" s="14">
        <f t="shared" si="23"/>
        <v>-3.7124033850621727E-3</v>
      </c>
    </row>
    <row r="773" spans="1:5" x14ac:dyDescent="0.35">
      <c r="A773" s="9">
        <v>44858</v>
      </c>
      <c r="B773" s="10">
        <v>64</v>
      </c>
      <c r="C773" s="11">
        <v>42347.23</v>
      </c>
      <c r="D773" s="14">
        <f t="shared" ref="D773:D836" si="24">(B773-B774)/B774</f>
        <v>2.4E-2</v>
      </c>
      <c r="E773" s="14">
        <f t="shared" ref="E773:E836" si="25">(C773-C774)/C774</f>
        <v>3.1684191874254385E-3</v>
      </c>
    </row>
    <row r="774" spans="1:5" x14ac:dyDescent="0.35">
      <c r="A774" s="9">
        <v>44855</v>
      </c>
      <c r="B774" s="10">
        <v>62.5</v>
      </c>
      <c r="C774" s="11">
        <v>42213.48</v>
      </c>
      <c r="D774" s="14">
        <f t="shared" si="24"/>
        <v>-9.5087163232963779E-3</v>
      </c>
      <c r="E774" s="14">
        <f t="shared" si="25"/>
        <v>1.8140809131349123E-3</v>
      </c>
    </row>
    <row r="775" spans="1:5" x14ac:dyDescent="0.35">
      <c r="A775" s="9">
        <v>44854</v>
      </c>
      <c r="B775" s="10">
        <v>63.1</v>
      </c>
      <c r="C775" s="11">
        <v>42137.04</v>
      </c>
      <c r="D775" s="14">
        <f t="shared" si="24"/>
        <v>-6.2992125984251742E-3</v>
      </c>
      <c r="E775" s="14">
        <f t="shared" si="25"/>
        <v>-2.1079404775014958E-3</v>
      </c>
    </row>
    <row r="776" spans="1:5" x14ac:dyDescent="0.35">
      <c r="A776" s="9">
        <v>44853</v>
      </c>
      <c r="B776" s="10">
        <v>63.5</v>
      </c>
      <c r="C776" s="11">
        <v>42226.05</v>
      </c>
      <c r="D776" s="14">
        <f t="shared" si="24"/>
        <v>0</v>
      </c>
      <c r="E776" s="14">
        <f t="shared" si="25"/>
        <v>9.2446663731624527E-3</v>
      </c>
    </row>
    <row r="777" spans="1:5" x14ac:dyDescent="0.35">
      <c r="A777" s="9">
        <v>44852</v>
      </c>
      <c r="B777" s="10">
        <v>63.5</v>
      </c>
      <c r="C777" s="11">
        <v>41839.26</v>
      </c>
      <c r="D777" s="14">
        <f t="shared" si="24"/>
        <v>4.4289781714647444E-3</v>
      </c>
      <c r="E777" s="14">
        <f t="shared" si="25"/>
        <v>2.0071631367882506E-3</v>
      </c>
    </row>
    <row r="778" spans="1:5" x14ac:dyDescent="0.35">
      <c r="A778" s="9">
        <v>44851</v>
      </c>
      <c r="B778" s="10">
        <v>63.22</v>
      </c>
      <c r="C778" s="11">
        <v>41755.449999999997</v>
      </c>
      <c r="D778" s="14">
        <f t="shared" si="24"/>
        <v>1.9017432646592305E-3</v>
      </c>
      <c r="E778" s="14">
        <f t="shared" si="25"/>
        <v>-4.6020715877803237E-3</v>
      </c>
    </row>
    <row r="779" spans="1:5" x14ac:dyDescent="0.35">
      <c r="A779" s="9">
        <v>44848</v>
      </c>
      <c r="B779" s="10">
        <v>63.1</v>
      </c>
      <c r="C779" s="11">
        <v>41948.5</v>
      </c>
      <c r="D779" s="14">
        <f t="shared" si="24"/>
        <v>-2.1705426356589126E-2</v>
      </c>
      <c r="E779" s="14">
        <f t="shared" si="25"/>
        <v>-3.260488355670312E-3</v>
      </c>
    </row>
    <row r="780" spans="1:5" x14ac:dyDescent="0.35">
      <c r="A780" s="9">
        <v>44847</v>
      </c>
      <c r="B780" s="10">
        <v>64.5</v>
      </c>
      <c r="C780" s="11">
        <v>42085.72</v>
      </c>
      <c r="D780" s="14">
        <f t="shared" si="24"/>
        <v>7.8125E-3</v>
      </c>
      <c r="E780" s="14">
        <f t="shared" si="25"/>
        <v>1.8706343731089939E-3</v>
      </c>
    </row>
    <row r="781" spans="1:5" x14ac:dyDescent="0.35">
      <c r="A781" s="9">
        <v>44846</v>
      </c>
      <c r="B781" s="10">
        <v>64</v>
      </c>
      <c r="C781" s="11">
        <v>42007.14</v>
      </c>
      <c r="D781" s="14">
        <f t="shared" si="24"/>
        <v>-3.8910505836575876E-3</v>
      </c>
      <c r="E781" s="14">
        <f t="shared" si="25"/>
        <v>-3.5188782099030485E-3</v>
      </c>
    </row>
    <row r="782" spans="1:5" x14ac:dyDescent="0.35">
      <c r="A782" s="9">
        <v>44845</v>
      </c>
      <c r="B782" s="10">
        <v>64.25</v>
      </c>
      <c r="C782" s="11">
        <v>42155.48</v>
      </c>
      <c r="D782" s="14">
        <f t="shared" si="24"/>
        <v>1.0061311114604631E-2</v>
      </c>
      <c r="E782" s="14">
        <f t="shared" si="25"/>
        <v>1.6687556804344326E-3</v>
      </c>
    </row>
    <row r="783" spans="1:5" x14ac:dyDescent="0.35">
      <c r="A783" s="9">
        <v>44841</v>
      </c>
      <c r="B783" s="10">
        <v>63.61</v>
      </c>
      <c r="C783" s="11">
        <v>42085.25</v>
      </c>
      <c r="D783" s="14">
        <f t="shared" si="24"/>
        <v>-9.9610894941634335E-3</v>
      </c>
      <c r="E783" s="14">
        <f t="shared" si="25"/>
        <v>-1.7865033608416515E-3</v>
      </c>
    </row>
    <row r="784" spans="1:5" x14ac:dyDescent="0.35">
      <c r="A784" s="9">
        <v>44840</v>
      </c>
      <c r="B784" s="10">
        <v>64.25</v>
      </c>
      <c r="C784" s="11">
        <v>42160.57</v>
      </c>
      <c r="D784" s="14">
        <f t="shared" si="24"/>
        <v>-2.329192546583939E-3</v>
      </c>
      <c r="E784" s="14">
        <f t="shared" si="25"/>
        <v>1.3197098296573428E-2</v>
      </c>
    </row>
    <row r="785" spans="1:5" x14ac:dyDescent="0.35">
      <c r="A785" s="9">
        <v>44839</v>
      </c>
      <c r="B785" s="10">
        <v>64.400000000000006</v>
      </c>
      <c r="C785" s="11">
        <v>41611.42</v>
      </c>
      <c r="D785" s="14">
        <f t="shared" si="24"/>
        <v>1.4173228346456783E-2</v>
      </c>
      <c r="E785" s="14">
        <f t="shared" si="25"/>
        <v>6.3116635062802967E-3</v>
      </c>
    </row>
    <row r="786" spans="1:5" x14ac:dyDescent="0.35">
      <c r="A786" s="9">
        <v>44838</v>
      </c>
      <c r="B786" s="10">
        <v>63.5</v>
      </c>
      <c r="C786" s="11">
        <v>41350.43</v>
      </c>
      <c r="D786" s="14">
        <f t="shared" si="24"/>
        <v>-4.7021943573667272E-3</v>
      </c>
      <c r="E786" s="14">
        <f t="shared" si="25"/>
        <v>3.3662770523905398E-3</v>
      </c>
    </row>
    <row r="787" spans="1:5" x14ac:dyDescent="0.35">
      <c r="A787" s="9">
        <v>44837</v>
      </c>
      <c r="B787" s="10">
        <v>63.8</v>
      </c>
      <c r="C787" s="11">
        <v>41211.699999999997</v>
      </c>
      <c r="D787" s="14">
        <f t="shared" si="24"/>
        <v>-1.694915254237301E-2</v>
      </c>
      <c r="E787" s="14">
        <f t="shared" si="25"/>
        <v>2.018786408604967E-3</v>
      </c>
    </row>
    <row r="788" spans="1:5" x14ac:dyDescent="0.35">
      <c r="A788" s="9">
        <v>44834</v>
      </c>
      <c r="B788" s="10">
        <v>64.900000000000006</v>
      </c>
      <c r="C788" s="11">
        <v>41128.67</v>
      </c>
      <c r="D788" s="14">
        <f t="shared" si="24"/>
        <v>2.2047244094488279E-2</v>
      </c>
      <c r="E788" s="14">
        <f t="shared" si="25"/>
        <v>2.7992976032979503E-3</v>
      </c>
    </row>
    <row r="789" spans="1:5" x14ac:dyDescent="0.35">
      <c r="A789" s="9">
        <v>44833</v>
      </c>
      <c r="B789" s="10">
        <v>63.5</v>
      </c>
      <c r="C789" s="11">
        <v>41013.86</v>
      </c>
      <c r="D789" s="14">
        <f t="shared" si="24"/>
        <v>-1.5503875968992248E-2</v>
      </c>
      <c r="E789" s="14">
        <f t="shared" si="25"/>
        <v>-1.0166976669314102E-2</v>
      </c>
    </row>
    <row r="790" spans="1:5" x14ac:dyDescent="0.35">
      <c r="A790" s="9">
        <v>44832</v>
      </c>
      <c r="B790" s="10">
        <v>64.5</v>
      </c>
      <c r="C790" s="11">
        <v>41435.129999999997</v>
      </c>
      <c r="D790" s="14">
        <f t="shared" si="24"/>
        <v>0</v>
      </c>
      <c r="E790" s="14">
        <f t="shared" si="25"/>
        <v>-2.001530412062504E-3</v>
      </c>
    </row>
    <row r="791" spans="1:5" x14ac:dyDescent="0.35">
      <c r="A791" s="9">
        <v>44831</v>
      </c>
      <c r="B791" s="10">
        <v>64.5</v>
      </c>
      <c r="C791" s="11">
        <v>41518.230000000003</v>
      </c>
      <c r="D791" s="14">
        <f t="shared" si="24"/>
        <v>1.5506280043425517E-4</v>
      </c>
      <c r="E791" s="14">
        <f t="shared" si="25"/>
        <v>8.9107236327000718E-3</v>
      </c>
    </row>
    <row r="792" spans="1:5" x14ac:dyDescent="0.35">
      <c r="A792" s="9">
        <v>44830</v>
      </c>
      <c r="B792" s="10">
        <v>64.489999999999995</v>
      </c>
      <c r="C792" s="11">
        <v>41151.54</v>
      </c>
      <c r="D792" s="14">
        <f t="shared" si="24"/>
        <v>1.5590551181102282E-2</v>
      </c>
      <c r="E792" s="14">
        <f t="shared" si="25"/>
        <v>1.3080434591549422E-2</v>
      </c>
    </row>
    <row r="793" spans="1:5" x14ac:dyDescent="0.35">
      <c r="A793" s="9">
        <v>44827</v>
      </c>
      <c r="B793" s="10">
        <v>63.5</v>
      </c>
      <c r="C793" s="11">
        <v>40620.21</v>
      </c>
      <c r="D793" s="14">
        <f t="shared" si="24"/>
        <v>-1.5503875968992248E-2</v>
      </c>
      <c r="E793" s="14">
        <f t="shared" si="25"/>
        <v>-7.5190670434262643E-3</v>
      </c>
    </row>
    <row r="794" spans="1:5" x14ac:dyDescent="0.35">
      <c r="A794" s="9">
        <v>44826</v>
      </c>
      <c r="B794" s="10">
        <v>64.5</v>
      </c>
      <c r="C794" s="11">
        <v>40927.949999999997</v>
      </c>
      <c r="D794" s="14">
        <f t="shared" si="24"/>
        <v>-7.6923076923076927E-3</v>
      </c>
      <c r="E794" s="14">
        <f t="shared" si="25"/>
        <v>-9.1857603383144225E-4</v>
      </c>
    </row>
    <row r="795" spans="1:5" x14ac:dyDescent="0.35">
      <c r="A795" s="9">
        <v>44825</v>
      </c>
      <c r="B795" s="10">
        <v>65</v>
      </c>
      <c r="C795" s="11">
        <v>40965.58</v>
      </c>
      <c r="D795" s="14">
        <f t="shared" si="24"/>
        <v>0</v>
      </c>
      <c r="E795" s="14">
        <f t="shared" si="25"/>
        <v>-6.1941863971465387E-3</v>
      </c>
    </row>
    <row r="796" spans="1:5" x14ac:dyDescent="0.35">
      <c r="A796" s="9">
        <v>44824</v>
      </c>
      <c r="B796" s="10">
        <v>65</v>
      </c>
      <c r="C796" s="11">
        <v>41220.910000000003</v>
      </c>
      <c r="D796" s="14">
        <f t="shared" si="24"/>
        <v>1.5625E-2</v>
      </c>
      <c r="E796" s="14">
        <f t="shared" si="25"/>
        <v>-7.2176238343432267E-3</v>
      </c>
    </row>
    <row r="797" spans="1:5" x14ac:dyDescent="0.35">
      <c r="A797" s="9">
        <v>44823</v>
      </c>
      <c r="B797" s="10">
        <v>64</v>
      </c>
      <c r="C797" s="11">
        <v>41520.589999999997</v>
      </c>
      <c r="D797" s="14">
        <f t="shared" si="24"/>
        <v>-8.2132341546567664E-3</v>
      </c>
      <c r="E797" s="14">
        <f t="shared" si="25"/>
        <v>-3.8124266875626707E-3</v>
      </c>
    </row>
    <row r="798" spans="1:5" x14ac:dyDescent="0.35">
      <c r="A798" s="9">
        <v>44820</v>
      </c>
      <c r="B798" s="10">
        <v>64.53</v>
      </c>
      <c r="C798" s="11">
        <v>41679.49</v>
      </c>
      <c r="D798" s="14">
        <f t="shared" si="24"/>
        <v>-1.330275229357805E-2</v>
      </c>
      <c r="E798" s="14">
        <f t="shared" si="25"/>
        <v>-2.2167911636692956E-3</v>
      </c>
    </row>
    <row r="799" spans="1:5" x14ac:dyDescent="0.35">
      <c r="A799" s="9">
        <v>44819</v>
      </c>
      <c r="B799" s="10">
        <v>65.400000000000006</v>
      </c>
      <c r="C799" s="11">
        <v>41772.089999999997</v>
      </c>
      <c r="D799" s="14">
        <f t="shared" si="24"/>
        <v>-1.2830188679245198E-2</v>
      </c>
      <c r="E799" s="14">
        <f t="shared" si="25"/>
        <v>-3.9470527893572908E-3</v>
      </c>
    </row>
    <row r="800" spans="1:5" x14ac:dyDescent="0.35">
      <c r="A800" s="9">
        <v>44818</v>
      </c>
      <c r="B800" s="10">
        <v>66.25</v>
      </c>
      <c r="C800" s="11">
        <v>41937.620000000003</v>
      </c>
      <c r="D800" s="14">
        <f t="shared" si="24"/>
        <v>-1.5071590052749709E-3</v>
      </c>
      <c r="E800" s="14">
        <f t="shared" si="25"/>
        <v>-1.5170944546053506E-3</v>
      </c>
    </row>
    <row r="801" spans="1:5" x14ac:dyDescent="0.35">
      <c r="A801" s="9">
        <v>44817</v>
      </c>
      <c r="B801" s="10">
        <v>66.349999999999994</v>
      </c>
      <c r="C801" s="11">
        <v>42001.34</v>
      </c>
      <c r="D801" s="14">
        <f t="shared" si="24"/>
        <v>5.3030303030302166E-3</v>
      </c>
      <c r="E801" s="14">
        <f t="shared" si="25"/>
        <v>3.3216051964666919E-3</v>
      </c>
    </row>
    <row r="802" spans="1:5" x14ac:dyDescent="0.35">
      <c r="A802" s="9">
        <v>44816</v>
      </c>
      <c r="B802" s="10">
        <v>66</v>
      </c>
      <c r="C802" s="11">
        <v>41862.29</v>
      </c>
      <c r="D802" s="14">
        <f t="shared" si="24"/>
        <v>7.4797740802930064E-3</v>
      </c>
      <c r="E802" s="14">
        <f t="shared" si="25"/>
        <v>-2.0470504546564764E-3</v>
      </c>
    </row>
    <row r="803" spans="1:5" x14ac:dyDescent="0.35">
      <c r="A803" s="9">
        <v>44813</v>
      </c>
      <c r="B803" s="10">
        <v>65.510000000000005</v>
      </c>
      <c r="C803" s="11">
        <v>41948.160000000003</v>
      </c>
      <c r="D803" s="14">
        <f t="shared" si="24"/>
        <v>8.0012309586091745E-3</v>
      </c>
      <c r="E803" s="14">
        <f t="shared" si="25"/>
        <v>2.9496860593921123E-3</v>
      </c>
    </row>
    <row r="804" spans="1:5" x14ac:dyDescent="0.35">
      <c r="A804" s="9">
        <v>44812</v>
      </c>
      <c r="B804" s="10">
        <v>64.989999999999995</v>
      </c>
      <c r="C804" s="11">
        <v>41824.79</v>
      </c>
      <c r="D804" s="14">
        <f t="shared" si="24"/>
        <v>-1.5303030303030381E-2</v>
      </c>
      <c r="E804" s="14">
        <f t="shared" si="25"/>
        <v>1.406405441740312E-3</v>
      </c>
    </row>
    <row r="805" spans="1:5" x14ac:dyDescent="0.35">
      <c r="A805" s="9">
        <v>44811</v>
      </c>
      <c r="B805" s="10">
        <v>66</v>
      </c>
      <c r="C805" s="11">
        <v>41766.050000000003</v>
      </c>
      <c r="D805" s="14">
        <f t="shared" si="24"/>
        <v>7.6335877862595417E-3</v>
      </c>
      <c r="E805" s="14">
        <f t="shared" si="25"/>
        <v>-2.2529667685609409E-3</v>
      </c>
    </row>
    <row r="806" spans="1:5" x14ac:dyDescent="0.35">
      <c r="A806" s="9">
        <v>44810</v>
      </c>
      <c r="B806" s="10">
        <v>65.5</v>
      </c>
      <c r="C806" s="11">
        <v>41860.36</v>
      </c>
      <c r="D806" s="14">
        <f t="shared" si="24"/>
        <v>-7.726102105741631E-3</v>
      </c>
      <c r="E806" s="14">
        <f t="shared" si="25"/>
        <v>2.5322927043635981E-5</v>
      </c>
    </row>
    <row r="807" spans="1:5" x14ac:dyDescent="0.35">
      <c r="A807" s="9">
        <v>44809</v>
      </c>
      <c r="B807" s="10">
        <v>66.010000000000005</v>
      </c>
      <c r="C807" s="11">
        <v>41859.300000000003</v>
      </c>
      <c r="D807" s="14">
        <f t="shared" si="24"/>
        <v>7.4786324786326177E-3</v>
      </c>
      <c r="E807" s="14">
        <f t="shared" si="25"/>
        <v>-1.0631516474820616E-2</v>
      </c>
    </row>
    <row r="808" spans="1:5" x14ac:dyDescent="0.35">
      <c r="A808" s="9">
        <v>44806</v>
      </c>
      <c r="B808" s="10">
        <v>65.52</v>
      </c>
      <c r="C808" s="11">
        <v>42309.11</v>
      </c>
      <c r="D808" s="14">
        <f t="shared" si="24"/>
        <v>-3.6470588235294178E-2</v>
      </c>
      <c r="E808" s="14">
        <f t="shared" si="25"/>
        <v>-3.5555750248233435E-3</v>
      </c>
    </row>
    <row r="809" spans="1:5" x14ac:dyDescent="0.35">
      <c r="A809" s="9">
        <v>44805</v>
      </c>
      <c r="B809" s="10">
        <v>68</v>
      </c>
      <c r="C809" s="11">
        <v>42460.08</v>
      </c>
      <c r="D809" s="14">
        <f t="shared" si="24"/>
        <v>2.8588715776735753E-2</v>
      </c>
      <c r="E809" s="14">
        <f t="shared" si="25"/>
        <v>6.2762988725034632E-3</v>
      </c>
    </row>
    <row r="810" spans="1:5" x14ac:dyDescent="0.35">
      <c r="A810" s="9">
        <v>44803</v>
      </c>
      <c r="B810" s="10">
        <v>66.11</v>
      </c>
      <c r="C810" s="11">
        <v>42195.25</v>
      </c>
      <c r="D810" s="14">
        <f t="shared" si="24"/>
        <v>-2.1132075471698201E-3</v>
      </c>
      <c r="E810" s="14">
        <f t="shared" si="25"/>
        <v>-7.2719632865725367E-3</v>
      </c>
    </row>
    <row r="811" spans="1:5" x14ac:dyDescent="0.35">
      <c r="A811" s="9">
        <v>44802</v>
      </c>
      <c r="B811" s="10">
        <v>66.25</v>
      </c>
      <c r="C811" s="11">
        <v>42504.34</v>
      </c>
      <c r="D811" s="14">
        <f t="shared" si="24"/>
        <v>-3.2846715328467155E-2</v>
      </c>
      <c r="E811" s="14">
        <f t="shared" si="25"/>
        <v>-2.0466520205554002E-3</v>
      </c>
    </row>
    <row r="812" spans="1:5" x14ac:dyDescent="0.35">
      <c r="A812" s="9">
        <v>44799</v>
      </c>
      <c r="B812" s="10">
        <v>68.5</v>
      </c>
      <c r="C812" s="11">
        <v>42591.51</v>
      </c>
      <c r="D812" s="14">
        <f t="shared" si="24"/>
        <v>7.3529411764705881E-3</v>
      </c>
      <c r="E812" s="14">
        <f t="shared" si="25"/>
        <v>-1.0249445942921783E-2</v>
      </c>
    </row>
    <row r="813" spans="1:5" x14ac:dyDescent="0.35">
      <c r="A813" s="9">
        <v>44798</v>
      </c>
      <c r="B813" s="10">
        <v>68</v>
      </c>
      <c r="C813" s="11">
        <v>43032.57</v>
      </c>
      <c r="D813" s="14">
        <f t="shared" si="24"/>
        <v>-8.8908322401982133E-3</v>
      </c>
      <c r="E813" s="14">
        <f t="shared" si="25"/>
        <v>-7.0469382852958147E-3</v>
      </c>
    </row>
    <row r="814" spans="1:5" x14ac:dyDescent="0.35">
      <c r="A814" s="9">
        <v>44797</v>
      </c>
      <c r="B814" s="10">
        <v>68.61</v>
      </c>
      <c r="C814" s="11">
        <v>43337.97</v>
      </c>
      <c r="D814" s="14">
        <f t="shared" si="24"/>
        <v>1.4596409283315474E-3</v>
      </c>
      <c r="E814" s="14">
        <f t="shared" si="25"/>
        <v>-6.6433339067363713E-4</v>
      </c>
    </row>
    <row r="815" spans="1:5" x14ac:dyDescent="0.35">
      <c r="A815" s="9">
        <v>44796</v>
      </c>
      <c r="B815" s="10">
        <v>68.510000000000005</v>
      </c>
      <c r="C815" s="11">
        <v>43366.78</v>
      </c>
      <c r="D815" s="14">
        <f t="shared" si="24"/>
        <v>7.5000000000000752E-3</v>
      </c>
      <c r="E815" s="14">
        <f t="shared" si="25"/>
        <v>1.2611770331844588E-2</v>
      </c>
    </row>
    <row r="816" spans="1:5" x14ac:dyDescent="0.35">
      <c r="A816" s="9">
        <v>44795</v>
      </c>
      <c r="B816" s="10">
        <v>68</v>
      </c>
      <c r="C816" s="11">
        <v>42826.66</v>
      </c>
      <c r="D816" s="14">
        <f t="shared" si="24"/>
        <v>-2.1582733812949641E-2</v>
      </c>
      <c r="E816" s="14">
        <f t="shared" si="25"/>
        <v>-1.0260765669108229E-2</v>
      </c>
    </row>
    <row r="817" spans="1:5" x14ac:dyDescent="0.35">
      <c r="A817" s="9">
        <v>44792</v>
      </c>
      <c r="B817" s="10">
        <v>69.5</v>
      </c>
      <c r="C817" s="11">
        <v>43270.65</v>
      </c>
      <c r="D817" s="14">
        <f t="shared" si="24"/>
        <v>1.4598540145985401E-2</v>
      </c>
      <c r="E817" s="14">
        <f t="shared" si="25"/>
        <v>-4.8491887354391765E-3</v>
      </c>
    </row>
    <row r="818" spans="1:5" x14ac:dyDescent="0.35">
      <c r="A818" s="9">
        <v>44791</v>
      </c>
      <c r="B818" s="10">
        <v>68.5</v>
      </c>
      <c r="C818" s="11">
        <v>43481.5</v>
      </c>
      <c r="D818" s="14">
        <f t="shared" si="24"/>
        <v>-7.246376811594203E-3</v>
      </c>
      <c r="E818" s="14">
        <f t="shared" si="25"/>
        <v>-4.4660110594789901E-3</v>
      </c>
    </row>
    <row r="819" spans="1:5" x14ac:dyDescent="0.35">
      <c r="A819" s="9">
        <v>44790</v>
      </c>
      <c r="B819" s="10">
        <v>69</v>
      </c>
      <c r="C819" s="11">
        <v>43676.56</v>
      </c>
      <c r="D819" s="14">
        <f t="shared" si="24"/>
        <v>-1.4285714285714285E-2</v>
      </c>
      <c r="E819" s="14">
        <f t="shared" si="25"/>
        <v>5.5271513713817154E-3</v>
      </c>
    </row>
    <row r="820" spans="1:5" x14ac:dyDescent="0.35">
      <c r="A820" s="9">
        <v>44789</v>
      </c>
      <c r="B820" s="10">
        <v>70</v>
      </c>
      <c r="C820" s="11">
        <v>43436.480000000003</v>
      </c>
      <c r="D820" s="14">
        <f t="shared" si="24"/>
        <v>0</v>
      </c>
      <c r="E820" s="14">
        <f t="shared" si="25"/>
        <v>-4.2487910866625123E-3</v>
      </c>
    </row>
    <row r="821" spans="1:5" x14ac:dyDescent="0.35">
      <c r="A821" s="9">
        <v>44788</v>
      </c>
      <c r="B821" s="10">
        <v>70</v>
      </c>
      <c r="C821" s="11">
        <v>43621.82</v>
      </c>
      <c r="D821" s="14">
        <f t="shared" si="24"/>
        <v>1.573901845757611E-3</v>
      </c>
      <c r="E821" s="14">
        <f t="shared" si="25"/>
        <v>1.7832322271188032E-2</v>
      </c>
    </row>
    <row r="822" spans="1:5" x14ac:dyDescent="0.35">
      <c r="A822" s="9">
        <v>44785</v>
      </c>
      <c r="B822" s="10">
        <v>69.89</v>
      </c>
      <c r="C822" s="11">
        <v>42857.57</v>
      </c>
      <c r="D822" s="14">
        <f t="shared" si="24"/>
        <v>1.3045368894042697E-2</v>
      </c>
      <c r="E822" s="14">
        <f t="shared" si="25"/>
        <v>1.454052036143926E-2</v>
      </c>
    </row>
    <row r="823" spans="1:5" x14ac:dyDescent="0.35">
      <c r="A823" s="9">
        <v>44784</v>
      </c>
      <c r="B823" s="10">
        <v>68.989999999999995</v>
      </c>
      <c r="C823" s="11">
        <v>42243.33</v>
      </c>
      <c r="D823" s="14">
        <f t="shared" si="24"/>
        <v>1.2325752017608058E-2</v>
      </c>
      <c r="E823" s="14">
        <f t="shared" si="25"/>
        <v>-5.9188348705783598E-3</v>
      </c>
    </row>
    <row r="824" spans="1:5" x14ac:dyDescent="0.35">
      <c r="A824" s="9">
        <v>44783</v>
      </c>
      <c r="B824" s="10">
        <v>68.150000000000006</v>
      </c>
      <c r="C824" s="11">
        <v>42494.85</v>
      </c>
      <c r="D824" s="14">
        <f t="shared" si="24"/>
        <v>4.4444444444444529E-2</v>
      </c>
      <c r="E824" s="14">
        <f t="shared" si="25"/>
        <v>9.4690167102810269E-3</v>
      </c>
    </row>
    <row r="825" spans="1:5" x14ac:dyDescent="0.35">
      <c r="A825" s="9">
        <v>44778</v>
      </c>
      <c r="B825" s="10">
        <v>65.25</v>
      </c>
      <c r="C825" s="11">
        <v>42096.24</v>
      </c>
      <c r="D825" s="14">
        <f t="shared" si="24"/>
        <v>0</v>
      </c>
      <c r="E825" s="14">
        <f t="shared" si="25"/>
        <v>1.6194665249821435E-2</v>
      </c>
    </row>
    <row r="826" spans="1:5" x14ac:dyDescent="0.35">
      <c r="A826" s="9">
        <v>44777</v>
      </c>
      <c r="B826" s="10">
        <v>65.25</v>
      </c>
      <c r="C826" s="11">
        <v>41425.370000000003</v>
      </c>
      <c r="D826" s="14">
        <f t="shared" si="24"/>
        <v>5.3929121725731013E-3</v>
      </c>
      <c r="E826" s="14">
        <f t="shared" si="25"/>
        <v>8.6805407599478621E-3</v>
      </c>
    </row>
    <row r="827" spans="1:5" x14ac:dyDescent="0.35">
      <c r="A827" s="9">
        <v>44776</v>
      </c>
      <c r="B827" s="10">
        <v>64.900000000000006</v>
      </c>
      <c r="C827" s="11">
        <v>41068.870000000003</v>
      </c>
      <c r="D827" s="14">
        <f t="shared" si="24"/>
        <v>1.4062500000000089E-2</v>
      </c>
      <c r="E827" s="14">
        <f t="shared" si="25"/>
        <v>2.1826943483975934E-2</v>
      </c>
    </row>
    <row r="828" spans="1:5" x14ac:dyDescent="0.35">
      <c r="A828" s="9">
        <v>44775</v>
      </c>
      <c r="B828" s="10">
        <v>64</v>
      </c>
      <c r="C828" s="11">
        <v>40191.61</v>
      </c>
      <c r="D828" s="14">
        <f t="shared" si="24"/>
        <v>-1.3867488443759717E-2</v>
      </c>
      <c r="E828" s="14">
        <f t="shared" si="25"/>
        <v>2.885769922916418E-3</v>
      </c>
    </row>
    <row r="829" spans="1:5" x14ac:dyDescent="0.35">
      <c r="A829" s="9">
        <v>44774</v>
      </c>
      <c r="B829" s="10">
        <v>64.900000000000006</v>
      </c>
      <c r="C829" s="11">
        <v>40075.96</v>
      </c>
      <c r="D829" s="14">
        <f t="shared" si="24"/>
        <v>-7.6452599388379195E-3</v>
      </c>
      <c r="E829" s="14">
        <f t="shared" si="25"/>
        <v>-1.8530344435268189E-3</v>
      </c>
    </row>
    <row r="830" spans="1:5" x14ac:dyDescent="0.35">
      <c r="A830" s="9">
        <v>44771</v>
      </c>
      <c r="B830" s="10">
        <v>65.400000000000006</v>
      </c>
      <c r="C830" s="11">
        <v>40150.36</v>
      </c>
      <c r="D830" s="14">
        <f t="shared" si="24"/>
        <v>6.1538461538462414E-3</v>
      </c>
      <c r="E830" s="14">
        <f t="shared" si="25"/>
        <v>-3.1353161534824862E-3</v>
      </c>
    </row>
    <row r="831" spans="1:5" x14ac:dyDescent="0.35">
      <c r="A831" s="9">
        <v>44770</v>
      </c>
      <c r="B831" s="10">
        <v>65</v>
      </c>
      <c r="C831" s="11">
        <v>40276.639999999999</v>
      </c>
      <c r="D831" s="14">
        <f t="shared" si="24"/>
        <v>9.3167701863353155E-3</v>
      </c>
      <c r="E831" s="14">
        <f t="shared" si="25"/>
        <v>7.6052019581393671E-3</v>
      </c>
    </row>
    <row r="832" spans="1:5" x14ac:dyDescent="0.35">
      <c r="A832" s="9">
        <v>44769</v>
      </c>
      <c r="B832" s="10">
        <v>64.400000000000006</v>
      </c>
      <c r="C832" s="11">
        <v>39972.639999999999</v>
      </c>
      <c r="D832" s="14">
        <f t="shared" si="24"/>
        <v>1.2419430907090179E-2</v>
      </c>
      <c r="E832" s="14">
        <f t="shared" si="25"/>
        <v>1.9699679526144001E-3</v>
      </c>
    </row>
    <row r="833" spans="1:5" x14ac:dyDescent="0.35">
      <c r="A833" s="9">
        <v>44768</v>
      </c>
      <c r="B833" s="10">
        <v>63.61</v>
      </c>
      <c r="C833" s="11">
        <v>39894.050000000003</v>
      </c>
      <c r="D833" s="14">
        <f t="shared" si="24"/>
        <v>-1.8364197530864164E-2</v>
      </c>
      <c r="E833" s="14">
        <f t="shared" si="25"/>
        <v>1.2556463931100857E-3</v>
      </c>
    </row>
    <row r="834" spans="1:5" x14ac:dyDescent="0.35">
      <c r="A834" s="9">
        <v>44767</v>
      </c>
      <c r="B834" s="10">
        <v>64.8</v>
      </c>
      <c r="C834" s="11">
        <v>39844.019999999997</v>
      </c>
      <c r="D834" s="14">
        <f t="shared" si="24"/>
        <v>0</v>
      </c>
      <c r="E834" s="14">
        <f t="shared" si="25"/>
        <v>-5.8207513979236652E-3</v>
      </c>
    </row>
    <row r="835" spans="1:5" x14ac:dyDescent="0.35">
      <c r="A835" s="9">
        <v>44764</v>
      </c>
      <c r="B835" s="10">
        <v>64.8</v>
      </c>
      <c r="C835" s="11">
        <v>40077.300000000003</v>
      </c>
      <c r="D835" s="14">
        <f t="shared" si="24"/>
        <v>-3.0769230769231207E-3</v>
      </c>
      <c r="E835" s="14">
        <f t="shared" si="25"/>
        <v>6.1646801860325727E-3</v>
      </c>
    </row>
    <row r="836" spans="1:5" x14ac:dyDescent="0.35">
      <c r="A836" s="9">
        <v>44763</v>
      </c>
      <c r="B836" s="10">
        <v>65</v>
      </c>
      <c r="C836" s="11">
        <v>39831.75</v>
      </c>
      <c r="D836" s="14">
        <f t="shared" si="24"/>
        <v>-3.7037037037037035E-2</v>
      </c>
      <c r="E836" s="14">
        <f t="shared" si="25"/>
        <v>-1.5520382009752844E-2</v>
      </c>
    </row>
    <row r="837" spans="1:5" x14ac:dyDescent="0.35">
      <c r="A837" s="9">
        <v>44762</v>
      </c>
      <c r="B837" s="10">
        <v>67.5</v>
      </c>
      <c r="C837" s="11">
        <v>40459.699999999997</v>
      </c>
      <c r="D837" s="14">
        <f t="shared" ref="D837:D900" si="26">(B837-B838)/B838</f>
        <v>1.5037593984962405E-2</v>
      </c>
      <c r="E837" s="14">
        <f t="shared" ref="E837:E900" si="27">(C837-C838)/C838</f>
        <v>1.7487404389355185E-3</v>
      </c>
    </row>
    <row r="838" spans="1:5" x14ac:dyDescent="0.35">
      <c r="A838" s="9">
        <v>44761</v>
      </c>
      <c r="B838" s="10">
        <v>66.5</v>
      </c>
      <c r="C838" s="11">
        <v>40389.07</v>
      </c>
      <c r="D838" s="14">
        <f t="shared" si="26"/>
        <v>-2.6354319180087807E-2</v>
      </c>
      <c r="E838" s="14">
        <f t="shared" si="27"/>
        <v>-2.3642937589790556E-2</v>
      </c>
    </row>
    <row r="839" spans="1:5" x14ac:dyDescent="0.35">
      <c r="A839" s="9">
        <v>44760</v>
      </c>
      <c r="B839" s="10">
        <v>68.3</v>
      </c>
      <c r="C839" s="11">
        <v>41367.11</v>
      </c>
      <c r="D839" s="14">
        <f t="shared" si="26"/>
        <v>-7.2674418604651162E-3</v>
      </c>
      <c r="E839" s="14">
        <f t="shared" si="27"/>
        <v>-1.682237704132945E-2</v>
      </c>
    </row>
    <row r="840" spans="1:5" x14ac:dyDescent="0.35">
      <c r="A840" s="9">
        <v>44757</v>
      </c>
      <c r="B840" s="10">
        <v>68.8</v>
      </c>
      <c r="C840" s="11">
        <v>42074.91</v>
      </c>
      <c r="D840" s="14">
        <f t="shared" si="26"/>
        <v>0</v>
      </c>
      <c r="E840" s="14">
        <f t="shared" si="27"/>
        <v>-6.4700602683752662E-3</v>
      </c>
    </row>
    <row r="841" spans="1:5" x14ac:dyDescent="0.35">
      <c r="A841" s="9">
        <v>44756</v>
      </c>
      <c r="B841" s="10">
        <v>68.8</v>
      </c>
      <c r="C841" s="11">
        <v>42348.91</v>
      </c>
      <c r="D841" s="14">
        <f t="shared" si="26"/>
        <v>-2.4648397854139729E-3</v>
      </c>
      <c r="E841" s="14">
        <f t="shared" si="27"/>
        <v>1.1612705036002317E-2</v>
      </c>
    </row>
    <row r="842" spans="1:5" x14ac:dyDescent="0.35">
      <c r="A842" s="9">
        <v>44755</v>
      </c>
      <c r="B842" s="10">
        <v>68.97</v>
      </c>
      <c r="C842" s="11">
        <v>41862.769999999997</v>
      </c>
      <c r="D842" s="14">
        <f t="shared" si="26"/>
        <v>3.1999999999999837E-3</v>
      </c>
      <c r="E842" s="14">
        <f t="shared" si="27"/>
        <v>1.2547404085863823E-2</v>
      </c>
    </row>
    <row r="843" spans="1:5" x14ac:dyDescent="0.35">
      <c r="A843" s="9">
        <v>44749</v>
      </c>
      <c r="B843" s="10">
        <v>68.75</v>
      </c>
      <c r="C843" s="11">
        <v>41344.01</v>
      </c>
      <c r="D843" s="14">
        <f t="shared" si="26"/>
        <v>9.54478707782681E-3</v>
      </c>
      <c r="E843" s="14">
        <f t="shared" si="27"/>
        <v>4.4757274028852231E-3</v>
      </c>
    </row>
    <row r="844" spans="1:5" x14ac:dyDescent="0.35">
      <c r="A844" s="9">
        <v>44748</v>
      </c>
      <c r="B844" s="10">
        <v>68.099999999999994</v>
      </c>
      <c r="C844" s="11">
        <v>41159.79</v>
      </c>
      <c r="D844" s="14">
        <f t="shared" si="26"/>
        <v>3.0932390631903629E-3</v>
      </c>
      <c r="E844" s="14">
        <f t="shared" si="27"/>
        <v>1.392127061641186E-3</v>
      </c>
    </row>
    <row r="845" spans="1:5" x14ac:dyDescent="0.35">
      <c r="A845" s="9">
        <v>44747</v>
      </c>
      <c r="B845" s="10">
        <v>67.89</v>
      </c>
      <c r="C845" s="11">
        <v>41102.57</v>
      </c>
      <c r="D845" s="14">
        <f t="shared" si="26"/>
        <v>-1.7937219730941631E-2</v>
      </c>
      <c r="E845" s="14">
        <f t="shared" si="27"/>
        <v>-5.9402842059108904E-3</v>
      </c>
    </row>
    <row r="846" spans="1:5" x14ac:dyDescent="0.35">
      <c r="A846" s="9">
        <v>44746</v>
      </c>
      <c r="B846" s="10">
        <v>69.13</v>
      </c>
      <c r="C846" s="11">
        <v>41348.19</v>
      </c>
      <c r="D846" s="14">
        <f t="shared" si="26"/>
        <v>1.1585807385951963E-3</v>
      </c>
      <c r="E846" s="14">
        <f t="shared" si="27"/>
        <v>-6.7777474847075803E-3</v>
      </c>
    </row>
    <row r="847" spans="1:5" x14ac:dyDescent="0.35">
      <c r="A847" s="9">
        <v>44743</v>
      </c>
      <c r="B847" s="10">
        <v>69.05</v>
      </c>
      <c r="C847" s="11">
        <v>41630.35</v>
      </c>
      <c r="D847" s="14">
        <f t="shared" si="26"/>
        <v>7.2939460247994168E-3</v>
      </c>
      <c r="E847" s="14">
        <f t="shared" si="27"/>
        <v>2.1549882368743427E-3</v>
      </c>
    </row>
    <row r="848" spans="1:5" x14ac:dyDescent="0.35">
      <c r="A848" s="9">
        <v>44742</v>
      </c>
      <c r="B848" s="10">
        <v>68.55</v>
      </c>
      <c r="C848" s="11">
        <v>41540.83</v>
      </c>
      <c r="D848" s="14">
        <f t="shared" si="26"/>
        <v>-1.7908309455587395E-2</v>
      </c>
      <c r="E848" s="14">
        <f t="shared" si="27"/>
        <v>5.8865220921343261E-3</v>
      </c>
    </row>
    <row r="849" spans="1:5" x14ac:dyDescent="0.35">
      <c r="A849" s="9">
        <v>44741</v>
      </c>
      <c r="B849" s="10">
        <v>69.8</v>
      </c>
      <c r="C849" s="11">
        <v>41297.730000000003</v>
      </c>
      <c r="D849" s="14">
        <f t="shared" si="26"/>
        <v>-2.8571428571428979E-3</v>
      </c>
      <c r="E849" s="14">
        <f t="shared" si="27"/>
        <v>-1.120275480167658E-2</v>
      </c>
    </row>
    <row r="850" spans="1:5" x14ac:dyDescent="0.35">
      <c r="A850" s="9">
        <v>44740</v>
      </c>
      <c r="B850" s="10">
        <v>70</v>
      </c>
      <c r="C850" s="11">
        <v>41765.620000000003</v>
      </c>
      <c r="D850" s="14">
        <f t="shared" si="26"/>
        <v>7.1942446043165471E-3</v>
      </c>
      <c r="E850" s="14">
        <f t="shared" si="27"/>
        <v>-2.6970834964039386E-3</v>
      </c>
    </row>
    <row r="851" spans="1:5" x14ac:dyDescent="0.35">
      <c r="A851" s="9">
        <v>44739</v>
      </c>
      <c r="B851" s="10">
        <v>69.5</v>
      </c>
      <c r="C851" s="11">
        <v>41878.57</v>
      </c>
      <c r="D851" s="14">
        <f t="shared" si="26"/>
        <v>7.3923757066242232E-3</v>
      </c>
      <c r="E851" s="14">
        <f t="shared" si="27"/>
        <v>2.0139925688989417E-2</v>
      </c>
    </row>
    <row r="852" spans="1:5" x14ac:dyDescent="0.35">
      <c r="A852" s="9">
        <v>44736</v>
      </c>
      <c r="B852" s="10">
        <v>68.989999999999995</v>
      </c>
      <c r="C852" s="11">
        <v>41051.79</v>
      </c>
      <c r="D852" s="14">
        <f t="shared" si="26"/>
        <v>-2.8309859154929649E-2</v>
      </c>
      <c r="E852" s="14">
        <f t="shared" si="27"/>
        <v>-3.8981697437809854E-2</v>
      </c>
    </row>
    <row r="853" spans="1:5" x14ac:dyDescent="0.35">
      <c r="A853" s="9">
        <v>44735</v>
      </c>
      <c r="B853" s="10">
        <v>71</v>
      </c>
      <c r="C853" s="11">
        <v>42716.97</v>
      </c>
      <c r="D853" s="14">
        <f t="shared" si="26"/>
        <v>7.0921985815602835E-3</v>
      </c>
      <c r="E853" s="14">
        <f t="shared" si="27"/>
        <v>6.0961219686025284E-3</v>
      </c>
    </row>
    <row r="854" spans="1:5" x14ac:dyDescent="0.35">
      <c r="A854" s="9">
        <v>44734</v>
      </c>
      <c r="B854" s="10">
        <v>70.5</v>
      </c>
      <c r="C854" s="11">
        <v>42458.14</v>
      </c>
      <c r="D854" s="14">
        <f t="shared" si="26"/>
        <v>1.4204545454544646E-3</v>
      </c>
      <c r="E854" s="14">
        <f t="shared" si="27"/>
        <v>7.5314256316211994E-3</v>
      </c>
    </row>
    <row r="855" spans="1:5" x14ac:dyDescent="0.35">
      <c r="A855" s="9">
        <v>44729</v>
      </c>
      <c r="B855" s="10">
        <v>70.400000000000006</v>
      </c>
      <c r="C855" s="11">
        <v>42140.76</v>
      </c>
      <c r="D855" s="14">
        <f t="shared" si="26"/>
        <v>5.8579797113874959E-3</v>
      </c>
      <c r="E855" s="14">
        <f t="shared" si="27"/>
        <v>9.8394063190747061E-3</v>
      </c>
    </row>
    <row r="856" spans="1:5" x14ac:dyDescent="0.35">
      <c r="A856" s="9">
        <v>44728</v>
      </c>
      <c r="B856" s="10">
        <v>69.989999999999995</v>
      </c>
      <c r="C856" s="11">
        <v>41730.160000000003</v>
      </c>
      <c r="D856" s="14">
        <f t="shared" si="26"/>
        <v>0</v>
      </c>
      <c r="E856" s="14">
        <f t="shared" si="27"/>
        <v>7.0313346504567971E-3</v>
      </c>
    </row>
    <row r="857" spans="1:5" x14ac:dyDescent="0.35">
      <c r="A857" s="9">
        <v>44727</v>
      </c>
      <c r="B857" s="10">
        <v>69.989999999999995</v>
      </c>
      <c r="C857" s="11">
        <v>41438.79</v>
      </c>
      <c r="D857" s="14">
        <f t="shared" si="26"/>
        <v>1.4347826086956448E-2</v>
      </c>
      <c r="E857" s="14">
        <f t="shared" si="27"/>
        <v>1.3670767048769423E-2</v>
      </c>
    </row>
    <row r="858" spans="1:5" x14ac:dyDescent="0.35">
      <c r="A858" s="9">
        <v>44725</v>
      </c>
      <c r="B858" s="10">
        <v>69</v>
      </c>
      <c r="C858" s="11">
        <v>40879.93</v>
      </c>
      <c r="D858" s="14">
        <f t="shared" si="26"/>
        <v>-3.8997214484679625E-2</v>
      </c>
      <c r="E858" s="14">
        <f t="shared" si="27"/>
        <v>-2.7009574975252793E-2</v>
      </c>
    </row>
    <row r="859" spans="1:5" x14ac:dyDescent="0.35">
      <c r="A859" s="9">
        <v>44722</v>
      </c>
      <c r="B859" s="10">
        <v>71.8</v>
      </c>
      <c r="C859" s="11">
        <v>42014.73</v>
      </c>
      <c r="D859" s="14">
        <f t="shared" si="26"/>
        <v>-2.5006946373993724E-3</v>
      </c>
      <c r="E859" s="14">
        <f t="shared" si="27"/>
        <v>6.6793719372935014E-3</v>
      </c>
    </row>
    <row r="860" spans="1:5" x14ac:dyDescent="0.35">
      <c r="A860" s="9">
        <v>44721</v>
      </c>
      <c r="B860" s="10">
        <v>71.98</v>
      </c>
      <c r="C860" s="11">
        <v>41735.96</v>
      </c>
      <c r="D860" s="14">
        <f t="shared" si="26"/>
        <v>5.5601890464284482E-4</v>
      </c>
      <c r="E860" s="14">
        <f t="shared" si="27"/>
        <v>4.399184081306828E-3</v>
      </c>
    </row>
    <row r="861" spans="1:5" x14ac:dyDescent="0.35">
      <c r="A861" s="9">
        <v>44720</v>
      </c>
      <c r="B861" s="10">
        <v>71.94</v>
      </c>
      <c r="C861" s="11">
        <v>41553.160000000003</v>
      </c>
      <c r="D861" s="14">
        <f t="shared" si="26"/>
        <v>-5.5570991942214848E-4</v>
      </c>
      <c r="E861" s="14">
        <f t="shared" si="27"/>
        <v>-3.6686512666710125E-4</v>
      </c>
    </row>
    <row r="862" spans="1:5" x14ac:dyDescent="0.35">
      <c r="A862" s="9">
        <v>44719</v>
      </c>
      <c r="B862" s="10">
        <v>71.98</v>
      </c>
      <c r="C862" s="11">
        <v>41568.410000000003</v>
      </c>
      <c r="D862" s="14">
        <f t="shared" si="26"/>
        <v>1.3802816901408508E-2</v>
      </c>
      <c r="E862" s="14">
        <f t="shared" si="27"/>
        <v>-2.1165441355963121E-4</v>
      </c>
    </row>
    <row r="863" spans="1:5" x14ac:dyDescent="0.35">
      <c r="A863" s="9">
        <v>44718</v>
      </c>
      <c r="B863" s="10">
        <v>71</v>
      </c>
      <c r="C863" s="11">
        <v>41577.21</v>
      </c>
      <c r="D863" s="14">
        <f t="shared" si="26"/>
        <v>-1.40258297458687E-2</v>
      </c>
      <c r="E863" s="14">
        <f t="shared" si="27"/>
        <v>6.3495283055403223E-3</v>
      </c>
    </row>
    <row r="864" spans="1:5" x14ac:dyDescent="0.35">
      <c r="A864" s="9">
        <v>44715</v>
      </c>
      <c r="B864" s="10">
        <v>72.010000000000005</v>
      </c>
      <c r="C864" s="11">
        <v>41314.879999999997</v>
      </c>
      <c r="D864" s="14">
        <f t="shared" si="26"/>
        <v>1.3888888888895993E-4</v>
      </c>
      <c r="E864" s="14">
        <f t="shared" si="27"/>
        <v>-2.1853117258879666E-2</v>
      </c>
    </row>
    <row r="865" spans="1:5" x14ac:dyDescent="0.35">
      <c r="A865" s="9">
        <v>44714</v>
      </c>
      <c r="B865" s="10">
        <v>72</v>
      </c>
      <c r="C865" s="11">
        <v>42237.91</v>
      </c>
      <c r="D865" s="14">
        <f t="shared" si="26"/>
        <v>-1.3698630136986301E-2</v>
      </c>
      <c r="E865" s="14">
        <f t="shared" si="27"/>
        <v>-1.21182878489214E-2</v>
      </c>
    </row>
    <row r="866" spans="1:5" x14ac:dyDescent="0.35">
      <c r="A866" s="9">
        <v>44713</v>
      </c>
      <c r="B866" s="10">
        <v>73</v>
      </c>
      <c r="C866" s="11">
        <v>42756.04</v>
      </c>
      <c r="D866" s="14">
        <f t="shared" si="26"/>
        <v>2.6578540289692035E-2</v>
      </c>
      <c r="E866" s="14">
        <f t="shared" si="27"/>
        <v>-7.4771102002082392E-3</v>
      </c>
    </row>
    <row r="867" spans="1:5" x14ac:dyDescent="0.35">
      <c r="A867" s="9">
        <v>44712</v>
      </c>
      <c r="B867" s="10">
        <v>71.11</v>
      </c>
      <c r="C867" s="11">
        <v>43078.14</v>
      </c>
      <c r="D867" s="14">
        <f t="shared" si="26"/>
        <v>-1.9649122807017623E-3</v>
      </c>
      <c r="E867" s="14">
        <f t="shared" si="27"/>
        <v>8.8289675637672187E-4</v>
      </c>
    </row>
    <row r="868" spans="1:5" x14ac:dyDescent="0.35">
      <c r="A868" s="9">
        <v>44711</v>
      </c>
      <c r="B868" s="10">
        <v>71.25</v>
      </c>
      <c r="C868" s="11">
        <v>43040.14</v>
      </c>
      <c r="D868" s="14">
        <f t="shared" si="26"/>
        <v>7.4943438914027308E-3</v>
      </c>
      <c r="E868" s="14">
        <f t="shared" si="27"/>
        <v>4.1690143473914754E-3</v>
      </c>
    </row>
    <row r="869" spans="1:5" x14ac:dyDescent="0.35">
      <c r="A869" s="9">
        <v>44708</v>
      </c>
      <c r="B869" s="10">
        <v>70.72</v>
      </c>
      <c r="C869" s="11">
        <v>42861.45</v>
      </c>
      <c r="D869" s="14">
        <f t="shared" si="26"/>
        <v>-3.8033525848710529E-3</v>
      </c>
      <c r="E869" s="14">
        <f t="shared" si="27"/>
        <v>7.5159179073901348E-3</v>
      </c>
    </row>
    <row r="870" spans="1:5" x14ac:dyDescent="0.35">
      <c r="A870" s="9">
        <v>44707</v>
      </c>
      <c r="B870" s="10">
        <v>70.989999999999995</v>
      </c>
      <c r="C870" s="11">
        <v>42541.71</v>
      </c>
      <c r="D870" s="14">
        <f t="shared" si="26"/>
        <v>-5.9735099337748412E-2</v>
      </c>
      <c r="E870" s="14">
        <f t="shared" si="27"/>
        <v>1.2592632792115414E-2</v>
      </c>
    </row>
    <row r="871" spans="1:5" x14ac:dyDescent="0.35">
      <c r="A871" s="9">
        <v>44706</v>
      </c>
      <c r="B871" s="10">
        <v>75.5</v>
      </c>
      <c r="C871" s="11">
        <v>42012.66</v>
      </c>
      <c r="D871" s="14">
        <f t="shared" si="26"/>
        <v>-1.948051948051948E-2</v>
      </c>
      <c r="E871" s="14">
        <f t="shared" si="27"/>
        <v>1.4860434914442556E-3</v>
      </c>
    </row>
    <row r="872" spans="1:5" x14ac:dyDescent="0.35">
      <c r="A872" s="9">
        <v>44705</v>
      </c>
      <c r="B872" s="10">
        <v>77</v>
      </c>
      <c r="C872" s="11">
        <v>41950.32</v>
      </c>
      <c r="D872" s="14">
        <f t="shared" si="26"/>
        <v>-1.282051282051282E-2</v>
      </c>
      <c r="E872" s="14">
        <f t="shared" si="27"/>
        <v>-2.6690517787414065E-2</v>
      </c>
    </row>
    <row r="873" spans="1:5" x14ac:dyDescent="0.35">
      <c r="A873" s="9">
        <v>44701</v>
      </c>
      <c r="B873" s="10">
        <v>78</v>
      </c>
      <c r="C873" s="11">
        <v>43100.7</v>
      </c>
      <c r="D873" s="14">
        <f t="shared" si="26"/>
        <v>-1.8867924528301886E-2</v>
      </c>
      <c r="E873" s="14">
        <f t="shared" si="27"/>
        <v>8.7684190866183179E-3</v>
      </c>
    </row>
    <row r="874" spans="1:5" x14ac:dyDescent="0.35">
      <c r="A874" s="9">
        <v>44698</v>
      </c>
      <c r="B874" s="10">
        <v>79.5</v>
      </c>
      <c r="C874" s="11">
        <v>42726.06</v>
      </c>
      <c r="D874" s="14">
        <f t="shared" si="26"/>
        <v>4.6052631578947366E-2</v>
      </c>
      <c r="E874" s="14">
        <f t="shared" si="27"/>
        <v>1.3766976693168908E-3</v>
      </c>
    </row>
    <row r="875" spans="1:5" x14ac:dyDescent="0.35">
      <c r="A875" s="9">
        <v>44697</v>
      </c>
      <c r="B875" s="10">
        <v>76</v>
      </c>
      <c r="C875" s="11">
        <v>42667.32</v>
      </c>
      <c r="D875" s="14">
        <f t="shared" si="26"/>
        <v>0</v>
      </c>
      <c r="E875" s="14">
        <f t="shared" si="27"/>
        <v>-1.8836667781189809E-2</v>
      </c>
    </row>
    <row r="876" spans="1:5" x14ac:dyDescent="0.35">
      <c r="A876" s="9">
        <v>44694</v>
      </c>
      <c r="B876" s="10">
        <v>76</v>
      </c>
      <c r="C876" s="11">
        <v>43486.46</v>
      </c>
      <c r="D876" s="14">
        <f t="shared" si="26"/>
        <v>2.5062656641603709E-3</v>
      </c>
      <c r="E876" s="14">
        <f t="shared" si="27"/>
        <v>1.3707258352518105E-2</v>
      </c>
    </row>
    <row r="877" spans="1:5" x14ac:dyDescent="0.35">
      <c r="A877" s="9">
        <v>44693</v>
      </c>
      <c r="B877" s="10">
        <v>75.81</v>
      </c>
      <c r="C877" s="11">
        <v>42898.44</v>
      </c>
      <c r="D877" s="14">
        <f t="shared" si="26"/>
        <v>-9.1491308325709429E-3</v>
      </c>
      <c r="E877" s="14">
        <f t="shared" si="27"/>
        <v>8.2331793160327397E-4</v>
      </c>
    </row>
    <row r="878" spans="1:5" x14ac:dyDescent="0.35">
      <c r="A878" s="9">
        <v>44692</v>
      </c>
      <c r="B878" s="10">
        <v>76.510000000000005</v>
      </c>
      <c r="C878" s="11">
        <v>42863.15</v>
      </c>
      <c r="D878" s="14">
        <f t="shared" si="26"/>
        <v>-1.2774193548387032E-2</v>
      </c>
      <c r="E878" s="14">
        <f t="shared" si="27"/>
        <v>-1.4738982483594728E-2</v>
      </c>
    </row>
    <row r="879" spans="1:5" x14ac:dyDescent="0.35">
      <c r="A879" s="9">
        <v>44691</v>
      </c>
      <c r="B879" s="10">
        <v>77.5</v>
      </c>
      <c r="C879" s="11">
        <v>43504.36</v>
      </c>
      <c r="D879" s="14">
        <f t="shared" si="26"/>
        <v>-6.41025641025641E-3</v>
      </c>
      <c r="E879" s="14">
        <f t="shared" si="27"/>
        <v>2.563077942734754E-3</v>
      </c>
    </row>
    <row r="880" spans="1:5" x14ac:dyDescent="0.35">
      <c r="A880" s="9">
        <v>44690</v>
      </c>
      <c r="B880" s="10">
        <v>78</v>
      </c>
      <c r="C880" s="11">
        <v>43393.14</v>
      </c>
      <c r="D880" s="14">
        <f t="shared" si="26"/>
        <v>-8.2644628099174267E-3</v>
      </c>
      <c r="E880" s="14">
        <f t="shared" si="27"/>
        <v>-4.1023076322984187E-2</v>
      </c>
    </row>
    <row r="881" spans="1:5" x14ac:dyDescent="0.35">
      <c r="A881" s="9">
        <v>44679</v>
      </c>
      <c r="B881" s="10">
        <v>78.650000000000006</v>
      </c>
      <c r="C881" s="11">
        <v>45249.41</v>
      </c>
      <c r="D881" s="14">
        <f t="shared" si="26"/>
        <v>-7.4705882352941108E-2</v>
      </c>
      <c r="E881" s="14">
        <f t="shared" si="27"/>
        <v>-1.2402638545347129E-2</v>
      </c>
    </row>
    <row r="882" spans="1:5" x14ac:dyDescent="0.35">
      <c r="A882" s="9">
        <v>44677</v>
      </c>
      <c r="B882" s="10">
        <v>85</v>
      </c>
      <c r="C882" s="11">
        <v>45817.67</v>
      </c>
      <c r="D882" s="14">
        <f t="shared" si="26"/>
        <v>2.7811366384522335E-2</v>
      </c>
      <c r="E882" s="14">
        <f t="shared" si="27"/>
        <v>-5.5472535581926989E-3</v>
      </c>
    </row>
    <row r="883" spans="1:5" x14ac:dyDescent="0.35">
      <c r="A883" s="9">
        <v>44676</v>
      </c>
      <c r="B883" s="10">
        <v>82.7</v>
      </c>
      <c r="C883" s="11">
        <v>46073.25</v>
      </c>
      <c r="D883" s="14">
        <f t="shared" si="26"/>
        <v>8.4136080965735612E-3</v>
      </c>
      <c r="E883" s="14">
        <f t="shared" si="27"/>
        <v>1.1420318565048009E-2</v>
      </c>
    </row>
    <row r="884" spans="1:5" x14ac:dyDescent="0.35">
      <c r="A884" s="9">
        <v>44673</v>
      </c>
      <c r="B884" s="10">
        <v>82.01</v>
      </c>
      <c r="C884" s="11">
        <v>45553.02</v>
      </c>
      <c r="D884" s="14">
        <f t="shared" si="26"/>
        <v>-1.073582629674307E-2</v>
      </c>
      <c r="E884" s="14">
        <f t="shared" si="27"/>
        <v>-2.181692967457417E-3</v>
      </c>
    </row>
    <row r="885" spans="1:5" x14ac:dyDescent="0.35">
      <c r="A885" s="9">
        <v>44672</v>
      </c>
      <c r="B885" s="10">
        <v>82.9</v>
      </c>
      <c r="C885" s="11">
        <v>45652.62</v>
      </c>
      <c r="D885" s="14">
        <f t="shared" si="26"/>
        <v>2.1816837174904603E-2</v>
      </c>
      <c r="E885" s="14">
        <f t="shared" si="27"/>
        <v>-6.32390109866193E-3</v>
      </c>
    </row>
    <row r="886" spans="1:5" x14ac:dyDescent="0.35">
      <c r="A886" s="9">
        <v>44671</v>
      </c>
      <c r="B886" s="10">
        <v>81.13</v>
      </c>
      <c r="C886" s="11">
        <v>45943.16</v>
      </c>
      <c r="D886" s="14">
        <f t="shared" si="26"/>
        <v>-2.2530120481927766E-2</v>
      </c>
      <c r="E886" s="14">
        <f t="shared" si="27"/>
        <v>-8.4215778868615854E-3</v>
      </c>
    </row>
    <row r="887" spans="1:5" x14ac:dyDescent="0.35">
      <c r="A887" s="9">
        <v>44670</v>
      </c>
      <c r="B887" s="10">
        <v>83</v>
      </c>
      <c r="C887" s="11">
        <v>46333.36</v>
      </c>
      <c r="D887" s="14">
        <f t="shared" si="26"/>
        <v>-1.1904761904761904E-2</v>
      </c>
      <c r="E887" s="14">
        <f t="shared" si="27"/>
        <v>-4.4312809803437447E-3</v>
      </c>
    </row>
    <row r="888" spans="1:5" x14ac:dyDescent="0.35">
      <c r="A888" s="9">
        <v>44669</v>
      </c>
      <c r="B888" s="10">
        <v>84</v>
      </c>
      <c r="C888" s="11">
        <v>46539.59</v>
      </c>
      <c r="D888" s="14">
        <f t="shared" si="26"/>
        <v>-1.1764705882352941E-2</v>
      </c>
      <c r="E888" s="14">
        <f t="shared" si="27"/>
        <v>-1.3293552101498012E-3</v>
      </c>
    </row>
    <row r="889" spans="1:5" x14ac:dyDescent="0.35">
      <c r="A889" s="9">
        <v>44666</v>
      </c>
      <c r="B889" s="10">
        <v>85</v>
      </c>
      <c r="C889" s="11">
        <v>46601.54</v>
      </c>
      <c r="D889" s="14">
        <f t="shared" si="26"/>
        <v>0</v>
      </c>
      <c r="E889" s="14">
        <f t="shared" si="27"/>
        <v>2.5193381956065846E-3</v>
      </c>
    </row>
    <row r="890" spans="1:5" x14ac:dyDescent="0.35">
      <c r="A890" s="9">
        <v>44665</v>
      </c>
      <c r="B890" s="10">
        <v>85</v>
      </c>
      <c r="C890" s="11">
        <v>46484.43</v>
      </c>
      <c r="D890" s="14">
        <f t="shared" si="26"/>
        <v>0</v>
      </c>
      <c r="E890" s="14">
        <f t="shared" si="27"/>
        <v>6.9084056275790428E-3</v>
      </c>
    </row>
    <row r="891" spans="1:5" x14ac:dyDescent="0.35">
      <c r="A891" s="9">
        <v>44664</v>
      </c>
      <c r="B891" s="10">
        <v>85</v>
      </c>
      <c r="C891" s="11">
        <v>46165.5</v>
      </c>
      <c r="D891" s="14">
        <f t="shared" si="26"/>
        <v>-4.6838407494145858E-3</v>
      </c>
      <c r="E891" s="14">
        <f t="shared" si="27"/>
        <v>4.4511903358461844E-4</v>
      </c>
    </row>
    <row r="892" spans="1:5" x14ac:dyDescent="0.35">
      <c r="A892" s="9">
        <v>44662</v>
      </c>
      <c r="B892" s="10">
        <v>85.4</v>
      </c>
      <c r="C892" s="11">
        <v>46144.959999999999</v>
      </c>
      <c r="D892" s="14">
        <f t="shared" si="26"/>
        <v>-4.0816326530611581E-3</v>
      </c>
      <c r="E892" s="14">
        <f t="shared" si="27"/>
        <v>3.8258433311778341E-2</v>
      </c>
    </row>
    <row r="893" spans="1:5" x14ac:dyDescent="0.35">
      <c r="A893" s="9">
        <v>44659</v>
      </c>
      <c r="B893" s="10">
        <v>85.75</v>
      </c>
      <c r="C893" s="11">
        <v>44444.58</v>
      </c>
      <c r="D893" s="14">
        <f t="shared" si="26"/>
        <v>2.0833333333333332E-2</v>
      </c>
      <c r="E893" s="14">
        <f t="shared" si="27"/>
        <v>1.5021640068486346E-2</v>
      </c>
    </row>
    <row r="894" spans="1:5" x14ac:dyDescent="0.35">
      <c r="A894" s="9">
        <v>44658</v>
      </c>
      <c r="B894" s="10">
        <v>84</v>
      </c>
      <c r="C894" s="11">
        <v>43786.83</v>
      </c>
      <c r="D894" s="14">
        <f t="shared" si="26"/>
        <v>0</v>
      </c>
      <c r="E894" s="14">
        <f t="shared" si="27"/>
        <v>-7.3512109197004108E-3</v>
      </c>
    </row>
    <row r="895" spans="1:5" x14ac:dyDescent="0.35">
      <c r="A895" s="9">
        <v>44657</v>
      </c>
      <c r="B895" s="10">
        <v>84</v>
      </c>
      <c r="C895" s="11">
        <v>44111.1</v>
      </c>
      <c r="D895" s="14">
        <f t="shared" si="26"/>
        <v>0</v>
      </c>
      <c r="E895" s="14">
        <f t="shared" si="27"/>
        <v>4.1663555520750463E-3</v>
      </c>
    </row>
    <row r="896" spans="1:5" x14ac:dyDescent="0.35">
      <c r="A896" s="9">
        <v>44656</v>
      </c>
      <c r="B896" s="10">
        <v>84</v>
      </c>
      <c r="C896" s="11">
        <v>43928.08</v>
      </c>
      <c r="D896" s="14">
        <f t="shared" si="26"/>
        <v>5.9880239520958087E-3</v>
      </c>
      <c r="E896" s="14">
        <f t="shared" si="27"/>
        <v>5.9313872430531408E-4</v>
      </c>
    </row>
    <row r="897" spans="1:5" x14ac:dyDescent="0.35">
      <c r="A897" s="9">
        <v>44655</v>
      </c>
      <c r="B897" s="10">
        <v>83.5</v>
      </c>
      <c r="C897" s="11">
        <v>43902.04</v>
      </c>
      <c r="D897" s="14">
        <f t="shared" si="26"/>
        <v>-5.9844404548171351E-4</v>
      </c>
      <c r="E897" s="14">
        <f t="shared" si="27"/>
        <v>-2.7685749348147843E-2</v>
      </c>
    </row>
    <row r="898" spans="1:5" x14ac:dyDescent="0.35">
      <c r="A898" s="9">
        <v>44652</v>
      </c>
      <c r="B898" s="10">
        <v>83.55</v>
      </c>
      <c r="C898" s="11">
        <v>45152.11</v>
      </c>
      <c r="D898" s="14">
        <f t="shared" si="26"/>
        <v>-3.9102932719954062E-2</v>
      </c>
      <c r="E898" s="14">
        <f t="shared" si="27"/>
        <v>4.9696375356313265E-3</v>
      </c>
    </row>
    <row r="899" spans="1:5" x14ac:dyDescent="0.35">
      <c r="A899" s="9">
        <v>44651</v>
      </c>
      <c r="B899" s="10">
        <v>86.95</v>
      </c>
      <c r="C899" s="11">
        <v>44928.83</v>
      </c>
      <c r="D899" s="14">
        <f t="shared" si="26"/>
        <v>4.1192671536342922E-2</v>
      </c>
      <c r="E899" s="14">
        <f t="shared" si="27"/>
        <v>1.3335645894812526E-2</v>
      </c>
    </row>
    <row r="900" spans="1:5" x14ac:dyDescent="0.35">
      <c r="A900" s="9">
        <v>44650</v>
      </c>
      <c r="B900" s="10">
        <v>83.51</v>
      </c>
      <c r="C900" s="11">
        <v>44337.56</v>
      </c>
      <c r="D900" s="14">
        <f t="shared" si="26"/>
        <v>5.5388320288983503E-3</v>
      </c>
      <c r="E900" s="14">
        <f t="shared" si="27"/>
        <v>-2.2759441657834146E-3</v>
      </c>
    </row>
    <row r="901" spans="1:5" x14ac:dyDescent="0.35">
      <c r="A901" s="9">
        <v>44649</v>
      </c>
      <c r="B901" s="10">
        <v>83.05</v>
      </c>
      <c r="C901" s="11">
        <v>44438.7</v>
      </c>
      <c r="D901" s="14">
        <f t="shared" ref="D901:D964" si="28">(B901-B902)/B902</f>
        <v>-2.294117647058827E-2</v>
      </c>
      <c r="E901" s="14">
        <f t="shared" ref="E901:E964" si="29">(C901-C902)/C902</f>
        <v>1.1497816247988997E-2</v>
      </c>
    </row>
    <row r="902" spans="1:5" x14ac:dyDescent="0.35">
      <c r="A902" s="9">
        <v>44648</v>
      </c>
      <c r="B902" s="10">
        <v>85</v>
      </c>
      <c r="C902" s="11">
        <v>43933.56</v>
      </c>
      <c r="D902" s="14">
        <f t="shared" si="28"/>
        <v>0</v>
      </c>
      <c r="E902" s="14">
        <f t="shared" si="29"/>
        <v>8.7809412107237202E-3</v>
      </c>
    </row>
    <row r="903" spans="1:5" x14ac:dyDescent="0.35">
      <c r="A903" s="9">
        <v>44645</v>
      </c>
      <c r="B903" s="10">
        <v>85</v>
      </c>
      <c r="C903" s="11">
        <v>43551.14</v>
      </c>
      <c r="D903" s="14">
        <f t="shared" si="28"/>
        <v>2.3534949399854106E-4</v>
      </c>
      <c r="E903" s="14">
        <f t="shared" si="29"/>
        <v>6.5690084795115415E-4</v>
      </c>
    </row>
    <row r="904" spans="1:5" x14ac:dyDescent="0.35">
      <c r="A904" s="9">
        <v>44644</v>
      </c>
      <c r="B904" s="10">
        <v>84.98</v>
      </c>
      <c r="C904" s="11">
        <v>43522.55</v>
      </c>
      <c r="D904" s="14">
        <f t="shared" si="28"/>
        <v>-1.1766090128239681E-4</v>
      </c>
      <c r="E904" s="14">
        <f t="shared" si="29"/>
        <v>7.3780564158839315E-3</v>
      </c>
    </row>
    <row r="905" spans="1:5" x14ac:dyDescent="0.35">
      <c r="A905" s="9">
        <v>44642</v>
      </c>
      <c r="B905" s="10">
        <v>84.99</v>
      </c>
      <c r="C905" s="11">
        <v>43203.79</v>
      </c>
      <c r="D905" s="14">
        <f t="shared" si="28"/>
        <v>-1.176470588235896E-4</v>
      </c>
      <c r="E905" s="14">
        <f t="shared" si="29"/>
        <v>-6.1137787408901208E-4</v>
      </c>
    </row>
    <row r="906" spans="1:5" x14ac:dyDescent="0.35">
      <c r="A906" s="9">
        <v>44641</v>
      </c>
      <c r="B906" s="10">
        <v>85</v>
      </c>
      <c r="C906" s="11">
        <v>43230.22</v>
      </c>
      <c r="D906" s="14">
        <f t="shared" si="28"/>
        <v>0</v>
      </c>
      <c r="E906" s="14">
        <f t="shared" si="29"/>
        <v>4.6537332003717411E-3</v>
      </c>
    </row>
    <row r="907" spans="1:5" x14ac:dyDescent="0.35">
      <c r="A907" s="9">
        <v>44638</v>
      </c>
      <c r="B907" s="10">
        <v>85</v>
      </c>
      <c r="C907" s="11">
        <v>43029.97</v>
      </c>
      <c r="D907" s="14">
        <f t="shared" si="28"/>
        <v>0</v>
      </c>
      <c r="E907" s="14">
        <f t="shared" si="29"/>
        <v>-1.7742733334200816E-2</v>
      </c>
    </row>
    <row r="908" spans="1:5" x14ac:dyDescent="0.35">
      <c r="A908" s="9">
        <v>44637</v>
      </c>
      <c r="B908" s="10">
        <v>85</v>
      </c>
      <c r="C908" s="11">
        <v>43807.23</v>
      </c>
      <c r="D908" s="14">
        <f t="shared" si="28"/>
        <v>-2.9325513196480938E-3</v>
      </c>
      <c r="E908" s="14">
        <f t="shared" si="29"/>
        <v>-3.8307528545885039E-3</v>
      </c>
    </row>
    <row r="909" spans="1:5" x14ac:dyDescent="0.35">
      <c r="A909" s="9">
        <v>44636</v>
      </c>
      <c r="B909" s="10">
        <v>85.25</v>
      </c>
      <c r="C909" s="11">
        <v>43975.69</v>
      </c>
      <c r="D909" s="14">
        <f t="shared" si="28"/>
        <v>-2.9239766081871343E-3</v>
      </c>
      <c r="E909" s="14">
        <f t="shared" si="29"/>
        <v>5.8524943606813257E-3</v>
      </c>
    </row>
    <row r="910" spans="1:5" x14ac:dyDescent="0.35">
      <c r="A910" s="9">
        <v>44635</v>
      </c>
      <c r="B910" s="10">
        <v>85.5</v>
      </c>
      <c r="C910" s="11">
        <v>43719.82</v>
      </c>
      <c r="D910" s="14">
        <f t="shared" si="28"/>
        <v>-2.2857142857142857E-2</v>
      </c>
      <c r="E910" s="14">
        <f t="shared" si="29"/>
        <v>8.1382363365231011E-3</v>
      </c>
    </row>
    <row r="911" spans="1:5" x14ac:dyDescent="0.35">
      <c r="A911" s="9">
        <v>44634</v>
      </c>
      <c r="B911" s="10">
        <v>87.5</v>
      </c>
      <c r="C911" s="11">
        <v>43366.89</v>
      </c>
      <c r="D911" s="14">
        <f t="shared" si="28"/>
        <v>6.9044879171460795E-3</v>
      </c>
      <c r="E911" s="14">
        <f t="shared" si="29"/>
        <v>-6.5616987295127847E-3</v>
      </c>
    </row>
    <row r="912" spans="1:5" x14ac:dyDescent="0.35">
      <c r="A912" s="9">
        <v>44631</v>
      </c>
      <c r="B912" s="10">
        <v>86.9</v>
      </c>
      <c r="C912" s="11">
        <v>43653.33</v>
      </c>
      <c r="D912" s="14">
        <f t="shared" si="28"/>
        <v>1.0465116279069833E-2</v>
      </c>
      <c r="E912" s="14">
        <f t="shared" si="29"/>
        <v>-4.567239831056156E-3</v>
      </c>
    </row>
    <row r="913" spans="1:5" x14ac:dyDescent="0.35">
      <c r="A913" s="9">
        <v>44630</v>
      </c>
      <c r="B913" s="10">
        <v>86</v>
      </c>
      <c r="C913" s="11">
        <v>43853.62</v>
      </c>
      <c r="D913" s="14">
        <f t="shared" si="28"/>
        <v>0</v>
      </c>
      <c r="E913" s="14">
        <f t="shared" si="29"/>
        <v>1.8833741917377512E-2</v>
      </c>
    </row>
    <row r="914" spans="1:5" x14ac:dyDescent="0.35">
      <c r="A914" s="9">
        <v>44629</v>
      </c>
      <c r="B914" s="10">
        <v>86</v>
      </c>
      <c r="C914" s="11">
        <v>43042.96</v>
      </c>
      <c r="D914" s="14">
        <f t="shared" si="28"/>
        <v>0</v>
      </c>
      <c r="E914" s="14">
        <f t="shared" si="29"/>
        <v>3.8390003346677423E-3</v>
      </c>
    </row>
    <row r="915" spans="1:5" x14ac:dyDescent="0.35">
      <c r="A915" s="9">
        <v>44628</v>
      </c>
      <c r="B915" s="10">
        <v>86</v>
      </c>
      <c r="C915" s="11">
        <v>42878.35</v>
      </c>
      <c r="D915" s="14">
        <f t="shared" si="28"/>
        <v>0</v>
      </c>
      <c r="E915" s="14">
        <f t="shared" si="29"/>
        <v>-8.9819092947808141E-3</v>
      </c>
    </row>
    <row r="916" spans="1:5" x14ac:dyDescent="0.35">
      <c r="A916" s="9">
        <v>44627</v>
      </c>
      <c r="B916" s="10">
        <v>86</v>
      </c>
      <c r="C916" s="11">
        <v>43266.97</v>
      </c>
      <c r="D916" s="14">
        <f t="shared" si="28"/>
        <v>0</v>
      </c>
      <c r="E916" s="14">
        <f t="shared" si="29"/>
        <v>-2.8829204951140591E-2</v>
      </c>
    </row>
    <row r="917" spans="1:5" x14ac:dyDescent="0.35">
      <c r="A917" s="9">
        <v>44624</v>
      </c>
      <c r="B917" s="10">
        <v>86</v>
      </c>
      <c r="C917" s="11">
        <v>44551.35</v>
      </c>
      <c r="D917" s="14">
        <f t="shared" si="28"/>
        <v>0</v>
      </c>
      <c r="E917" s="14">
        <f t="shared" si="29"/>
        <v>5.7562235939132218E-4</v>
      </c>
    </row>
    <row r="918" spans="1:5" x14ac:dyDescent="0.35">
      <c r="A918" s="9">
        <v>44623</v>
      </c>
      <c r="B918" s="10">
        <v>86</v>
      </c>
      <c r="C918" s="11">
        <v>44525.72</v>
      </c>
      <c r="D918" s="14">
        <f t="shared" si="28"/>
        <v>0</v>
      </c>
      <c r="E918" s="14">
        <f t="shared" si="29"/>
        <v>2.605914707512705E-4</v>
      </c>
    </row>
    <row r="919" spans="1:5" x14ac:dyDescent="0.35">
      <c r="A919" s="9">
        <v>44622</v>
      </c>
      <c r="B919" s="10">
        <v>86</v>
      </c>
      <c r="C919" s="11">
        <v>44514.12</v>
      </c>
      <c r="D919" s="14">
        <f t="shared" si="28"/>
        <v>0</v>
      </c>
      <c r="E919" s="14">
        <f t="shared" si="29"/>
        <v>-6.4606444395737825E-3</v>
      </c>
    </row>
    <row r="920" spans="1:5" x14ac:dyDescent="0.35">
      <c r="A920" s="9">
        <v>44621</v>
      </c>
      <c r="B920" s="10">
        <v>86</v>
      </c>
      <c r="C920" s="11">
        <v>44803.58</v>
      </c>
      <c r="D920" s="14">
        <f t="shared" si="28"/>
        <v>5.8479532163742687E-3</v>
      </c>
      <c r="E920" s="14">
        <f t="shared" si="29"/>
        <v>7.7049531713292091E-3</v>
      </c>
    </row>
    <row r="921" spans="1:5" x14ac:dyDescent="0.35">
      <c r="A921" s="9">
        <v>44620</v>
      </c>
      <c r="B921" s="10">
        <v>85.5</v>
      </c>
      <c r="C921" s="11">
        <v>44461.01</v>
      </c>
      <c r="D921" s="14">
        <f t="shared" si="28"/>
        <v>-1.1560693641618497E-2</v>
      </c>
      <c r="E921" s="14">
        <f t="shared" si="29"/>
        <v>1.0839564353050186E-2</v>
      </c>
    </row>
    <row r="922" spans="1:5" x14ac:dyDescent="0.35">
      <c r="A922" s="9">
        <v>44617</v>
      </c>
      <c r="B922" s="10">
        <v>86.5</v>
      </c>
      <c r="C922" s="11">
        <v>43984.24</v>
      </c>
      <c r="D922" s="14">
        <f t="shared" si="28"/>
        <v>0</v>
      </c>
      <c r="E922" s="14">
        <f t="shared" si="29"/>
        <v>3.5073742012127151E-3</v>
      </c>
    </row>
    <row r="923" spans="1:5" x14ac:dyDescent="0.35">
      <c r="A923" s="9">
        <v>44616</v>
      </c>
      <c r="B923" s="10">
        <v>86.5</v>
      </c>
      <c r="C923" s="11">
        <v>43830.51</v>
      </c>
      <c r="D923" s="14">
        <f t="shared" si="28"/>
        <v>0</v>
      </c>
      <c r="E923" s="14">
        <f t="shared" si="29"/>
        <v>-2.885720666865774E-2</v>
      </c>
    </row>
    <row r="924" spans="1:5" x14ac:dyDescent="0.35">
      <c r="A924" s="9">
        <v>44615</v>
      </c>
      <c r="B924" s="10">
        <v>86.5</v>
      </c>
      <c r="C924" s="11">
        <v>45132.92</v>
      </c>
      <c r="D924" s="14">
        <f t="shared" si="28"/>
        <v>-1.1559357299740048E-4</v>
      </c>
      <c r="E924" s="14">
        <f t="shared" si="29"/>
        <v>2.6823850788830483E-3</v>
      </c>
    </row>
    <row r="925" spans="1:5" x14ac:dyDescent="0.35">
      <c r="A925" s="9">
        <v>44614</v>
      </c>
      <c r="B925" s="10">
        <v>86.51</v>
      </c>
      <c r="C925" s="11">
        <v>45012.18</v>
      </c>
      <c r="D925" s="14">
        <f t="shared" si="28"/>
        <v>1.1560693641624411E-4</v>
      </c>
      <c r="E925" s="14">
        <f t="shared" si="29"/>
        <v>-7.730334403592329E-3</v>
      </c>
    </row>
    <row r="926" spans="1:5" x14ac:dyDescent="0.35">
      <c r="A926" s="9">
        <v>44613</v>
      </c>
      <c r="B926" s="10">
        <v>86.5</v>
      </c>
      <c r="C926" s="11">
        <v>45362.85</v>
      </c>
      <c r="D926" s="14">
        <f t="shared" si="28"/>
        <v>-5.7471264367816091E-3</v>
      </c>
      <c r="E926" s="14">
        <f t="shared" si="29"/>
        <v>-6.853071435749424E-3</v>
      </c>
    </row>
    <row r="927" spans="1:5" x14ac:dyDescent="0.35">
      <c r="A927" s="9">
        <v>44610</v>
      </c>
      <c r="B927" s="10">
        <v>87</v>
      </c>
      <c r="C927" s="11">
        <v>45675.87</v>
      </c>
      <c r="D927" s="14">
        <f t="shared" si="28"/>
        <v>9.866511897852516E-3</v>
      </c>
      <c r="E927" s="14">
        <f t="shared" si="29"/>
        <v>5.1664682413058681E-3</v>
      </c>
    </row>
    <row r="928" spans="1:5" x14ac:dyDescent="0.35">
      <c r="A928" s="9">
        <v>44609</v>
      </c>
      <c r="B928" s="10">
        <v>86.15</v>
      </c>
      <c r="C928" s="11">
        <v>45441.1</v>
      </c>
      <c r="D928" s="14">
        <f t="shared" si="28"/>
        <v>-4.2777777777777713E-2</v>
      </c>
      <c r="E928" s="14">
        <f t="shared" si="29"/>
        <v>-6.3544543500459981E-3</v>
      </c>
    </row>
    <row r="929" spans="1:5" x14ac:dyDescent="0.35">
      <c r="A929" s="9">
        <v>44607</v>
      </c>
      <c r="B929" s="10">
        <v>90</v>
      </c>
      <c r="C929" s="11">
        <v>45731.7</v>
      </c>
      <c r="D929" s="14">
        <f t="shared" si="28"/>
        <v>3.4482758620689655E-2</v>
      </c>
      <c r="E929" s="14">
        <f t="shared" si="29"/>
        <v>1.9194160733624131E-3</v>
      </c>
    </row>
    <row r="930" spans="1:5" x14ac:dyDescent="0.35">
      <c r="A930" s="9">
        <v>44606</v>
      </c>
      <c r="B930" s="10">
        <v>87</v>
      </c>
      <c r="C930" s="11">
        <v>45644.09</v>
      </c>
      <c r="D930" s="14">
        <f t="shared" si="28"/>
        <v>-1.1481056257175008E-3</v>
      </c>
      <c r="E930" s="14">
        <f t="shared" si="29"/>
        <v>-9.446309704321176E-3</v>
      </c>
    </row>
    <row r="931" spans="1:5" x14ac:dyDescent="0.35">
      <c r="A931" s="9">
        <v>44603</v>
      </c>
      <c r="B931" s="10">
        <v>87.1</v>
      </c>
      <c r="C931" s="11">
        <v>46079.37</v>
      </c>
      <c r="D931" s="14">
        <f t="shared" si="28"/>
        <v>-7.4074074074074719E-3</v>
      </c>
      <c r="E931" s="14">
        <f t="shared" si="29"/>
        <v>3.032866318792969E-3</v>
      </c>
    </row>
    <row r="932" spans="1:5" x14ac:dyDescent="0.35">
      <c r="A932" s="9">
        <v>44602</v>
      </c>
      <c r="B932" s="10">
        <v>87.75</v>
      </c>
      <c r="C932" s="11">
        <v>45940.04</v>
      </c>
      <c r="D932" s="14">
        <f t="shared" si="28"/>
        <v>-1.4044943820224719E-2</v>
      </c>
      <c r="E932" s="14">
        <f t="shared" si="29"/>
        <v>-8.6258539103353394E-3</v>
      </c>
    </row>
    <row r="933" spans="1:5" x14ac:dyDescent="0.35">
      <c r="A933" s="9">
        <v>44601</v>
      </c>
      <c r="B933" s="10">
        <v>89</v>
      </c>
      <c r="C933" s="11">
        <v>46339.76</v>
      </c>
      <c r="D933" s="14">
        <f t="shared" si="28"/>
        <v>-1.1223344556677253E-3</v>
      </c>
      <c r="E933" s="14">
        <f t="shared" si="29"/>
        <v>8.5272574728579836E-3</v>
      </c>
    </row>
    <row r="934" spans="1:5" x14ac:dyDescent="0.35">
      <c r="A934" s="9">
        <v>44600</v>
      </c>
      <c r="B934" s="10">
        <v>89.1</v>
      </c>
      <c r="C934" s="11">
        <v>45947.95</v>
      </c>
      <c r="D934" s="14">
        <f t="shared" si="28"/>
        <v>-5.6085249579373379E-4</v>
      </c>
      <c r="E934" s="14">
        <f t="shared" si="29"/>
        <v>2.3275979603522394E-3</v>
      </c>
    </row>
    <row r="935" spans="1:5" x14ac:dyDescent="0.35">
      <c r="A935" s="9">
        <v>44599</v>
      </c>
      <c r="B935" s="10">
        <v>89.15</v>
      </c>
      <c r="C935" s="11">
        <v>45841.25</v>
      </c>
      <c r="D935" s="14">
        <f t="shared" si="28"/>
        <v>-1.4917127071823142E-2</v>
      </c>
      <c r="E935" s="14">
        <f t="shared" si="29"/>
        <v>-1.4898828459812142E-3</v>
      </c>
    </row>
    <row r="936" spans="1:5" x14ac:dyDescent="0.35">
      <c r="A936" s="9">
        <v>44596</v>
      </c>
      <c r="B936" s="10">
        <v>90.5</v>
      </c>
      <c r="C936" s="11">
        <v>45909.65</v>
      </c>
      <c r="D936" s="14">
        <f t="shared" si="28"/>
        <v>-5.4945054945054949E-3</v>
      </c>
      <c r="E936" s="14">
        <f t="shared" si="29"/>
        <v>1.0186876416312949E-3</v>
      </c>
    </row>
    <row r="937" spans="1:5" x14ac:dyDescent="0.35">
      <c r="A937" s="9">
        <v>44595</v>
      </c>
      <c r="B937" s="10">
        <v>91</v>
      </c>
      <c r="C937" s="11">
        <v>45862.93</v>
      </c>
      <c r="D937" s="14">
        <f t="shared" si="28"/>
        <v>-4.703051514820155E-3</v>
      </c>
      <c r="E937" s="14">
        <f t="shared" si="29"/>
        <v>-5.5556097629726733E-3</v>
      </c>
    </row>
    <row r="938" spans="1:5" x14ac:dyDescent="0.35">
      <c r="A938" s="9">
        <v>44594</v>
      </c>
      <c r="B938" s="10">
        <v>91.43</v>
      </c>
      <c r="C938" s="11">
        <v>46119.15</v>
      </c>
      <c r="D938" s="14">
        <f t="shared" si="28"/>
        <v>4.7252747252748001E-3</v>
      </c>
      <c r="E938" s="14">
        <f t="shared" si="29"/>
        <v>9.7351914087729797E-3</v>
      </c>
    </row>
    <row r="939" spans="1:5" x14ac:dyDescent="0.35">
      <c r="A939" s="9">
        <v>44593</v>
      </c>
      <c r="B939" s="10">
        <v>91</v>
      </c>
      <c r="C939" s="11">
        <v>45674.5</v>
      </c>
      <c r="D939" s="14">
        <f t="shared" si="28"/>
        <v>2.247191011235955E-2</v>
      </c>
      <c r="E939" s="14">
        <f t="shared" si="29"/>
        <v>6.607649905189408E-3</v>
      </c>
    </row>
    <row r="940" spans="1:5" x14ac:dyDescent="0.35">
      <c r="A940" s="9">
        <v>44592</v>
      </c>
      <c r="B940" s="10">
        <v>89</v>
      </c>
      <c r="C940" s="11">
        <v>45374.68</v>
      </c>
      <c r="D940" s="14">
        <f t="shared" si="28"/>
        <v>0</v>
      </c>
      <c r="E940" s="14">
        <f t="shared" si="29"/>
        <v>6.5834906720386279E-3</v>
      </c>
    </row>
    <row r="941" spans="1:5" x14ac:dyDescent="0.35">
      <c r="A941" s="9">
        <v>44589</v>
      </c>
      <c r="B941" s="10">
        <v>89</v>
      </c>
      <c r="C941" s="11">
        <v>45077.91</v>
      </c>
      <c r="D941" s="14">
        <f t="shared" si="28"/>
        <v>0</v>
      </c>
      <c r="E941" s="14">
        <f t="shared" si="29"/>
        <v>-1.1379001948398733E-4</v>
      </c>
    </row>
    <row r="942" spans="1:5" x14ac:dyDescent="0.35">
      <c r="A942" s="9">
        <v>44588</v>
      </c>
      <c r="B942" s="10">
        <v>89</v>
      </c>
      <c r="C942" s="11">
        <v>45083.040000000001</v>
      </c>
      <c r="D942" s="14">
        <f t="shared" si="28"/>
        <v>4.7058823529411764E-2</v>
      </c>
      <c r="E942" s="14">
        <f t="shared" si="29"/>
        <v>2.8470661249403117E-3</v>
      </c>
    </row>
    <row r="943" spans="1:5" x14ac:dyDescent="0.35">
      <c r="A943" s="9">
        <v>44587</v>
      </c>
      <c r="B943" s="10">
        <v>85</v>
      </c>
      <c r="C943" s="11">
        <v>44955.05</v>
      </c>
      <c r="D943" s="14">
        <f t="shared" si="28"/>
        <v>-1.6203703703703769E-2</v>
      </c>
      <c r="E943" s="14">
        <f t="shared" si="29"/>
        <v>1.4988492411185969E-3</v>
      </c>
    </row>
    <row r="944" spans="1:5" x14ac:dyDescent="0.35">
      <c r="A944" s="9">
        <v>44586</v>
      </c>
      <c r="B944" s="10">
        <v>86.4</v>
      </c>
      <c r="C944" s="11">
        <v>44887.77</v>
      </c>
      <c r="D944" s="14">
        <f t="shared" si="28"/>
        <v>-1.0309278350515367E-2</v>
      </c>
      <c r="E944" s="14">
        <f t="shared" si="29"/>
        <v>-8.0447138283392273E-4</v>
      </c>
    </row>
    <row r="945" spans="1:5" x14ac:dyDescent="0.35">
      <c r="A945" s="9">
        <v>44585</v>
      </c>
      <c r="B945" s="10">
        <v>87.3</v>
      </c>
      <c r="C945" s="11">
        <v>44923.91</v>
      </c>
      <c r="D945" s="14">
        <f t="shared" si="28"/>
        <v>-1.8549747048903942E-2</v>
      </c>
      <c r="E945" s="14">
        <f t="shared" si="29"/>
        <v>-2.0962595638926084E-3</v>
      </c>
    </row>
    <row r="946" spans="1:5" x14ac:dyDescent="0.35">
      <c r="A946" s="9">
        <v>44582</v>
      </c>
      <c r="B946" s="10">
        <v>88.95</v>
      </c>
      <c r="C946" s="11">
        <v>45018.28</v>
      </c>
      <c r="D946" s="14">
        <f t="shared" si="28"/>
        <v>4.6470588235294152E-2</v>
      </c>
      <c r="E946" s="14">
        <f t="shared" si="29"/>
        <v>4.2901469839915938E-3</v>
      </c>
    </row>
    <row r="947" spans="1:5" x14ac:dyDescent="0.35">
      <c r="A947" s="9">
        <v>44581</v>
      </c>
      <c r="B947" s="10">
        <v>85</v>
      </c>
      <c r="C947" s="11">
        <v>44825.97</v>
      </c>
      <c r="D947" s="14">
        <f t="shared" si="28"/>
        <v>3.5419126328216899E-3</v>
      </c>
      <c r="E947" s="14">
        <f t="shared" si="29"/>
        <v>-1.6639369327751919E-4</v>
      </c>
    </row>
    <row r="948" spans="1:5" x14ac:dyDescent="0.35">
      <c r="A948" s="9">
        <v>44580</v>
      </c>
      <c r="B948" s="10">
        <v>84.7</v>
      </c>
      <c r="C948" s="11">
        <v>44833.43</v>
      </c>
      <c r="D948" s="14">
        <f t="shared" si="28"/>
        <v>-1.0860679668340449E-2</v>
      </c>
      <c r="E948" s="14">
        <f t="shared" si="29"/>
        <v>-1.4810335283858236E-2</v>
      </c>
    </row>
    <row r="949" spans="1:5" x14ac:dyDescent="0.35">
      <c r="A949" s="9">
        <v>44579</v>
      </c>
      <c r="B949" s="10">
        <v>85.63</v>
      </c>
      <c r="C949" s="11">
        <v>45507.41</v>
      </c>
      <c r="D949" s="14">
        <f t="shared" si="28"/>
        <v>-2.4715261958997741E-2</v>
      </c>
      <c r="E949" s="14">
        <f t="shared" si="29"/>
        <v>-2.2974116574073079E-3</v>
      </c>
    </row>
    <row r="950" spans="1:5" x14ac:dyDescent="0.35">
      <c r="A950" s="9">
        <v>44578</v>
      </c>
      <c r="B950" s="10">
        <v>87.8</v>
      </c>
      <c r="C950" s="11">
        <v>45612.2</v>
      </c>
      <c r="D950" s="14">
        <f t="shared" si="28"/>
        <v>-5.0991501416430916E-3</v>
      </c>
      <c r="E950" s="14">
        <f t="shared" si="29"/>
        <v>-3.3050392835330378E-3</v>
      </c>
    </row>
    <row r="951" spans="1:5" x14ac:dyDescent="0.35">
      <c r="A951" s="9">
        <v>44575</v>
      </c>
      <c r="B951" s="10">
        <v>88.25</v>
      </c>
      <c r="C951" s="11">
        <v>45763.45</v>
      </c>
      <c r="D951" s="14">
        <f t="shared" si="28"/>
        <v>5.6980056980056983E-3</v>
      </c>
      <c r="E951" s="14">
        <f t="shared" si="29"/>
        <v>5.4629046919795826E-6</v>
      </c>
    </row>
    <row r="952" spans="1:5" x14ac:dyDescent="0.35">
      <c r="A952" s="9">
        <v>44574</v>
      </c>
      <c r="B952" s="10">
        <v>87.75</v>
      </c>
      <c r="C952" s="11">
        <v>45763.199999999997</v>
      </c>
      <c r="D952" s="14">
        <f t="shared" si="28"/>
        <v>-3.9727582292848392E-3</v>
      </c>
      <c r="E952" s="14">
        <f t="shared" si="29"/>
        <v>-3.3332425884083066E-3</v>
      </c>
    </row>
    <row r="953" spans="1:5" x14ac:dyDescent="0.35">
      <c r="A953" s="9">
        <v>44573</v>
      </c>
      <c r="B953" s="10">
        <v>88.1</v>
      </c>
      <c r="C953" s="11">
        <v>45916.25</v>
      </c>
      <c r="D953" s="14">
        <f t="shared" si="28"/>
        <v>1.2643678160919474E-2</v>
      </c>
      <c r="E953" s="14">
        <f t="shared" si="29"/>
        <v>7.6545629979040666E-4</v>
      </c>
    </row>
    <row r="954" spans="1:5" x14ac:dyDescent="0.35">
      <c r="A954" s="9">
        <v>44572</v>
      </c>
      <c r="B954" s="10">
        <v>87</v>
      </c>
      <c r="C954" s="11">
        <v>45881.13</v>
      </c>
      <c r="D954" s="14">
        <f t="shared" si="28"/>
        <v>0</v>
      </c>
      <c r="E954" s="14">
        <f t="shared" si="29"/>
        <v>-1.4165037505750461E-4</v>
      </c>
    </row>
    <row r="955" spans="1:5" x14ac:dyDescent="0.35">
      <c r="A955" s="9">
        <v>44571</v>
      </c>
      <c r="B955" s="10">
        <v>87</v>
      </c>
      <c r="C955" s="11">
        <v>45887.63</v>
      </c>
      <c r="D955" s="14">
        <f t="shared" si="28"/>
        <v>1.1627906976744186E-2</v>
      </c>
      <c r="E955" s="14">
        <f t="shared" si="29"/>
        <v>1.1952193870856321E-2</v>
      </c>
    </row>
    <row r="956" spans="1:5" x14ac:dyDescent="0.35">
      <c r="A956" s="9">
        <v>44568</v>
      </c>
      <c r="B956" s="10">
        <v>86</v>
      </c>
      <c r="C956" s="11">
        <v>45345.65</v>
      </c>
      <c r="D956" s="14">
        <f t="shared" si="28"/>
        <v>1.4150943396226448E-2</v>
      </c>
      <c r="E956" s="14">
        <f t="shared" si="29"/>
        <v>5.8415386970052221E-3</v>
      </c>
    </row>
    <row r="957" spans="1:5" x14ac:dyDescent="0.35">
      <c r="A957" s="9">
        <v>44567</v>
      </c>
      <c r="B957" s="10">
        <v>84.8</v>
      </c>
      <c r="C957" s="11">
        <v>45082.3</v>
      </c>
      <c r="D957" s="14">
        <f t="shared" si="28"/>
        <v>4.7393364928908941E-3</v>
      </c>
      <c r="E957" s="14">
        <f t="shared" si="29"/>
        <v>-7.1703397801570722E-3</v>
      </c>
    </row>
    <row r="958" spans="1:5" x14ac:dyDescent="0.35">
      <c r="A958" s="9">
        <v>44566</v>
      </c>
      <c r="B958" s="10">
        <v>84.4</v>
      </c>
      <c r="C958" s="11">
        <v>45407.89</v>
      </c>
      <c r="D958" s="14">
        <f t="shared" si="28"/>
        <v>-1.1834319526626547E-3</v>
      </c>
      <c r="E958" s="14">
        <f t="shared" si="29"/>
        <v>3.7562644797943621E-4</v>
      </c>
    </row>
    <row r="959" spans="1:5" x14ac:dyDescent="0.35">
      <c r="A959" s="9">
        <v>44565</v>
      </c>
      <c r="B959" s="10">
        <v>84.5</v>
      </c>
      <c r="C959" s="11">
        <v>45390.84</v>
      </c>
      <c r="D959" s="14">
        <f t="shared" si="28"/>
        <v>2.7355623100303952E-2</v>
      </c>
      <c r="E959" s="14">
        <f t="shared" si="29"/>
        <v>1.1227108850713362E-2</v>
      </c>
    </row>
    <row r="960" spans="1:5" x14ac:dyDescent="0.35">
      <c r="A960" s="9">
        <v>44564</v>
      </c>
      <c r="B960" s="10">
        <v>82.25</v>
      </c>
      <c r="C960" s="11">
        <v>44886.89</v>
      </c>
      <c r="D960" s="14">
        <f t="shared" si="28"/>
        <v>0</v>
      </c>
      <c r="E960" s="14">
        <f t="shared" si="29"/>
        <v>6.5212024288238786E-3</v>
      </c>
    </row>
    <row r="961" spans="1:5" x14ac:dyDescent="0.35">
      <c r="A961" s="9">
        <v>44561</v>
      </c>
      <c r="B961" s="10">
        <v>82.25</v>
      </c>
      <c r="C961" s="11">
        <v>44596.07</v>
      </c>
      <c r="D961" s="14">
        <f t="shared" si="28"/>
        <v>6.0827250608269049E-4</v>
      </c>
      <c r="E961" s="14">
        <f t="shared" si="29"/>
        <v>4.0496485516546355E-3</v>
      </c>
    </row>
    <row r="962" spans="1:5" x14ac:dyDescent="0.35">
      <c r="A962" s="9">
        <v>44560</v>
      </c>
      <c r="B962" s="10">
        <v>82.2</v>
      </c>
      <c r="C962" s="11">
        <v>44416.2</v>
      </c>
      <c r="D962" s="14">
        <f t="shared" si="28"/>
        <v>2.4299065420560782E-2</v>
      </c>
      <c r="E962" s="14">
        <f t="shared" si="29"/>
        <v>3.5266518768253515E-3</v>
      </c>
    </row>
    <row r="963" spans="1:5" x14ac:dyDescent="0.35">
      <c r="A963" s="9">
        <v>44559</v>
      </c>
      <c r="B963" s="10">
        <v>80.25</v>
      </c>
      <c r="C963" s="11">
        <v>44260.11</v>
      </c>
      <c r="D963" s="14">
        <f t="shared" si="28"/>
        <v>-1.368840219014428E-3</v>
      </c>
      <c r="E963" s="14">
        <f t="shared" si="29"/>
        <v>4.9126164126843596E-3</v>
      </c>
    </row>
    <row r="964" spans="1:5" x14ac:dyDescent="0.35">
      <c r="A964" s="9">
        <v>44558</v>
      </c>
      <c r="B964" s="10">
        <v>80.36</v>
      </c>
      <c r="C964" s="11">
        <v>44043.74</v>
      </c>
      <c r="D964" s="14">
        <f t="shared" si="28"/>
        <v>2.8278950735764474E-2</v>
      </c>
      <c r="E964" s="14">
        <f t="shared" si="29"/>
        <v>2.9672009298291283E-3</v>
      </c>
    </row>
    <row r="965" spans="1:5" x14ac:dyDescent="0.35">
      <c r="A965" s="9">
        <v>44557</v>
      </c>
      <c r="B965" s="10">
        <v>78.150000000000006</v>
      </c>
      <c r="C965" s="11">
        <v>43913.440000000002</v>
      </c>
      <c r="D965" s="14">
        <f t="shared" ref="D965:D1028" si="30">(B965-B966)/B966</f>
        <v>-6.3938618925827564E-4</v>
      </c>
      <c r="E965" s="14">
        <f t="shared" ref="E965:E1028" si="31">(C965-C966)/C966</f>
        <v>-4.6454551038693183E-3</v>
      </c>
    </row>
    <row r="966" spans="1:5" x14ac:dyDescent="0.35">
      <c r="A966" s="9">
        <v>44554</v>
      </c>
      <c r="B966" s="10">
        <v>78.2</v>
      </c>
      <c r="C966" s="11">
        <v>44118.39</v>
      </c>
      <c r="D966" s="14">
        <f t="shared" si="30"/>
        <v>2.6926529042185917E-3</v>
      </c>
      <c r="E966" s="14">
        <f t="shared" si="31"/>
        <v>-3.3548768944742465E-3</v>
      </c>
    </row>
    <row r="967" spans="1:5" x14ac:dyDescent="0.35">
      <c r="A967" s="9">
        <v>44553</v>
      </c>
      <c r="B967" s="10">
        <v>77.989999999999995</v>
      </c>
      <c r="C967" s="11">
        <v>44266.9</v>
      </c>
      <c r="D967" s="14">
        <f t="shared" si="30"/>
        <v>6.3225806451612243E-3</v>
      </c>
      <c r="E967" s="14">
        <f t="shared" si="31"/>
        <v>2.081042726231626E-3</v>
      </c>
    </row>
    <row r="968" spans="1:5" x14ac:dyDescent="0.35">
      <c r="A968" s="9">
        <v>44552</v>
      </c>
      <c r="B968" s="10">
        <v>77.5</v>
      </c>
      <c r="C968" s="11">
        <v>44174.97</v>
      </c>
      <c r="D968" s="14">
        <f t="shared" si="30"/>
        <v>1.3071895424836602E-2</v>
      </c>
      <c r="E968" s="14">
        <f t="shared" si="31"/>
        <v>-4.7535972847419367E-5</v>
      </c>
    </row>
    <row r="969" spans="1:5" x14ac:dyDescent="0.35">
      <c r="A969" s="9">
        <v>44551</v>
      </c>
      <c r="B969" s="10">
        <v>76.5</v>
      </c>
      <c r="C969" s="11">
        <v>44177.07</v>
      </c>
      <c r="D969" s="14">
        <f t="shared" si="30"/>
        <v>-6.4935064935064939E-3</v>
      </c>
      <c r="E969" s="14">
        <f t="shared" si="31"/>
        <v>-3.6734367088821118E-3</v>
      </c>
    </row>
    <row r="970" spans="1:5" x14ac:dyDescent="0.35">
      <c r="A970" s="9">
        <v>44550</v>
      </c>
      <c r="B970" s="10">
        <v>77</v>
      </c>
      <c r="C970" s="11">
        <v>44339.95</v>
      </c>
      <c r="D970" s="14">
        <f t="shared" si="30"/>
        <v>6.5359477124183009E-3</v>
      </c>
      <c r="E970" s="14">
        <f t="shared" si="31"/>
        <v>1.0005995351324782E-2</v>
      </c>
    </row>
    <row r="971" spans="1:5" x14ac:dyDescent="0.35">
      <c r="A971" s="9">
        <v>44547</v>
      </c>
      <c r="B971" s="10">
        <v>76.5</v>
      </c>
      <c r="C971" s="11">
        <v>43900.68</v>
      </c>
      <c r="D971" s="14">
        <f t="shared" si="30"/>
        <v>3.3783783783783786E-2</v>
      </c>
      <c r="E971" s="14">
        <f t="shared" si="31"/>
        <v>3.8754939265330749E-3</v>
      </c>
    </row>
    <row r="972" spans="1:5" x14ac:dyDescent="0.35">
      <c r="A972" s="9">
        <v>44546</v>
      </c>
      <c r="B972" s="10">
        <v>74</v>
      </c>
      <c r="C972" s="11">
        <v>43731.199999999997</v>
      </c>
      <c r="D972" s="14">
        <f t="shared" si="30"/>
        <v>1.3515339910805671E-4</v>
      </c>
      <c r="E972" s="14">
        <f t="shared" si="31"/>
        <v>-1.4327360556956329E-2</v>
      </c>
    </row>
    <row r="973" spans="1:5" x14ac:dyDescent="0.35">
      <c r="A973" s="9">
        <v>44545</v>
      </c>
      <c r="B973" s="10">
        <v>73.989999999999995</v>
      </c>
      <c r="C973" s="11">
        <v>44366.86</v>
      </c>
      <c r="D973" s="14">
        <f t="shared" si="30"/>
        <v>-1.3513513513520428E-4</v>
      </c>
      <c r="E973" s="14">
        <f t="shared" si="31"/>
        <v>2.5901392267758668E-2</v>
      </c>
    </row>
    <row r="974" spans="1:5" x14ac:dyDescent="0.35">
      <c r="A974" s="9">
        <v>44544</v>
      </c>
      <c r="B974" s="10">
        <v>74</v>
      </c>
      <c r="C974" s="11">
        <v>43246.71</v>
      </c>
      <c r="D974" s="14">
        <f t="shared" si="30"/>
        <v>-3.8836212495129176E-2</v>
      </c>
      <c r="E974" s="14">
        <f t="shared" si="31"/>
        <v>-3.4351266413462258E-3</v>
      </c>
    </row>
    <row r="975" spans="1:5" x14ac:dyDescent="0.35">
      <c r="A975" s="9">
        <v>44540</v>
      </c>
      <c r="B975" s="10">
        <v>76.989999999999995</v>
      </c>
      <c r="C975" s="11">
        <v>43395.78</v>
      </c>
      <c r="D975" s="14">
        <f t="shared" si="30"/>
        <v>3.3885051479211636E-3</v>
      </c>
      <c r="E975" s="14">
        <f t="shared" si="31"/>
        <v>-2.8277408129444093E-3</v>
      </c>
    </row>
    <row r="976" spans="1:5" x14ac:dyDescent="0.35">
      <c r="A976" s="9">
        <v>44539</v>
      </c>
      <c r="B976" s="10">
        <v>76.73</v>
      </c>
      <c r="C976" s="11">
        <v>43518.84</v>
      </c>
      <c r="D976" s="14">
        <f t="shared" si="30"/>
        <v>-9.9354838709676905E-3</v>
      </c>
      <c r="E976" s="14">
        <f t="shared" si="31"/>
        <v>-7.4812637709374945E-3</v>
      </c>
    </row>
    <row r="977" spans="1:5" x14ac:dyDescent="0.35">
      <c r="A977" s="9">
        <v>44538</v>
      </c>
      <c r="B977" s="10">
        <v>77.5</v>
      </c>
      <c r="C977" s="11">
        <v>43846.87</v>
      </c>
      <c r="D977" s="14">
        <f t="shared" si="30"/>
        <v>6.6242369138849871E-3</v>
      </c>
      <c r="E977" s="14">
        <f t="shared" si="31"/>
        <v>-1.5095719861738129E-4</v>
      </c>
    </row>
    <row r="978" spans="1:5" x14ac:dyDescent="0.35">
      <c r="A978" s="9">
        <v>44537</v>
      </c>
      <c r="B978" s="10">
        <v>76.989999999999995</v>
      </c>
      <c r="C978" s="11">
        <v>43853.49</v>
      </c>
      <c r="D978" s="14">
        <f t="shared" si="30"/>
        <v>0</v>
      </c>
      <c r="E978" s="14">
        <f t="shared" si="31"/>
        <v>1.3232666609212388E-2</v>
      </c>
    </row>
    <row r="979" spans="1:5" x14ac:dyDescent="0.35">
      <c r="A979" s="9">
        <v>44536</v>
      </c>
      <c r="B979" s="10">
        <v>76.989999999999995</v>
      </c>
      <c r="C979" s="11">
        <v>43280.77</v>
      </c>
      <c r="D979" s="14">
        <f t="shared" si="30"/>
        <v>-3.7625000000000061E-2</v>
      </c>
      <c r="E979" s="14">
        <f t="shared" si="31"/>
        <v>1.1088795251200316E-3</v>
      </c>
    </row>
    <row r="980" spans="1:5" x14ac:dyDescent="0.35">
      <c r="A980" s="9">
        <v>44533</v>
      </c>
      <c r="B980" s="10">
        <v>80</v>
      </c>
      <c r="C980" s="11">
        <v>43232.83</v>
      </c>
      <c r="D980" s="14">
        <f t="shared" si="30"/>
        <v>3.9771250324928543E-2</v>
      </c>
      <c r="E980" s="14">
        <f t="shared" si="31"/>
        <v>-3.0531420185194089E-5</v>
      </c>
    </row>
    <row r="981" spans="1:5" x14ac:dyDescent="0.35">
      <c r="A981" s="9">
        <v>44532</v>
      </c>
      <c r="B981" s="10">
        <v>76.94</v>
      </c>
      <c r="C981" s="11">
        <v>43234.15</v>
      </c>
      <c r="D981" s="14">
        <f t="shared" si="30"/>
        <v>-7.2258064516129324E-3</v>
      </c>
      <c r="E981" s="14">
        <f t="shared" si="31"/>
        <v>-4.7058198590495613E-2</v>
      </c>
    </row>
    <row r="982" spans="1:5" x14ac:dyDescent="0.35">
      <c r="A982" s="9">
        <v>44531</v>
      </c>
      <c r="B982" s="10">
        <v>77.5</v>
      </c>
      <c r="C982" s="11">
        <v>45369.14</v>
      </c>
      <c r="D982" s="14">
        <f t="shared" si="30"/>
        <v>6.2321474941574133E-3</v>
      </c>
      <c r="E982" s="14">
        <f t="shared" si="31"/>
        <v>6.5840765453255862E-3</v>
      </c>
    </row>
    <row r="983" spans="1:5" x14ac:dyDescent="0.35">
      <c r="A983" s="9">
        <v>44530</v>
      </c>
      <c r="B983" s="10">
        <v>77.02</v>
      </c>
      <c r="C983" s="11">
        <v>45072.38</v>
      </c>
      <c r="D983" s="14">
        <f t="shared" si="30"/>
        <v>-1.2564102564102616E-2</v>
      </c>
      <c r="E983" s="14">
        <f t="shared" si="31"/>
        <v>-5.6843087532443826E-3</v>
      </c>
    </row>
    <row r="984" spans="1:5" x14ac:dyDescent="0.35">
      <c r="A984" s="9">
        <v>44529</v>
      </c>
      <c r="B984" s="10">
        <v>78</v>
      </c>
      <c r="C984" s="11">
        <v>45330.05</v>
      </c>
      <c r="D984" s="14">
        <f t="shared" si="30"/>
        <v>-6.369426751592357E-3</v>
      </c>
      <c r="E984" s="14">
        <f t="shared" si="31"/>
        <v>2.7562351861624462E-2</v>
      </c>
    </row>
    <row r="985" spans="1:5" x14ac:dyDescent="0.35">
      <c r="A985" s="9">
        <v>44526</v>
      </c>
      <c r="B985" s="10">
        <v>78.5</v>
      </c>
      <c r="C985" s="11">
        <v>44114.16</v>
      </c>
      <c r="D985" s="14">
        <f t="shared" si="30"/>
        <v>3.0183727034120696E-2</v>
      </c>
      <c r="E985" s="14">
        <f t="shared" si="31"/>
        <v>4.060702275481891E-3</v>
      </c>
    </row>
    <row r="986" spans="1:5" x14ac:dyDescent="0.35">
      <c r="A986" s="9">
        <v>44525</v>
      </c>
      <c r="B986" s="10">
        <v>76.2</v>
      </c>
      <c r="C986" s="11">
        <v>43935.75</v>
      </c>
      <c r="D986" s="14">
        <f t="shared" si="30"/>
        <v>-2.6198083067092617E-2</v>
      </c>
      <c r="E986" s="14">
        <f t="shared" si="31"/>
        <v>-9.6464000973768439E-3</v>
      </c>
    </row>
    <row r="987" spans="1:5" x14ac:dyDescent="0.35">
      <c r="A987" s="9">
        <v>44524</v>
      </c>
      <c r="B987" s="10">
        <v>78.25</v>
      </c>
      <c r="C987" s="11">
        <v>44363.7</v>
      </c>
      <c r="D987" s="14">
        <f t="shared" si="30"/>
        <v>3.205128205128205E-3</v>
      </c>
      <c r="E987" s="14">
        <f t="shared" si="31"/>
        <v>-1.3010884451812869E-2</v>
      </c>
    </row>
    <row r="988" spans="1:5" x14ac:dyDescent="0.35">
      <c r="A988" s="9">
        <v>44523</v>
      </c>
      <c r="B988" s="10">
        <v>78</v>
      </c>
      <c r="C988" s="11">
        <v>44948.52</v>
      </c>
      <c r="D988" s="14">
        <f t="shared" si="30"/>
        <v>-1.2818869375727618E-4</v>
      </c>
      <c r="E988" s="14">
        <f t="shared" si="31"/>
        <v>-1.7411301781615547E-2</v>
      </c>
    </row>
    <row r="989" spans="1:5" x14ac:dyDescent="0.35">
      <c r="A989" s="9">
        <v>44522</v>
      </c>
      <c r="B989" s="10">
        <v>78.010000000000005</v>
      </c>
      <c r="C989" s="11">
        <v>45745</v>
      </c>
      <c r="D989" s="14">
        <f t="shared" si="30"/>
        <v>-1.228159027601923E-2</v>
      </c>
      <c r="E989" s="14">
        <f t="shared" si="31"/>
        <v>-1.601246391382475E-2</v>
      </c>
    </row>
    <row r="990" spans="1:5" x14ac:dyDescent="0.35">
      <c r="A990" s="9">
        <v>44519</v>
      </c>
      <c r="B990" s="10">
        <v>78.98</v>
      </c>
      <c r="C990" s="11">
        <v>46489.41</v>
      </c>
      <c r="D990" s="14">
        <f t="shared" si="30"/>
        <v>-2.5316455696197497E-4</v>
      </c>
      <c r="E990" s="14">
        <f t="shared" si="31"/>
        <v>8.2174342069594453E-3</v>
      </c>
    </row>
    <row r="991" spans="1:5" x14ac:dyDescent="0.35">
      <c r="A991" s="9">
        <v>44518</v>
      </c>
      <c r="B991" s="10">
        <v>79</v>
      </c>
      <c r="C991" s="11">
        <v>46110.5</v>
      </c>
      <c r="D991" s="14">
        <f t="shared" si="30"/>
        <v>0</v>
      </c>
      <c r="E991" s="14">
        <f t="shared" si="31"/>
        <v>-1.8166696323927924E-3</v>
      </c>
    </row>
    <row r="992" spans="1:5" x14ac:dyDescent="0.35">
      <c r="A992" s="9">
        <v>44517</v>
      </c>
      <c r="B992" s="10">
        <v>79</v>
      </c>
      <c r="C992" s="11">
        <v>46194.42</v>
      </c>
      <c r="D992" s="14">
        <f t="shared" si="30"/>
        <v>6.369426751592357E-3</v>
      </c>
      <c r="E992" s="14">
        <f t="shared" si="31"/>
        <v>-7.4874991701207594E-3</v>
      </c>
    </row>
    <row r="993" spans="1:5" x14ac:dyDescent="0.35">
      <c r="A993" s="9">
        <v>44516</v>
      </c>
      <c r="B993" s="10">
        <v>78.5</v>
      </c>
      <c r="C993" s="11">
        <v>46542.91</v>
      </c>
      <c r="D993" s="14">
        <f t="shared" si="30"/>
        <v>6.539299910244969E-3</v>
      </c>
      <c r="E993" s="14">
        <f t="shared" si="31"/>
        <v>1.7636990868951711E-2</v>
      </c>
    </row>
    <row r="994" spans="1:5" x14ac:dyDescent="0.35">
      <c r="A994" s="9">
        <v>44515</v>
      </c>
      <c r="B994" s="10">
        <v>77.989999999999995</v>
      </c>
      <c r="C994" s="11">
        <v>45736.26</v>
      </c>
      <c r="D994" s="14">
        <f t="shared" si="30"/>
        <v>-2.5003125390673835E-2</v>
      </c>
      <c r="E994" s="14">
        <f t="shared" si="31"/>
        <v>-2.8175386865109884E-4</v>
      </c>
    </row>
    <row r="995" spans="1:5" x14ac:dyDescent="0.35">
      <c r="A995" s="9">
        <v>44512</v>
      </c>
      <c r="B995" s="10">
        <v>79.989999999999995</v>
      </c>
      <c r="C995" s="11">
        <v>45749.15</v>
      </c>
      <c r="D995" s="14">
        <f t="shared" si="30"/>
        <v>3.4130575307045906E-2</v>
      </c>
      <c r="E995" s="14">
        <f t="shared" si="31"/>
        <v>-1.2924563596671948E-2</v>
      </c>
    </row>
    <row r="996" spans="1:5" x14ac:dyDescent="0.35">
      <c r="A996" s="9">
        <v>44511</v>
      </c>
      <c r="B996" s="10">
        <v>77.349999999999994</v>
      </c>
      <c r="C996" s="11">
        <v>46348.18</v>
      </c>
      <c r="D996" s="14">
        <f t="shared" si="30"/>
        <v>7.1614583333332966E-3</v>
      </c>
      <c r="E996" s="14">
        <f t="shared" si="31"/>
        <v>-1.1148728521241356E-3</v>
      </c>
    </row>
    <row r="997" spans="1:5" x14ac:dyDescent="0.35">
      <c r="A997" s="9">
        <v>44509</v>
      </c>
      <c r="B997" s="10">
        <v>76.8</v>
      </c>
      <c r="C997" s="11">
        <v>46399.91</v>
      </c>
      <c r="D997" s="14">
        <f t="shared" si="30"/>
        <v>-6.7252974650801357E-3</v>
      </c>
      <c r="E997" s="14">
        <f t="shared" si="31"/>
        <v>-1.5178380406766022E-2</v>
      </c>
    </row>
    <row r="998" spans="1:5" x14ac:dyDescent="0.35">
      <c r="A998" s="9">
        <v>44508</v>
      </c>
      <c r="B998" s="10">
        <v>77.319999999999993</v>
      </c>
      <c r="C998" s="11">
        <v>47115.040000000001</v>
      </c>
      <c r="D998" s="14">
        <f t="shared" si="30"/>
        <v>-2.0894010383690081E-2</v>
      </c>
      <c r="E998" s="14">
        <f t="shared" si="31"/>
        <v>-3.8219038476989928E-3</v>
      </c>
    </row>
    <row r="999" spans="1:5" x14ac:dyDescent="0.35">
      <c r="A999" s="9">
        <v>44505</v>
      </c>
      <c r="B999" s="10">
        <v>78.97</v>
      </c>
      <c r="C999" s="11">
        <v>47295.8</v>
      </c>
      <c r="D999" s="14">
        <f t="shared" si="30"/>
        <v>2.3590408295528102E-2</v>
      </c>
      <c r="E999" s="14">
        <f t="shared" si="31"/>
        <v>1.6226457130344622E-3</v>
      </c>
    </row>
    <row r="1000" spans="1:5" x14ac:dyDescent="0.35">
      <c r="A1000" s="9">
        <v>44504</v>
      </c>
      <c r="B1000" s="10">
        <v>77.150000000000006</v>
      </c>
      <c r="C1000" s="11">
        <v>47219.18</v>
      </c>
      <c r="D1000" s="14">
        <f t="shared" si="30"/>
        <v>-1.7697988286223588E-2</v>
      </c>
      <c r="E1000" s="14">
        <f t="shared" si="31"/>
        <v>3.9704510333718164E-3</v>
      </c>
    </row>
    <row r="1001" spans="1:5" x14ac:dyDescent="0.35">
      <c r="A1001" s="9">
        <v>44503</v>
      </c>
      <c r="B1001" s="10">
        <v>78.540000000000006</v>
      </c>
      <c r="C1001" s="11">
        <v>47032.44</v>
      </c>
      <c r="D1001" s="14">
        <f t="shared" si="30"/>
        <v>-5.8227848101265033E-3</v>
      </c>
      <c r="E1001" s="14">
        <f t="shared" si="31"/>
        <v>-1.7082362969647377E-3</v>
      </c>
    </row>
    <row r="1002" spans="1:5" x14ac:dyDescent="0.35">
      <c r="A1002" s="9">
        <v>44502</v>
      </c>
      <c r="B1002" s="10">
        <v>79</v>
      </c>
      <c r="C1002" s="11">
        <v>47112.92</v>
      </c>
      <c r="D1002" s="14">
        <f t="shared" si="30"/>
        <v>-1.2376547068383485E-2</v>
      </c>
      <c r="E1002" s="14">
        <f t="shared" si="31"/>
        <v>3.5510853804811746E-3</v>
      </c>
    </row>
    <row r="1003" spans="1:5" x14ac:dyDescent="0.35">
      <c r="A1003" s="9">
        <v>44501</v>
      </c>
      <c r="B1003" s="10">
        <v>79.989999999999995</v>
      </c>
      <c r="C1003" s="11">
        <v>46946.21</v>
      </c>
      <c r="D1003" s="14">
        <f t="shared" si="30"/>
        <v>1.2531645569620189E-2</v>
      </c>
      <c r="E1003" s="14">
        <f t="shared" si="31"/>
        <v>1.5735543856164536E-2</v>
      </c>
    </row>
    <row r="1004" spans="1:5" x14ac:dyDescent="0.35">
      <c r="A1004" s="9">
        <v>44498</v>
      </c>
      <c r="B1004" s="10">
        <v>79</v>
      </c>
      <c r="C1004" s="11">
        <v>46218.93</v>
      </c>
      <c r="D1004" s="14">
        <f t="shared" si="30"/>
        <v>0</v>
      </c>
      <c r="E1004" s="14">
        <f t="shared" si="31"/>
        <v>4.9618694897862478E-3</v>
      </c>
    </row>
    <row r="1005" spans="1:5" x14ac:dyDescent="0.35">
      <c r="A1005" s="9">
        <v>44497</v>
      </c>
      <c r="B1005" s="10">
        <v>79</v>
      </c>
      <c r="C1005" s="11">
        <v>45990.73</v>
      </c>
      <c r="D1005" s="14">
        <f t="shared" si="30"/>
        <v>0</v>
      </c>
      <c r="E1005" s="14">
        <f t="shared" si="31"/>
        <v>3.0466048316461812E-3</v>
      </c>
    </row>
    <row r="1006" spans="1:5" x14ac:dyDescent="0.35">
      <c r="A1006" s="9">
        <v>44496</v>
      </c>
      <c r="B1006" s="10">
        <v>79</v>
      </c>
      <c r="C1006" s="11">
        <v>45851.040000000001</v>
      </c>
      <c r="D1006" s="14">
        <f t="shared" si="30"/>
        <v>6.369426751592357E-3</v>
      </c>
      <c r="E1006" s="14">
        <f t="shared" si="31"/>
        <v>1.3148759567243878E-2</v>
      </c>
    </row>
    <row r="1007" spans="1:5" x14ac:dyDescent="0.35">
      <c r="A1007" s="9">
        <v>44495</v>
      </c>
      <c r="B1007" s="10">
        <v>78.5</v>
      </c>
      <c r="C1007" s="11">
        <v>45255.98</v>
      </c>
      <c r="D1007" s="14">
        <f t="shared" si="30"/>
        <v>6.41025641025641E-3</v>
      </c>
      <c r="E1007" s="14">
        <f t="shared" si="31"/>
        <v>-3.8134046765495415E-3</v>
      </c>
    </row>
    <row r="1008" spans="1:5" x14ac:dyDescent="0.35">
      <c r="A1008" s="9">
        <v>44494</v>
      </c>
      <c r="B1008" s="10">
        <v>78</v>
      </c>
      <c r="C1008" s="11">
        <v>45429.22</v>
      </c>
      <c r="D1008" s="14">
        <f t="shared" si="30"/>
        <v>-7.0019096117122492E-3</v>
      </c>
      <c r="E1008" s="14">
        <f t="shared" si="31"/>
        <v>-3.2721668791944121E-3</v>
      </c>
    </row>
    <row r="1009" spans="1:5" x14ac:dyDescent="0.35">
      <c r="A1009" s="9">
        <v>44491</v>
      </c>
      <c r="B1009" s="10">
        <v>78.55</v>
      </c>
      <c r="C1009" s="11">
        <v>45578.36</v>
      </c>
      <c r="D1009" s="14">
        <f t="shared" si="30"/>
        <v>-1.194968553459123E-2</v>
      </c>
      <c r="E1009" s="14">
        <f t="shared" si="31"/>
        <v>-5.3040718965374446E-3</v>
      </c>
    </row>
    <row r="1010" spans="1:5" x14ac:dyDescent="0.35">
      <c r="A1010" s="9">
        <v>44490</v>
      </c>
      <c r="B1010" s="10">
        <v>79.5</v>
      </c>
      <c r="C1010" s="11">
        <v>45821.4</v>
      </c>
      <c r="D1010" s="14">
        <f t="shared" si="30"/>
        <v>6.3291139240506328E-3</v>
      </c>
      <c r="E1010" s="14">
        <f t="shared" si="31"/>
        <v>7.0756883708070891E-3</v>
      </c>
    </row>
    <row r="1011" spans="1:5" x14ac:dyDescent="0.35">
      <c r="A1011" s="9">
        <v>44489</v>
      </c>
      <c r="B1011" s="10">
        <v>79</v>
      </c>
      <c r="C1011" s="11">
        <v>45499.46</v>
      </c>
      <c r="D1011" s="14">
        <f t="shared" si="30"/>
        <v>1.607717041800643E-2</v>
      </c>
      <c r="E1011" s="14">
        <f t="shared" si="31"/>
        <v>1.9494078461643648E-2</v>
      </c>
    </row>
    <row r="1012" spans="1:5" x14ac:dyDescent="0.35">
      <c r="A1012" s="9">
        <v>44487</v>
      </c>
      <c r="B1012" s="10">
        <v>77.75</v>
      </c>
      <c r="C1012" s="11">
        <v>44629.45</v>
      </c>
      <c r="D1012" s="14">
        <f t="shared" si="30"/>
        <v>-3.205128205128205E-3</v>
      </c>
      <c r="E1012" s="14">
        <f t="shared" si="31"/>
        <v>-4.2854405014733261E-3</v>
      </c>
    </row>
    <row r="1013" spans="1:5" x14ac:dyDescent="0.35">
      <c r="A1013" s="9">
        <v>44484</v>
      </c>
      <c r="B1013" s="10">
        <v>78</v>
      </c>
      <c r="C1013" s="11">
        <v>44821.53</v>
      </c>
      <c r="D1013" s="14">
        <f t="shared" si="30"/>
        <v>-1.5772870662460567E-2</v>
      </c>
      <c r="E1013" s="14">
        <f t="shared" si="31"/>
        <v>1.1004049291644604E-2</v>
      </c>
    </row>
    <row r="1014" spans="1:5" x14ac:dyDescent="0.35">
      <c r="A1014" s="9">
        <v>44483</v>
      </c>
      <c r="B1014" s="10">
        <v>79.25</v>
      </c>
      <c r="C1014" s="11">
        <v>44333.68</v>
      </c>
      <c r="D1014" s="14">
        <f t="shared" si="30"/>
        <v>-3.1446540880503146E-3</v>
      </c>
      <c r="E1014" s="14">
        <f t="shared" si="31"/>
        <v>2.5725456008521663E-2</v>
      </c>
    </row>
    <row r="1015" spans="1:5" x14ac:dyDescent="0.35">
      <c r="A1015" s="9">
        <v>44482</v>
      </c>
      <c r="B1015" s="10">
        <v>79.5</v>
      </c>
      <c r="C1015" s="11">
        <v>43221.78</v>
      </c>
      <c r="D1015" s="14">
        <f t="shared" si="30"/>
        <v>5.2283256121773702E-2</v>
      </c>
      <c r="E1015" s="14">
        <f t="shared" si="31"/>
        <v>-1.5069589463638443E-2</v>
      </c>
    </row>
    <row r="1016" spans="1:5" x14ac:dyDescent="0.35">
      <c r="A1016" s="9">
        <v>44481</v>
      </c>
      <c r="B1016" s="10">
        <v>75.55</v>
      </c>
      <c r="C1016" s="11">
        <v>43883.08</v>
      </c>
      <c r="D1016" s="14">
        <f t="shared" si="30"/>
        <v>7.54448398576512E-2</v>
      </c>
      <c r="E1016" s="14">
        <f t="shared" si="31"/>
        <v>1.2258908699308386E-3</v>
      </c>
    </row>
    <row r="1017" spans="1:5" x14ac:dyDescent="0.35">
      <c r="A1017" s="9">
        <v>44480</v>
      </c>
      <c r="B1017" s="10">
        <v>70.25</v>
      </c>
      <c r="C1017" s="11">
        <v>43829.35</v>
      </c>
      <c r="D1017" s="14">
        <f t="shared" si="30"/>
        <v>2.5547445255474453E-2</v>
      </c>
      <c r="E1017" s="14">
        <f t="shared" si="31"/>
        <v>-1.4566554616823138E-2</v>
      </c>
    </row>
    <row r="1018" spans="1:5" x14ac:dyDescent="0.35">
      <c r="A1018" s="9">
        <v>44477</v>
      </c>
      <c r="B1018" s="10">
        <v>68.5</v>
      </c>
      <c r="C1018" s="11">
        <v>44477.23</v>
      </c>
      <c r="D1018" s="14">
        <f t="shared" si="30"/>
        <v>5.1357300073366736E-3</v>
      </c>
      <c r="E1018" s="14">
        <f t="shared" si="31"/>
        <v>-2.4404499704391257E-3</v>
      </c>
    </row>
    <row r="1019" spans="1:5" x14ac:dyDescent="0.35">
      <c r="A1019" s="9">
        <v>44476</v>
      </c>
      <c r="B1019" s="10">
        <v>68.150000000000006</v>
      </c>
      <c r="C1019" s="11">
        <v>44586.04</v>
      </c>
      <c r="D1019" s="14">
        <f t="shared" si="30"/>
        <v>-3.0719719133995575E-3</v>
      </c>
      <c r="E1019" s="14">
        <f t="shared" si="31"/>
        <v>4.7959096058591555E-3</v>
      </c>
    </row>
    <row r="1020" spans="1:5" x14ac:dyDescent="0.35">
      <c r="A1020" s="9">
        <v>44475</v>
      </c>
      <c r="B1020" s="10">
        <v>68.36</v>
      </c>
      <c r="C1020" s="11">
        <v>44373.23</v>
      </c>
      <c r="D1020" s="14">
        <f t="shared" si="30"/>
        <v>1.9053202403634098E-3</v>
      </c>
      <c r="E1020" s="14">
        <f t="shared" si="31"/>
        <v>-6.5673276457090058E-3</v>
      </c>
    </row>
    <row r="1021" spans="1:5" x14ac:dyDescent="0.35">
      <c r="A1021" s="9">
        <v>44474</v>
      </c>
      <c r="B1021" s="10">
        <v>68.23</v>
      </c>
      <c r="C1021" s="11">
        <v>44666.57</v>
      </c>
      <c r="D1021" s="14">
        <f t="shared" si="30"/>
        <v>-6.4074559487403192E-3</v>
      </c>
      <c r="E1021" s="14">
        <f t="shared" si="31"/>
        <v>-8.3901475207850077E-3</v>
      </c>
    </row>
    <row r="1022" spans="1:5" x14ac:dyDescent="0.35">
      <c r="A1022" s="9">
        <v>44473</v>
      </c>
      <c r="B1022" s="10">
        <v>68.67</v>
      </c>
      <c r="C1022" s="11">
        <v>45044.5</v>
      </c>
      <c r="D1022" s="14">
        <f t="shared" si="30"/>
        <v>9.1109478324761881E-3</v>
      </c>
      <c r="E1022" s="14">
        <f t="shared" si="31"/>
        <v>3.8509795706425857E-3</v>
      </c>
    </row>
    <row r="1023" spans="1:5" x14ac:dyDescent="0.35">
      <c r="A1023" s="9">
        <v>44470</v>
      </c>
      <c r="B1023" s="10">
        <v>68.05</v>
      </c>
      <c r="C1023" s="11">
        <v>44871.7</v>
      </c>
      <c r="D1023" s="14">
        <f t="shared" si="30"/>
        <v>7.3529411764701707E-4</v>
      </c>
      <c r="E1023" s="14">
        <f t="shared" si="31"/>
        <v>-6.2138638206134255E-4</v>
      </c>
    </row>
    <row r="1024" spans="1:5" x14ac:dyDescent="0.35">
      <c r="A1024" s="9">
        <v>44469</v>
      </c>
      <c r="B1024" s="10">
        <v>68</v>
      </c>
      <c r="C1024" s="11">
        <v>44899.6</v>
      </c>
      <c r="D1024" s="14">
        <f t="shared" si="30"/>
        <v>-3.663003663003663E-3</v>
      </c>
      <c r="E1024" s="14">
        <f t="shared" si="31"/>
        <v>1.2010348292437096E-2</v>
      </c>
    </row>
    <row r="1025" spans="1:5" x14ac:dyDescent="0.35">
      <c r="A1025" s="9">
        <v>44468</v>
      </c>
      <c r="B1025" s="10">
        <v>68.25</v>
      </c>
      <c r="C1025" s="11">
        <v>44366.74</v>
      </c>
      <c r="D1025" s="14">
        <f t="shared" si="30"/>
        <v>-2.5000000000000001E-2</v>
      </c>
      <c r="E1025" s="14">
        <f t="shared" si="31"/>
        <v>-2.0059445702069606E-2</v>
      </c>
    </row>
    <row r="1026" spans="1:5" x14ac:dyDescent="0.35">
      <c r="A1026" s="9">
        <v>44467</v>
      </c>
      <c r="B1026" s="10">
        <v>70</v>
      </c>
      <c r="C1026" s="11">
        <v>45274.93</v>
      </c>
      <c r="D1026" s="14">
        <f t="shared" si="30"/>
        <v>1.4345746993189318E-2</v>
      </c>
      <c r="E1026" s="14">
        <f t="shared" si="31"/>
        <v>1.0200643673400862E-2</v>
      </c>
    </row>
    <row r="1027" spans="1:5" x14ac:dyDescent="0.35">
      <c r="A1027" s="9">
        <v>44466</v>
      </c>
      <c r="B1027" s="10">
        <v>69.010000000000005</v>
      </c>
      <c r="C1027" s="11">
        <v>44817.760000000002</v>
      </c>
      <c r="D1027" s="14">
        <f t="shared" si="30"/>
        <v>8.3284628872005752E-3</v>
      </c>
      <c r="E1027" s="14">
        <f t="shared" si="31"/>
        <v>-5.6742850347608698E-3</v>
      </c>
    </row>
    <row r="1028" spans="1:5" x14ac:dyDescent="0.35">
      <c r="A1028" s="9">
        <v>44463</v>
      </c>
      <c r="B1028" s="10">
        <v>68.44</v>
      </c>
      <c r="C1028" s="11">
        <v>45073.52</v>
      </c>
      <c r="D1028" s="14">
        <f t="shared" si="30"/>
        <v>-7.3003358154470957E-4</v>
      </c>
      <c r="E1028" s="14">
        <f t="shared" si="31"/>
        <v>-4.9310239469031996E-3</v>
      </c>
    </row>
    <row r="1029" spans="1:5" x14ac:dyDescent="0.35">
      <c r="A1029" s="9">
        <v>44462</v>
      </c>
      <c r="B1029" s="10">
        <v>68.489999999999995</v>
      </c>
      <c r="C1029" s="11">
        <v>45296.88</v>
      </c>
      <c r="D1029" s="14">
        <f t="shared" ref="D1029:D1092" si="32">(B1029-B1030)/B1030</f>
        <v>-5.6620209059233539E-3</v>
      </c>
      <c r="E1029" s="14">
        <f t="shared" ref="E1029:E1092" si="33">(C1029-C1030)/C1030</f>
        <v>-6.5872408066804172E-3</v>
      </c>
    </row>
    <row r="1030" spans="1:5" x14ac:dyDescent="0.35">
      <c r="A1030" s="9">
        <v>44461</v>
      </c>
      <c r="B1030" s="10">
        <v>68.88</v>
      </c>
      <c r="C1030" s="11">
        <v>45597.24</v>
      </c>
      <c r="D1030" s="14">
        <f t="shared" si="32"/>
        <v>-1.0486998994397414E-2</v>
      </c>
      <c r="E1030" s="14">
        <f t="shared" si="33"/>
        <v>-8.9463222836476154E-3</v>
      </c>
    </row>
    <row r="1031" spans="1:5" x14ac:dyDescent="0.35">
      <c r="A1031" s="9">
        <v>44460</v>
      </c>
      <c r="B1031" s="10">
        <v>69.61</v>
      </c>
      <c r="C1031" s="11">
        <v>46008.85</v>
      </c>
      <c r="D1031" s="14">
        <f t="shared" si="32"/>
        <v>5.0534218885358688E-3</v>
      </c>
      <c r="E1031" s="14">
        <f t="shared" si="33"/>
        <v>-1.1162260486702595E-2</v>
      </c>
    </row>
    <row r="1032" spans="1:5" x14ac:dyDescent="0.35">
      <c r="A1032" s="9">
        <v>44459</v>
      </c>
      <c r="B1032" s="10">
        <v>69.260000000000005</v>
      </c>
      <c r="C1032" s="11">
        <v>46528.21</v>
      </c>
      <c r="D1032" s="14">
        <f t="shared" si="32"/>
        <v>-3.4532374100718689E-3</v>
      </c>
      <c r="E1032" s="14">
        <f t="shared" si="33"/>
        <v>-2.3130160167836281E-3</v>
      </c>
    </row>
    <row r="1033" spans="1:5" x14ac:dyDescent="0.35">
      <c r="A1033" s="9">
        <v>44456</v>
      </c>
      <c r="B1033" s="10">
        <v>69.5</v>
      </c>
      <c r="C1033" s="11">
        <v>46636.08</v>
      </c>
      <c r="D1033" s="14">
        <f t="shared" si="32"/>
        <v>3.6101083032490976E-3</v>
      </c>
      <c r="E1033" s="14">
        <f t="shared" si="33"/>
        <v>-6.0608953961661374E-3</v>
      </c>
    </row>
    <row r="1034" spans="1:5" x14ac:dyDescent="0.35">
      <c r="A1034" s="9">
        <v>44455</v>
      </c>
      <c r="B1034" s="10">
        <v>69.25</v>
      </c>
      <c r="C1034" s="11">
        <v>46920.46</v>
      </c>
      <c r="D1034" s="14">
        <f t="shared" si="32"/>
        <v>0</v>
      </c>
      <c r="E1034" s="14">
        <f t="shared" si="33"/>
        <v>4.3611794663666022E-3</v>
      </c>
    </row>
    <row r="1035" spans="1:5" x14ac:dyDescent="0.35">
      <c r="A1035" s="9">
        <v>44454</v>
      </c>
      <c r="B1035" s="10">
        <v>69.25</v>
      </c>
      <c r="C1035" s="11">
        <v>46716.72</v>
      </c>
      <c r="D1035" s="14">
        <f t="shared" si="32"/>
        <v>-9.1572471025897929E-3</v>
      </c>
      <c r="E1035" s="14">
        <f t="shared" si="33"/>
        <v>-3.7239285548247365E-3</v>
      </c>
    </row>
    <row r="1036" spans="1:5" x14ac:dyDescent="0.35">
      <c r="A1036" s="9">
        <v>44453</v>
      </c>
      <c r="B1036" s="10">
        <v>69.89</v>
      </c>
      <c r="C1036" s="11">
        <v>46891.34</v>
      </c>
      <c r="D1036" s="14">
        <f t="shared" si="32"/>
        <v>5.7562239171104574E-3</v>
      </c>
      <c r="E1036" s="14">
        <f t="shared" si="33"/>
        <v>-8.0202308164549832E-3</v>
      </c>
    </row>
    <row r="1037" spans="1:5" x14ac:dyDescent="0.35">
      <c r="A1037" s="9">
        <v>44452</v>
      </c>
      <c r="B1037" s="10">
        <v>69.489999999999995</v>
      </c>
      <c r="C1037" s="11">
        <v>47270.46</v>
      </c>
      <c r="D1037" s="14">
        <f t="shared" si="32"/>
        <v>-1.5804597701149345E-3</v>
      </c>
      <c r="E1037" s="14">
        <f t="shared" si="33"/>
        <v>1.5290808205127399E-3</v>
      </c>
    </row>
    <row r="1038" spans="1:5" x14ac:dyDescent="0.35">
      <c r="A1038" s="9">
        <v>44449</v>
      </c>
      <c r="B1038" s="10">
        <v>69.599999999999994</v>
      </c>
      <c r="C1038" s="11">
        <v>47198.29</v>
      </c>
      <c r="D1038" s="14">
        <f t="shared" si="32"/>
        <v>8.6956521739129603E-3</v>
      </c>
      <c r="E1038" s="14">
        <f t="shared" si="33"/>
        <v>1.2293158709296582E-2</v>
      </c>
    </row>
    <row r="1039" spans="1:5" x14ac:dyDescent="0.35">
      <c r="A1039" s="9">
        <v>44448</v>
      </c>
      <c r="B1039" s="10">
        <v>69</v>
      </c>
      <c r="C1039" s="11">
        <v>46625.120000000003</v>
      </c>
      <c r="D1039" s="14">
        <f t="shared" si="32"/>
        <v>-7.2411296162197189E-4</v>
      </c>
      <c r="E1039" s="14">
        <f t="shared" si="33"/>
        <v>4.9229783749753699E-3</v>
      </c>
    </row>
    <row r="1040" spans="1:5" x14ac:dyDescent="0.35">
      <c r="A1040" s="9">
        <v>44447</v>
      </c>
      <c r="B1040" s="10">
        <v>69.05</v>
      </c>
      <c r="C1040" s="11">
        <v>46396.71</v>
      </c>
      <c r="D1040" s="14">
        <f t="shared" si="32"/>
        <v>-6.4748201438849327E-3</v>
      </c>
      <c r="E1040" s="14">
        <f t="shared" si="33"/>
        <v>-7.1313992136950262E-3</v>
      </c>
    </row>
    <row r="1041" spans="1:5" x14ac:dyDescent="0.35">
      <c r="A1041" s="9">
        <v>44446</v>
      </c>
      <c r="B1041" s="10">
        <v>69.5</v>
      </c>
      <c r="C1041" s="11">
        <v>46729.96</v>
      </c>
      <c r="D1041" s="14">
        <f t="shared" si="32"/>
        <v>-3.5842293906810036E-3</v>
      </c>
      <c r="E1041" s="14">
        <f t="shared" si="33"/>
        <v>-4.018882096025145E-3</v>
      </c>
    </row>
    <row r="1042" spans="1:5" x14ac:dyDescent="0.35">
      <c r="A1042" s="9">
        <v>44445</v>
      </c>
      <c r="B1042" s="10">
        <v>69.75</v>
      </c>
      <c r="C1042" s="11">
        <v>46918.52</v>
      </c>
      <c r="D1042" s="14">
        <f t="shared" si="32"/>
        <v>0</v>
      </c>
      <c r="E1042" s="14">
        <f t="shared" si="33"/>
        <v>-8.2947398997442509E-4</v>
      </c>
    </row>
    <row r="1043" spans="1:5" x14ac:dyDescent="0.35">
      <c r="A1043" s="9">
        <v>44442</v>
      </c>
      <c r="B1043" s="10">
        <v>69.75</v>
      </c>
      <c r="C1043" s="11">
        <v>46957.47</v>
      </c>
      <c r="D1043" s="14">
        <f t="shared" si="32"/>
        <v>3.5971223021582736E-3</v>
      </c>
      <c r="E1043" s="14">
        <f t="shared" si="33"/>
        <v>1.1600522439261637E-3</v>
      </c>
    </row>
    <row r="1044" spans="1:5" x14ac:dyDescent="0.35">
      <c r="A1044" s="9">
        <v>44441</v>
      </c>
      <c r="B1044" s="10">
        <v>69.5</v>
      </c>
      <c r="C1044" s="11">
        <v>46903.06</v>
      </c>
      <c r="D1044" s="14">
        <f t="shared" si="32"/>
        <v>-7.851534618129867E-3</v>
      </c>
      <c r="E1044" s="14">
        <f t="shared" si="33"/>
        <v>-1.0764875628144445E-2</v>
      </c>
    </row>
    <row r="1045" spans="1:5" x14ac:dyDescent="0.35">
      <c r="A1045" s="9">
        <v>44440</v>
      </c>
      <c r="B1045" s="10">
        <v>70.05</v>
      </c>
      <c r="C1045" s="11">
        <v>47413.46</v>
      </c>
      <c r="D1045" s="14">
        <f t="shared" si="32"/>
        <v>5.7134695043553835E-4</v>
      </c>
      <c r="E1045" s="14">
        <f t="shared" si="33"/>
        <v>-1.3243429845880293E-4</v>
      </c>
    </row>
    <row r="1046" spans="1:5" x14ac:dyDescent="0.35">
      <c r="A1046" s="9">
        <v>44439</v>
      </c>
      <c r="B1046" s="10">
        <v>70.010000000000005</v>
      </c>
      <c r="C1046" s="11">
        <v>47419.74</v>
      </c>
      <c r="D1046" s="14">
        <f t="shared" si="32"/>
        <v>2.8575510787269944E-4</v>
      </c>
      <c r="E1046" s="14">
        <f t="shared" si="33"/>
        <v>1.1409099833846197E-3</v>
      </c>
    </row>
    <row r="1047" spans="1:5" x14ac:dyDescent="0.35">
      <c r="A1047" s="9">
        <v>44438</v>
      </c>
      <c r="B1047" s="10">
        <v>69.989999999999995</v>
      </c>
      <c r="C1047" s="11">
        <v>47365.7</v>
      </c>
      <c r="D1047" s="14">
        <f t="shared" si="32"/>
        <v>-1.5611814345991555E-2</v>
      </c>
      <c r="E1047" s="14">
        <f t="shared" si="33"/>
        <v>4.8618343352809009E-3</v>
      </c>
    </row>
    <row r="1048" spans="1:5" x14ac:dyDescent="0.35">
      <c r="A1048" s="9">
        <v>44435</v>
      </c>
      <c r="B1048" s="10">
        <v>71.099999999999994</v>
      </c>
      <c r="C1048" s="11">
        <v>47136.53</v>
      </c>
      <c r="D1048" s="14">
        <f t="shared" si="32"/>
        <v>-8.5064844512620207E-3</v>
      </c>
      <c r="E1048" s="14">
        <f t="shared" si="33"/>
        <v>-4.7872539206013009E-3</v>
      </c>
    </row>
    <row r="1049" spans="1:5" x14ac:dyDescent="0.35">
      <c r="A1049" s="9">
        <v>44434</v>
      </c>
      <c r="B1049" s="10">
        <v>71.709999999999994</v>
      </c>
      <c r="C1049" s="11">
        <v>47363.27</v>
      </c>
      <c r="D1049" s="14">
        <f t="shared" si="32"/>
        <v>-6.7867036011081587E-3</v>
      </c>
      <c r="E1049" s="14">
        <f t="shared" si="33"/>
        <v>-5.7232045579070547E-3</v>
      </c>
    </row>
    <row r="1050" spans="1:5" x14ac:dyDescent="0.35">
      <c r="A1050" s="9">
        <v>44433</v>
      </c>
      <c r="B1050" s="10">
        <v>72.2</v>
      </c>
      <c r="C1050" s="11">
        <v>47635.9</v>
      </c>
      <c r="D1050" s="14">
        <f t="shared" si="32"/>
        <v>9.5078299776287321E-3</v>
      </c>
      <c r="E1050" s="14">
        <f t="shared" si="33"/>
        <v>-4.0312607218550879E-3</v>
      </c>
    </row>
    <row r="1051" spans="1:5" x14ac:dyDescent="0.35">
      <c r="A1051" s="9">
        <v>44432</v>
      </c>
      <c r="B1051" s="10">
        <v>71.52</v>
      </c>
      <c r="C1051" s="11">
        <v>47828.71</v>
      </c>
      <c r="D1051" s="14">
        <f t="shared" si="32"/>
        <v>-5.9763724808896013E-3</v>
      </c>
      <c r="E1051" s="14">
        <f t="shared" si="33"/>
        <v>-5.8924751118271225E-3</v>
      </c>
    </row>
    <row r="1052" spans="1:5" x14ac:dyDescent="0.35">
      <c r="A1052" s="9">
        <v>44431</v>
      </c>
      <c r="B1052" s="10">
        <v>71.95</v>
      </c>
      <c r="C1052" s="11">
        <v>48112.21</v>
      </c>
      <c r="D1052" s="14">
        <f t="shared" si="32"/>
        <v>6.2937062937063332E-3</v>
      </c>
      <c r="E1052" s="14">
        <f t="shared" si="33"/>
        <v>1.0764536504549794E-2</v>
      </c>
    </row>
    <row r="1053" spans="1:5" x14ac:dyDescent="0.35">
      <c r="A1053" s="9">
        <v>44428</v>
      </c>
      <c r="B1053" s="10">
        <v>71.5</v>
      </c>
      <c r="C1053" s="11">
        <v>47599.82</v>
      </c>
      <c r="D1053" s="14">
        <f t="shared" si="32"/>
        <v>0</v>
      </c>
      <c r="E1053" s="14">
        <f t="shared" si="33"/>
        <v>7.2234700884181062E-3</v>
      </c>
    </row>
    <row r="1054" spans="1:5" x14ac:dyDescent="0.35">
      <c r="A1054" s="9">
        <v>44425</v>
      </c>
      <c r="B1054" s="10">
        <v>71.5</v>
      </c>
      <c r="C1054" s="11">
        <v>47258.45</v>
      </c>
      <c r="D1054" s="14">
        <f t="shared" si="32"/>
        <v>-1.2571588210644421E-3</v>
      </c>
      <c r="E1054" s="14">
        <f t="shared" si="33"/>
        <v>7.3681399038512995E-3</v>
      </c>
    </row>
    <row r="1055" spans="1:5" x14ac:dyDescent="0.35">
      <c r="A1055" s="9">
        <v>44424</v>
      </c>
      <c r="B1055" s="10">
        <v>71.59</v>
      </c>
      <c r="C1055" s="11">
        <v>46912.79</v>
      </c>
      <c r="D1055" s="14">
        <f t="shared" si="32"/>
        <v>-2.9247910863508877E-3</v>
      </c>
      <c r="E1055" s="14">
        <f t="shared" si="33"/>
        <v>-5.4494566867302422E-3</v>
      </c>
    </row>
    <row r="1056" spans="1:5" x14ac:dyDescent="0.35">
      <c r="A1056" s="9">
        <v>44421</v>
      </c>
      <c r="B1056" s="10">
        <v>71.8</v>
      </c>
      <c r="C1056" s="11">
        <v>47169.84</v>
      </c>
      <c r="D1056" s="14">
        <f t="shared" si="32"/>
        <v>-2.7777777777778173E-3</v>
      </c>
      <c r="E1056" s="14">
        <f t="shared" si="33"/>
        <v>-2.1349349999874243E-3</v>
      </c>
    </row>
    <row r="1057" spans="1:5" x14ac:dyDescent="0.35">
      <c r="A1057" s="9">
        <v>44420</v>
      </c>
      <c r="B1057" s="10">
        <v>72</v>
      </c>
      <c r="C1057" s="11">
        <v>47270.76</v>
      </c>
      <c r="D1057" s="14">
        <f t="shared" si="32"/>
        <v>0</v>
      </c>
      <c r="E1057" s="14">
        <f t="shared" si="33"/>
        <v>-2.2504410332524795E-3</v>
      </c>
    </row>
    <row r="1058" spans="1:5" x14ac:dyDescent="0.35">
      <c r="A1058" s="9">
        <v>44419</v>
      </c>
      <c r="B1058" s="10">
        <v>72</v>
      </c>
      <c r="C1058" s="11">
        <v>47377.38</v>
      </c>
      <c r="D1058" s="14">
        <f t="shared" si="32"/>
        <v>0</v>
      </c>
      <c r="E1058" s="14">
        <f t="shared" si="33"/>
        <v>5.1320152038335908E-3</v>
      </c>
    </row>
    <row r="1059" spans="1:5" x14ac:dyDescent="0.35">
      <c r="A1059" s="9">
        <v>44418</v>
      </c>
      <c r="B1059" s="10">
        <v>72</v>
      </c>
      <c r="C1059" s="11">
        <v>47135.48</v>
      </c>
      <c r="D1059" s="14">
        <f t="shared" si="32"/>
        <v>-2.7700831024931143E-3</v>
      </c>
      <c r="E1059" s="14">
        <f t="shared" si="33"/>
        <v>2.5167845763972676E-4</v>
      </c>
    </row>
    <row r="1060" spans="1:5" x14ac:dyDescent="0.35">
      <c r="A1060" s="9">
        <v>44417</v>
      </c>
      <c r="B1060" s="10">
        <v>72.2</v>
      </c>
      <c r="C1060" s="11">
        <v>47123.62</v>
      </c>
      <c r="D1060" s="14">
        <f t="shared" si="32"/>
        <v>9.0845562543676543E-3</v>
      </c>
      <c r="E1060" s="14">
        <f t="shared" si="33"/>
        <v>-7.7138426130159013E-3</v>
      </c>
    </row>
    <row r="1061" spans="1:5" x14ac:dyDescent="0.35">
      <c r="A1061" s="9">
        <v>44414</v>
      </c>
      <c r="B1061" s="10">
        <v>71.55</v>
      </c>
      <c r="C1061" s="11">
        <v>47489.95</v>
      </c>
      <c r="D1061" s="14">
        <f t="shared" si="32"/>
        <v>2.100840336134334E-3</v>
      </c>
      <c r="E1061" s="14">
        <f t="shared" si="33"/>
        <v>-3.1680774998278853E-3</v>
      </c>
    </row>
    <row r="1062" spans="1:5" x14ac:dyDescent="0.35">
      <c r="A1062" s="9">
        <v>44413</v>
      </c>
      <c r="B1062" s="10">
        <v>71.400000000000006</v>
      </c>
      <c r="C1062" s="11">
        <v>47640.88</v>
      </c>
      <c r="D1062" s="14">
        <f t="shared" si="32"/>
        <v>-6.2630480167013038E-3</v>
      </c>
      <c r="E1062" s="14">
        <f t="shared" si="33"/>
        <v>-3.1178149013975347E-3</v>
      </c>
    </row>
    <row r="1063" spans="1:5" x14ac:dyDescent="0.35">
      <c r="A1063" s="9">
        <v>44412</v>
      </c>
      <c r="B1063" s="10">
        <v>71.849999999999994</v>
      </c>
      <c r="C1063" s="11">
        <v>47789.88</v>
      </c>
      <c r="D1063" s="14">
        <f t="shared" si="32"/>
        <v>8.4210526315788674E-3</v>
      </c>
      <c r="E1063" s="14">
        <f t="shared" si="33"/>
        <v>6.6082726528063948E-4</v>
      </c>
    </row>
    <row r="1064" spans="1:5" x14ac:dyDescent="0.35">
      <c r="A1064" s="9">
        <v>44411</v>
      </c>
      <c r="B1064" s="10">
        <v>71.25</v>
      </c>
      <c r="C1064" s="11">
        <v>47758.32</v>
      </c>
      <c r="D1064" s="14">
        <f t="shared" si="32"/>
        <v>-7.6601671309191807E-3</v>
      </c>
      <c r="E1064" s="14">
        <f t="shared" si="33"/>
        <v>6.428853661234999E-3</v>
      </c>
    </row>
    <row r="1065" spans="1:5" x14ac:dyDescent="0.35">
      <c r="A1065" s="9">
        <v>44410</v>
      </c>
      <c r="B1065" s="10">
        <v>71.8</v>
      </c>
      <c r="C1065" s="11">
        <v>47453.25</v>
      </c>
      <c r="D1065" s="14">
        <f t="shared" si="32"/>
        <v>-3.4698126301179739E-3</v>
      </c>
      <c r="E1065" s="14">
        <f t="shared" si="33"/>
        <v>8.4572850363901515E-3</v>
      </c>
    </row>
    <row r="1066" spans="1:5" x14ac:dyDescent="0.35">
      <c r="A1066" s="9">
        <v>44407</v>
      </c>
      <c r="B1066" s="10">
        <v>72.05</v>
      </c>
      <c r="C1066" s="11">
        <v>47055.29</v>
      </c>
      <c r="D1066" s="14">
        <f t="shared" si="32"/>
        <v>-9.621993127147805E-3</v>
      </c>
      <c r="E1066" s="14">
        <f t="shared" si="33"/>
        <v>-5.4328332593216368E-3</v>
      </c>
    </row>
    <row r="1067" spans="1:5" x14ac:dyDescent="0.35">
      <c r="A1067" s="9">
        <v>44406</v>
      </c>
      <c r="B1067" s="10">
        <v>72.75</v>
      </c>
      <c r="C1067" s="11">
        <v>47312.33</v>
      </c>
      <c r="D1067" s="14">
        <f t="shared" si="32"/>
        <v>-3.4246575342465752E-3</v>
      </c>
      <c r="E1067" s="14">
        <f t="shared" si="33"/>
        <v>-1.2046148159585447E-4</v>
      </c>
    </row>
    <row r="1068" spans="1:5" x14ac:dyDescent="0.35">
      <c r="A1068" s="9">
        <v>44405</v>
      </c>
      <c r="B1068" s="10">
        <v>73</v>
      </c>
      <c r="C1068" s="11">
        <v>47318.03</v>
      </c>
      <c r="D1068" s="14">
        <f t="shared" si="32"/>
        <v>0</v>
      </c>
      <c r="E1068" s="14">
        <f t="shared" si="33"/>
        <v>-7.7371207534801239E-3</v>
      </c>
    </row>
    <row r="1069" spans="1:5" x14ac:dyDescent="0.35">
      <c r="A1069" s="9">
        <v>44404</v>
      </c>
      <c r="B1069" s="10">
        <v>73</v>
      </c>
      <c r="C1069" s="11">
        <v>47686.99</v>
      </c>
      <c r="D1069" s="14">
        <f t="shared" si="32"/>
        <v>1.6005567153792703E-2</v>
      </c>
      <c r="E1069" s="14">
        <f t="shared" si="33"/>
        <v>3.0017192236722737E-4</v>
      </c>
    </row>
    <row r="1070" spans="1:5" x14ac:dyDescent="0.35">
      <c r="A1070" s="9">
        <v>44403</v>
      </c>
      <c r="B1070" s="10">
        <v>71.849999999999994</v>
      </c>
      <c r="C1070" s="11">
        <v>47672.68</v>
      </c>
      <c r="D1070" s="14">
        <f t="shared" si="32"/>
        <v>-2.0833333333334122E-3</v>
      </c>
      <c r="E1070" s="14">
        <f t="shared" si="33"/>
        <v>-2.5189844469082948E-3</v>
      </c>
    </row>
    <row r="1071" spans="1:5" x14ac:dyDescent="0.35">
      <c r="A1071" s="9">
        <v>44400</v>
      </c>
      <c r="B1071" s="10">
        <v>72</v>
      </c>
      <c r="C1071" s="11">
        <v>47793.07</v>
      </c>
      <c r="D1071" s="14">
        <f t="shared" si="32"/>
        <v>6.9492703266153105E-4</v>
      </c>
      <c r="E1071" s="14">
        <f t="shared" si="33"/>
        <v>-1.6750478241925101E-3</v>
      </c>
    </row>
    <row r="1072" spans="1:5" x14ac:dyDescent="0.35">
      <c r="A1072" s="9">
        <v>44396</v>
      </c>
      <c r="B1072" s="10">
        <v>71.95</v>
      </c>
      <c r="C1072" s="11">
        <v>47873.26</v>
      </c>
      <c r="D1072" s="14">
        <f t="shared" si="32"/>
        <v>9.7384529771852245E-4</v>
      </c>
      <c r="E1072" s="14">
        <f t="shared" si="33"/>
        <v>8.1385063823409445E-4</v>
      </c>
    </row>
    <row r="1073" spans="1:5" x14ac:dyDescent="0.35">
      <c r="A1073" s="9">
        <v>44393</v>
      </c>
      <c r="B1073" s="10">
        <v>71.88</v>
      </c>
      <c r="C1073" s="11">
        <v>47834.33</v>
      </c>
      <c r="D1073" s="14">
        <f t="shared" si="32"/>
        <v>3.9106145251396806E-3</v>
      </c>
      <c r="E1073" s="14">
        <f t="shared" si="33"/>
        <v>4.3266329695856977E-3</v>
      </c>
    </row>
    <row r="1074" spans="1:5" x14ac:dyDescent="0.35">
      <c r="A1074" s="9">
        <v>44392</v>
      </c>
      <c r="B1074" s="10">
        <v>71.599999999999994</v>
      </c>
      <c r="C1074" s="11">
        <v>47628.26</v>
      </c>
      <c r="D1074" s="14">
        <f t="shared" si="32"/>
        <v>-5.5555555555556347E-3</v>
      </c>
      <c r="E1074" s="14">
        <f t="shared" si="33"/>
        <v>2.8803067161324099E-3</v>
      </c>
    </row>
    <row r="1075" spans="1:5" x14ac:dyDescent="0.35">
      <c r="A1075" s="9">
        <v>44391</v>
      </c>
      <c r="B1075" s="10">
        <v>72</v>
      </c>
      <c r="C1075" s="11">
        <v>47491.47</v>
      </c>
      <c r="D1075" s="14">
        <f t="shared" si="32"/>
        <v>1.3370865587614397E-2</v>
      </c>
      <c r="E1075" s="14">
        <f t="shared" si="33"/>
        <v>2.3125287881408136E-4</v>
      </c>
    </row>
    <row r="1076" spans="1:5" x14ac:dyDescent="0.35">
      <c r="A1076" s="9">
        <v>44390</v>
      </c>
      <c r="B1076" s="10">
        <v>71.05</v>
      </c>
      <c r="C1076" s="11">
        <v>47480.49</v>
      </c>
      <c r="D1076" s="14">
        <f t="shared" si="32"/>
        <v>7.0422535211263598E-4</v>
      </c>
      <c r="E1076" s="14">
        <f t="shared" si="33"/>
        <v>7.0415292152849478E-4</v>
      </c>
    </row>
    <row r="1077" spans="1:5" x14ac:dyDescent="0.35">
      <c r="A1077" s="9">
        <v>44389</v>
      </c>
      <c r="B1077" s="10">
        <v>71</v>
      </c>
      <c r="C1077" s="11">
        <v>47447.08</v>
      </c>
      <c r="D1077" s="14">
        <f t="shared" si="32"/>
        <v>-5.6022408963586224E-3</v>
      </c>
      <c r="E1077" s="14">
        <f t="shared" si="33"/>
        <v>-2.4466265588386745E-3</v>
      </c>
    </row>
    <row r="1078" spans="1:5" x14ac:dyDescent="0.35">
      <c r="A1078" s="9">
        <v>44386</v>
      </c>
      <c r="B1078" s="10">
        <v>71.400000000000006</v>
      </c>
      <c r="C1078" s="11">
        <v>47563.45</v>
      </c>
      <c r="D1078" s="14">
        <f t="shared" si="32"/>
        <v>-8.3333333333332552E-3</v>
      </c>
      <c r="E1078" s="14">
        <f t="shared" si="33"/>
        <v>-1.0191211110526135E-2</v>
      </c>
    </row>
    <row r="1079" spans="1:5" x14ac:dyDescent="0.35">
      <c r="A1079" s="9">
        <v>44385</v>
      </c>
      <c r="B1079" s="10">
        <v>72</v>
      </c>
      <c r="C1079" s="11">
        <v>48053.17</v>
      </c>
      <c r="D1079" s="14">
        <f t="shared" si="32"/>
        <v>-6.8965517241379309E-3</v>
      </c>
      <c r="E1079" s="14">
        <f t="shared" si="33"/>
        <v>1.7043078298473246E-2</v>
      </c>
    </row>
    <row r="1080" spans="1:5" x14ac:dyDescent="0.35">
      <c r="A1080" s="9">
        <v>44384</v>
      </c>
      <c r="B1080" s="10">
        <v>72.5</v>
      </c>
      <c r="C1080" s="11">
        <v>47247.92</v>
      </c>
      <c r="D1080" s="14">
        <f t="shared" si="32"/>
        <v>6.9444444444444441E-3</v>
      </c>
      <c r="E1080" s="14">
        <f t="shared" si="33"/>
        <v>-2.0749306807564803E-3</v>
      </c>
    </row>
    <row r="1081" spans="1:5" x14ac:dyDescent="0.35">
      <c r="A1081" s="9">
        <v>44383</v>
      </c>
      <c r="B1081" s="10">
        <v>72</v>
      </c>
      <c r="C1081" s="11">
        <v>47346.16</v>
      </c>
      <c r="D1081" s="14">
        <f t="shared" si="32"/>
        <v>6.8521885051041091E-3</v>
      </c>
      <c r="E1081" s="14">
        <f t="shared" si="33"/>
        <v>-1.7491363955308285E-3</v>
      </c>
    </row>
    <row r="1082" spans="1:5" x14ac:dyDescent="0.35">
      <c r="A1082" s="9">
        <v>44382</v>
      </c>
      <c r="B1082" s="10">
        <v>71.510000000000005</v>
      </c>
      <c r="C1082" s="11">
        <v>47429.120000000003</v>
      </c>
      <c r="D1082" s="14">
        <f t="shared" si="32"/>
        <v>-6.8055555555554849E-3</v>
      </c>
      <c r="E1082" s="14">
        <f t="shared" si="33"/>
        <v>-5.3906603548448976E-3</v>
      </c>
    </row>
    <row r="1083" spans="1:5" x14ac:dyDescent="0.35">
      <c r="A1083" s="9">
        <v>44379</v>
      </c>
      <c r="B1083" s="10">
        <v>72</v>
      </c>
      <c r="C1083" s="11">
        <v>47686.18</v>
      </c>
      <c r="D1083" s="14">
        <f t="shared" si="32"/>
        <v>-1.0717230008244039E-2</v>
      </c>
      <c r="E1083" s="14">
        <f t="shared" si="33"/>
        <v>-2.3930676977282784E-3</v>
      </c>
    </row>
    <row r="1084" spans="1:5" x14ac:dyDescent="0.35">
      <c r="A1084" s="9">
        <v>44378</v>
      </c>
      <c r="B1084" s="10">
        <v>72.78</v>
      </c>
      <c r="C1084" s="11">
        <v>47800.57</v>
      </c>
      <c r="D1084" s="14">
        <f t="shared" si="32"/>
        <v>-2.9599999999999984E-2</v>
      </c>
      <c r="E1084" s="14">
        <f t="shared" si="33"/>
        <v>9.3874020663054659E-3</v>
      </c>
    </row>
    <row r="1085" spans="1:5" x14ac:dyDescent="0.35">
      <c r="A1085" s="9">
        <v>44377</v>
      </c>
      <c r="B1085" s="10">
        <v>75</v>
      </c>
      <c r="C1085" s="11">
        <v>47356.02</v>
      </c>
      <c r="D1085" s="14">
        <f t="shared" si="32"/>
        <v>4.7486033519553154E-2</v>
      </c>
      <c r="E1085" s="14">
        <f t="shared" si="33"/>
        <v>4.6300450785007443E-3</v>
      </c>
    </row>
    <row r="1086" spans="1:5" x14ac:dyDescent="0.35">
      <c r="A1086" s="9">
        <v>44376</v>
      </c>
      <c r="B1086" s="10">
        <v>71.599999999999994</v>
      </c>
      <c r="C1086" s="11">
        <v>47137.77</v>
      </c>
      <c r="D1086" s="14">
        <f t="shared" si="32"/>
        <v>1.398601398601319E-3</v>
      </c>
      <c r="E1086" s="14">
        <f t="shared" si="33"/>
        <v>2.8811325391176878E-3</v>
      </c>
    </row>
    <row r="1087" spans="1:5" x14ac:dyDescent="0.35">
      <c r="A1087" s="9">
        <v>44375</v>
      </c>
      <c r="B1087" s="10">
        <v>71.5</v>
      </c>
      <c r="C1087" s="11">
        <v>47002.35</v>
      </c>
      <c r="D1087" s="14">
        <f t="shared" si="32"/>
        <v>1.7069701280227636E-2</v>
      </c>
      <c r="E1087" s="14">
        <f t="shared" si="33"/>
        <v>-1.4707170938081923E-2</v>
      </c>
    </row>
    <row r="1088" spans="1:5" x14ac:dyDescent="0.35">
      <c r="A1088" s="9">
        <v>44372</v>
      </c>
      <c r="B1088" s="10">
        <v>70.3</v>
      </c>
      <c r="C1088" s="11">
        <v>47703.94</v>
      </c>
      <c r="D1088" s="14">
        <f t="shared" si="32"/>
        <v>4.2857142857142452E-3</v>
      </c>
      <c r="E1088" s="14">
        <f t="shared" si="33"/>
        <v>-5.3917077786121946E-3</v>
      </c>
    </row>
    <row r="1089" spans="1:5" x14ac:dyDescent="0.35">
      <c r="A1089" s="9">
        <v>44371</v>
      </c>
      <c r="B1089" s="10">
        <v>70</v>
      </c>
      <c r="C1089" s="11">
        <v>47962.54</v>
      </c>
      <c r="D1089" s="14">
        <f t="shared" si="32"/>
        <v>0</v>
      </c>
      <c r="E1089" s="14">
        <f t="shared" si="33"/>
        <v>1.2910040980612764E-3</v>
      </c>
    </row>
    <row r="1090" spans="1:5" x14ac:dyDescent="0.35">
      <c r="A1090" s="9">
        <v>44370</v>
      </c>
      <c r="B1090" s="10">
        <v>70</v>
      </c>
      <c r="C1090" s="11">
        <v>47900.7</v>
      </c>
      <c r="D1090" s="14">
        <f t="shared" si="32"/>
        <v>-3.5587188612099642E-3</v>
      </c>
      <c r="E1090" s="14">
        <f t="shared" si="33"/>
        <v>-1.8013159358945402E-3</v>
      </c>
    </row>
    <row r="1091" spans="1:5" x14ac:dyDescent="0.35">
      <c r="A1091" s="9">
        <v>44369</v>
      </c>
      <c r="B1091" s="10">
        <v>70.25</v>
      </c>
      <c r="C1091" s="11">
        <v>47987.14</v>
      </c>
      <c r="D1091" s="14">
        <f t="shared" si="32"/>
        <v>-1.0563380281690141E-2</v>
      </c>
      <c r="E1091" s="14">
        <f t="shared" si="33"/>
        <v>-5.2861212033855718E-4</v>
      </c>
    </row>
    <row r="1092" spans="1:5" x14ac:dyDescent="0.35">
      <c r="A1092" s="9">
        <v>44368</v>
      </c>
      <c r="B1092" s="10">
        <v>71</v>
      </c>
      <c r="C1092" s="11">
        <v>48012.52</v>
      </c>
      <c r="D1092" s="14">
        <f t="shared" si="32"/>
        <v>-1.4082523588234214E-4</v>
      </c>
      <c r="E1092" s="14">
        <f t="shared" si="33"/>
        <v>-4.6881474966038962E-3</v>
      </c>
    </row>
    <row r="1093" spans="1:5" x14ac:dyDescent="0.35">
      <c r="A1093" s="9">
        <v>44365</v>
      </c>
      <c r="B1093" s="10">
        <v>71.010000000000005</v>
      </c>
      <c r="C1093" s="11">
        <v>48238.67</v>
      </c>
      <c r="D1093" s="14">
        <f t="shared" ref="D1093:D1156" si="34">(B1093-B1094)/B1094</f>
        <v>2.9661016949153666E-3</v>
      </c>
      <c r="E1093" s="14">
        <f t="shared" ref="E1093:E1156" si="35">(C1093-C1094)/C1094</f>
        <v>2.2318140501233243E-3</v>
      </c>
    </row>
    <row r="1094" spans="1:5" x14ac:dyDescent="0.35">
      <c r="A1094" s="9">
        <v>44364</v>
      </c>
      <c r="B1094" s="10">
        <v>70.8</v>
      </c>
      <c r="C1094" s="11">
        <v>48131.25</v>
      </c>
      <c r="D1094" s="14">
        <f t="shared" si="34"/>
        <v>-4.2194092827003826E-3</v>
      </c>
      <c r="E1094" s="14">
        <f t="shared" si="35"/>
        <v>-7.2121185869074515E-3</v>
      </c>
    </row>
    <row r="1095" spans="1:5" x14ac:dyDescent="0.35">
      <c r="A1095" s="9">
        <v>44363</v>
      </c>
      <c r="B1095" s="10">
        <v>71.099999999999994</v>
      </c>
      <c r="C1095" s="11">
        <v>48480.9</v>
      </c>
      <c r="D1095" s="14">
        <f t="shared" si="34"/>
        <v>-4.0621935845357371E-3</v>
      </c>
      <c r="E1095" s="14">
        <f t="shared" si="35"/>
        <v>-3.1184868738145027E-3</v>
      </c>
    </row>
    <row r="1096" spans="1:5" x14ac:dyDescent="0.35">
      <c r="A1096" s="9">
        <v>44362</v>
      </c>
      <c r="B1096" s="10">
        <v>71.39</v>
      </c>
      <c r="C1096" s="11">
        <v>48632.56</v>
      </c>
      <c r="D1096" s="14">
        <f t="shared" si="34"/>
        <v>-1.5384615384615304E-3</v>
      </c>
      <c r="E1096" s="14">
        <f t="shared" si="35"/>
        <v>-1.9193007112413736E-3</v>
      </c>
    </row>
    <row r="1097" spans="1:5" x14ac:dyDescent="0.35">
      <c r="A1097" s="9">
        <v>44361</v>
      </c>
      <c r="B1097" s="10">
        <v>71.5</v>
      </c>
      <c r="C1097" s="11">
        <v>48726.080000000002</v>
      </c>
      <c r="D1097" s="14">
        <f t="shared" si="34"/>
        <v>7.0422535211267607E-3</v>
      </c>
      <c r="E1097" s="14">
        <f t="shared" si="35"/>
        <v>8.7229570940479638E-3</v>
      </c>
    </row>
    <row r="1098" spans="1:5" x14ac:dyDescent="0.35">
      <c r="A1098" s="9">
        <v>44358</v>
      </c>
      <c r="B1098" s="10">
        <v>71</v>
      </c>
      <c r="C1098" s="11">
        <v>48304.72</v>
      </c>
      <c r="D1098" s="14">
        <f t="shared" si="34"/>
        <v>8.5227272727271906E-3</v>
      </c>
      <c r="E1098" s="14">
        <f t="shared" si="35"/>
        <v>1.1031783681706658E-3</v>
      </c>
    </row>
    <row r="1099" spans="1:5" x14ac:dyDescent="0.35">
      <c r="A1099" s="9">
        <v>44357</v>
      </c>
      <c r="B1099" s="10">
        <v>70.400000000000006</v>
      </c>
      <c r="C1099" s="11">
        <v>48251.49</v>
      </c>
      <c r="D1099" s="14">
        <f t="shared" si="34"/>
        <v>4.9964311206282443E-3</v>
      </c>
      <c r="E1099" s="14">
        <f t="shared" si="35"/>
        <v>9.9182420555899466E-3</v>
      </c>
    </row>
    <row r="1100" spans="1:5" x14ac:dyDescent="0.35">
      <c r="A1100" s="9">
        <v>44356</v>
      </c>
      <c r="B1100" s="10">
        <v>70.05</v>
      </c>
      <c r="C1100" s="11">
        <v>47777.62</v>
      </c>
      <c r="D1100" s="14">
        <f t="shared" si="34"/>
        <v>-1.2545813363405703E-2</v>
      </c>
      <c r="E1100" s="14">
        <f t="shared" si="35"/>
        <v>-7.6921191709392704E-3</v>
      </c>
    </row>
    <row r="1101" spans="1:5" x14ac:dyDescent="0.35">
      <c r="A1101" s="9">
        <v>44355</v>
      </c>
      <c r="B1101" s="10">
        <v>70.94</v>
      </c>
      <c r="C1101" s="11">
        <v>48147.98</v>
      </c>
      <c r="D1101" s="14">
        <f t="shared" si="34"/>
        <v>9.8220640569394689E-3</v>
      </c>
      <c r="E1101" s="14">
        <f t="shared" si="35"/>
        <v>-3.2023081130521649E-3</v>
      </c>
    </row>
    <row r="1102" spans="1:5" x14ac:dyDescent="0.35">
      <c r="A1102" s="9">
        <v>44354</v>
      </c>
      <c r="B1102" s="10">
        <v>70.25</v>
      </c>
      <c r="C1102" s="11">
        <v>48302.66</v>
      </c>
      <c r="D1102" s="14">
        <f t="shared" si="34"/>
        <v>-5.8024341919048483E-3</v>
      </c>
      <c r="E1102" s="14">
        <f t="shared" si="35"/>
        <v>1.8866789596717478E-3</v>
      </c>
    </row>
    <row r="1103" spans="1:5" x14ac:dyDescent="0.35">
      <c r="A1103" s="9">
        <v>44351</v>
      </c>
      <c r="B1103" s="10">
        <v>70.66</v>
      </c>
      <c r="C1103" s="11">
        <v>48211.7</v>
      </c>
      <c r="D1103" s="14">
        <f t="shared" si="34"/>
        <v>-6.8868587491217013E-3</v>
      </c>
      <c r="E1103" s="14">
        <f t="shared" si="35"/>
        <v>2.4570872630891986E-3</v>
      </c>
    </row>
    <row r="1104" spans="1:5" x14ac:dyDescent="0.35">
      <c r="A1104" s="9">
        <v>44350</v>
      </c>
      <c r="B1104" s="10">
        <v>71.150000000000006</v>
      </c>
      <c r="C1104" s="11">
        <v>48093.53</v>
      </c>
      <c r="D1104" s="14">
        <f t="shared" si="34"/>
        <v>-4.7559099174708241E-3</v>
      </c>
      <c r="E1104" s="14">
        <f t="shared" si="35"/>
        <v>-6.9337522258866905E-4</v>
      </c>
    </row>
    <row r="1105" spans="1:5" x14ac:dyDescent="0.35">
      <c r="A1105" s="9">
        <v>44349</v>
      </c>
      <c r="B1105" s="10">
        <v>71.489999999999995</v>
      </c>
      <c r="C1105" s="11">
        <v>48126.9</v>
      </c>
      <c r="D1105" s="14">
        <f t="shared" si="34"/>
        <v>-1.3986013986021142E-4</v>
      </c>
      <c r="E1105" s="14">
        <f t="shared" si="35"/>
        <v>-1.3355118749748519E-3</v>
      </c>
    </row>
    <row r="1106" spans="1:5" x14ac:dyDescent="0.35">
      <c r="A1106" s="9">
        <v>44348</v>
      </c>
      <c r="B1106" s="10">
        <v>71.5</v>
      </c>
      <c r="C1106" s="11">
        <v>48191.26</v>
      </c>
      <c r="D1106" s="14">
        <f t="shared" si="34"/>
        <v>-6.8065009029031108E-3</v>
      </c>
      <c r="E1106" s="14">
        <f t="shared" si="35"/>
        <v>6.157464223780054E-3</v>
      </c>
    </row>
    <row r="1107" spans="1:5" x14ac:dyDescent="0.35">
      <c r="A1107" s="9">
        <v>44347</v>
      </c>
      <c r="B1107" s="10">
        <v>71.989999999999995</v>
      </c>
      <c r="C1107" s="11">
        <v>47896.34</v>
      </c>
      <c r="D1107" s="14">
        <f t="shared" si="34"/>
        <v>5.4469273743016841E-3</v>
      </c>
      <c r="E1107" s="14">
        <f t="shared" si="35"/>
        <v>1.6340136259399916E-2</v>
      </c>
    </row>
    <row r="1108" spans="1:5" x14ac:dyDescent="0.35">
      <c r="A1108" s="9">
        <v>44344</v>
      </c>
      <c r="B1108" s="10">
        <v>71.599999999999994</v>
      </c>
      <c r="C1108" s="11">
        <v>47126.29</v>
      </c>
      <c r="D1108" s="14">
        <f t="shared" si="34"/>
        <v>-4.1881893061567973E-4</v>
      </c>
      <c r="E1108" s="14">
        <f t="shared" si="35"/>
        <v>7.171075479662131E-3</v>
      </c>
    </row>
    <row r="1109" spans="1:5" x14ac:dyDescent="0.35">
      <c r="A1109" s="9">
        <v>44343</v>
      </c>
      <c r="B1109" s="10">
        <v>71.63</v>
      </c>
      <c r="C1109" s="11">
        <v>46790.75</v>
      </c>
      <c r="D1109" s="14">
        <f t="shared" si="34"/>
        <v>-1.8632689409508147E-2</v>
      </c>
      <c r="E1109" s="14">
        <f t="shared" si="35"/>
        <v>-4.6056261696971742E-4</v>
      </c>
    </row>
    <row r="1110" spans="1:5" x14ac:dyDescent="0.35">
      <c r="A1110" s="9">
        <v>44342</v>
      </c>
      <c r="B1110" s="10">
        <v>72.989999999999995</v>
      </c>
      <c r="C1110" s="11">
        <v>46812.31</v>
      </c>
      <c r="D1110" s="14">
        <f t="shared" si="34"/>
        <v>3.2989690721648779E-3</v>
      </c>
      <c r="E1110" s="14">
        <f t="shared" si="35"/>
        <v>1.1050598414795689E-2</v>
      </c>
    </row>
    <row r="1111" spans="1:5" x14ac:dyDescent="0.35">
      <c r="A1111" s="9">
        <v>44341</v>
      </c>
      <c r="B1111" s="10">
        <v>72.75</v>
      </c>
      <c r="C1111" s="11">
        <v>46300.66</v>
      </c>
      <c r="D1111" s="14">
        <f t="shared" si="34"/>
        <v>2.464788732394366E-2</v>
      </c>
      <c r="E1111" s="14">
        <f t="shared" si="35"/>
        <v>4.4156781195177509E-3</v>
      </c>
    </row>
    <row r="1112" spans="1:5" x14ac:dyDescent="0.35">
      <c r="A1112" s="9">
        <v>44340</v>
      </c>
      <c r="B1112" s="10">
        <v>71</v>
      </c>
      <c r="C1112" s="11">
        <v>46097.11</v>
      </c>
      <c r="D1112" s="14">
        <f t="shared" si="34"/>
        <v>-2.6730637422892431E-2</v>
      </c>
      <c r="E1112" s="14">
        <f t="shared" si="35"/>
        <v>3.966679284189983E-3</v>
      </c>
    </row>
    <row r="1113" spans="1:5" x14ac:dyDescent="0.35">
      <c r="A1113" s="9">
        <v>44337</v>
      </c>
      <c r="B1113" s="10">
        <v>72.95</v>
      </c>
      <c r="C1113" s="11">
        <v>45914.98</v>
      </c>
      <c r="D1113" s="14">
        <f t="shared" si="34"/>
        <v>5.3581744656268172E-2</v>
      </c>
      <c r="E1113" s="14">
        <f t="shared" si="35"/>
        <v>7.4803501201451501E-3</v>
      </c>
    </row>
    <row r="1114" spans="1:5" x14ac:dyDescent="0.35">
      <c r="A1114" s="9">
        <v>44336</v>
      </c>
      <c r="B1114" s="10">
        <v>69.239999999999995</v>
      </c>
      <c r="C1114" s="11">
        <v>45574.07</v>
      </c>
      <c r="D1114" s="14">
        <f t="shared" si="34"/>
        <v>-1.4440433213003777E-4</v>
      </c>
      <c r="E1114" s="14">
        <f t="shared" si="35"/>
        <v>-2.3650396183539E-3</v>
      </c>
    </row>
    <row r="1115" spans="1:5" x14ac:dyDescent="0.35">
      <c r="A1115" s="9">
        <v>44335</v>
      </c>
      <c r="B1115" s="10">
        <v>69.25</v>
      </c>
      <c r="C1115" s="11">
        <v>45682.11</v>
      </c>
      <c r="D1115" s="14">
        <f t="shared" si="34"/>
        <v>3.6231884057971015E-3</v>
      </c>
      <c r="E1115" s="14">
        <f t="shared" si="35"/>
        <v>-6.5180108138390156E-3</v>
      </c>
    </row>
    <row r="1116" spans="1:5" x14ac:dyDescent="0.35">
      <c r="A1116" s="9">
        <v>44334</v>
      </c>
      <c r="B1116" s="10">
        <v>69</v>
      </c>
      <c r="C1116" s="11">
        <v>45981.82</v>
      </c>
      <c r="D1116" s="14">
        <f t="shared" si="34"/>
        <v>2.9069767441860881E-3</v>
      </c>
      <c r="E1116" s="14">
        <f t="shared" si="35"/>
        <v>4.0507630418259036E-3</v>
      </c>
    </row>
    <row r="1117" spans="1:5" x14ac:dyDescent="0.35">
      <c r="A1117" s="9">
        <v>44333</v>
      </c>
      <c r="B1117" s="10">
        <v>68.8</v>
      </c>
      <c r="C1117" s="11">
        <v>45796.31</v>
      </c>
      <c r="D1117" s="14">
        <f t="shared" si="34"/>
        <v>-2.030751378009872E-3</v>
      </c>
      <c r="E1117" s="14">
        <f t="shared" si="35"/>
        <v>1.376080887807259E-2</v>
      </c>
    </row>
    <row r="1118" spans="1:5" x14ac:dyDescent="0.35">
      <c r="A1118" s="9">
        <v>44322</v>
      </c>
      <c r="B1118" s="10">
        <v>68.94</v>
      </c>
      <c r="C1118" s="11">
        <v>45174.67</v>
      </c>
      <c r="D1118" s="14">
        <f t="shared" si="34"/>
        <v>6.4233576642335434E-3</v>
      </c>
      <c r="E1118" s="14">
        <f t="shared" si="35"/>
        <v>5.1411090475375178E-3</v>
      </c>
    </row>
    <row r="1119" spans="1:5" x14ac:dyDescent="0.35">
      <c r="A1119" s="9">
        <v>44321</v>
      </c>
      <c r="B1119" s="10">
        <v>68.5</v>
      </c>
      <c r="C1119" s="11">
        <v>44943.61</v>
      </c>
      <c r="D1119" s="14">
        <f t="shared" si="34"/>
        <v>-1.7921146953405017E-2</v>
      </c>
      <c r="E1119" s="14">
        <f t="shared" si="35"/>
        <v>8.5275894513885467E-3</v>
      </c>
    </row>
    <row r="1120" spans="1:5" x14ac:dyDescent="0.35">
      <c r="A1120" s="9">
        <v>44320</v>
      </c>
      <c r="B1120" s="10">
        <v>69.75</v>
      </c>
      <c r="C1120" s="11">
        <v>44563.59</v>
      </c>
      <c r="D1120" s="14">
        <f t="shared" si="34"/>
        <v>7.1736011477757753E-4</v>
      </c>
      <c r="E1120" s="14">
        <f t="shared" si="35"/>
        <v>1.1057895190601718E-2</v>
      </c>
    </row>
    <row r="1121" spans="1:5" x14ac:dyDescent="0.35">
      <c r="A1121" s="9">
        <v>44319</v>
      </c>
      <c r="B1121" s="10">
        <v>69.7</v>
      </c>
      <c r="C1121" s="11">
        <v>44076.2</v>
      </c>
      <c r="D1121" s="14">
        <f t="shared" si="34"/>
        <v>1.0144927536231925E-2</v>
      </c>
      <c r="E1121" s="14">
        <f t="shared" si="35"/>
        <v>-4.2056058930445735E-3</v>
      </c>
    </row>
    <row r="1122" spans="1:5" x14ac:dyDescent="0.35">
      <c r="A1122" s="9">
        <v>44316</v>
      </c>
      <c r="B1122" s="10">
        <v>69</v>
      </c>
      <c r="C1122" s="11">
        <v>44262.35</v>
      </c>
      <c r="D1122" s="14">
        <f t="shared" si="34"/>
        <v>-7.1942446043165471E-3</v>
      </c>
      <c r="E1122" s="14">
        <f t="shared" si="35"/>
        <v>-1.3390957514982845E-2</v>
      </c>
    </row>
    <row r="1123" spans="1:5" x14ac:dyDescent="0.35">
      <c r="A1123" s="9">
        <v>44315</v>
      </c>
      <c r="B1123" s="10">
        <v>69.5</v>
      </c>
      <c r="C1123" s="11">
        <v>44863.11</v>
      </c>
      <c r="D1123" s="14">
        <f t="shared" si="34"/>
        <v>-1.9746121297602334E-2</v>
      </c>
      <c r="E1123" s="14">
        <f t="shared" si="35"/>
        <v>-4.3500627619891827E-3</v>
      </c>
    </row>
    <row r="1124" spans="1:5" x14ac:dyDescent="0.35">
      <c r="A1124" s="9">
        <v>44314</v>
      </c>
      <c r="B1124" s="10">
        <v>70.900000000000006</v>
      </c>
      <c r="C1124" s="11">
        <v>45059.12</v>
      </c>
      <c r="D1124" s="14">
        <f t="shared" si="34"/>
        <v>-8.3916083916083118E-3</v>
      </c>
      <c r="E1124" s="14">
        <f t="shared" si="35"/>
        <v>-5.1608564438508754E-3</v>
      </c>
    </row>
    <row r="1125" spans="1:5" x14ac:dyDescent="0.35">
      <c r="A1125" s="9">
        <v>44313</v>
      </c>
      <c r="B1125" s="10">
        <v>71.5</v>
      </c>
      <c r="C1125" s="11">
        <v>45292.87</v>
      </c>
      <c r="D1125" s="14">
        <f t="shared" si="34"/>
        <v>0</v>
      </c>
      <c r="E1125" s="14">
        <f t="shared" si="35"/>
        <v>-8.5349465454917506E-3</v>
      </c>
    </row>
    <row r="1126" spans="1:5" x14ac:dyDescent="0.35">
      <c r="A1126" s="9">
        <v>44312</v>
      </c>
      <c r="B1126" s="10">
        <v>71.5</v>
      </c>
      <c r="C1126" s="11">
        <v>45682.77</v>
      </c>
      <c r="D1126" s="14">
        <f t="shared" si="34"/>
        <v>-3.4843205574912892E-3</v>
      </c>
      <c r="E1126" s="14">
        <f t="shared" si="35"/>
        <v>2.1831374047235692E-2</v>
      </c>
    </row>
    <row r="1127" spans="1:5" x14ac:dyDescent="0.35">
      <c r="A1127" s="9">
        <v>44309</v>
      </c>
      <c r="B1127" s="10">
        <v>71.75</v>
      </c>
      <c r="C1127" s="11">
        <v>44706.76</v>
      </c>
      <c r="D1127" s="14">
        <f t="shared" si="34"/>
        <v>-1.6449623029472279E-2</v>
      </c>
      <c r="E1127" s="14">
        <f t="shared" si="35"/>
        <v>-4.9599807343085897E-3</v>
      </c>
    </row>
    <row r="1128" spans="1:5" x14ac:dyDescent="0.35">
      <c r="A1128" s="9">
        <v>44308</v>
      </c>
      <c r="B1128" s="10">
        <v>72.95</v>
      </c>
      <c r="C1128" s="11">
        <v>44929.61</v>
      </c>
      <c r="D1128" s="14">
        <f t="shared" si="34"/>
        <v>-2.0519835841312103E-3</v>
      </c>
      <c r="E1128" s="14">
        <f t="shared" si="35"/>
        <v>-8.3195494513595668E-3</v>
      </c>
    </row>
    <row r="1129" spans="1:5" x14ac:dyDescent="0.35">
      <c r="A1129" s="9">
        <v>44307</v>
      </c>
      <c r="B1129" s="10">
        <v>73.099999999999994</v>
      </c>
      <c r="C1129" s="11">
        <v>45306.54</v>
      </c>
      <c r="D1129" s="14">
        <f t="shared" si="34"/>
        <v>1.5277777777777699E-2</v>
      </c>
      <c r="E1129" s="14">
        <f t="shared" si="35"/>
        <v>-2.0537544455060787E-3</v>
      </c>
    </row>
    <row r="1130" spans="1:5" x14ac:dyDescent="0.35">
      <c r="A1130" s="9">
        <v>44306</v>
      </c>
      <c r="B1130" s="10">
        <v>72</v>
      </c>
      <c r="C1130" s="11">
        <v>45399.78</v>
      </c>
      <c r="D1130" s="14">
        <f t="shared" si="34"/>
        <v>1.3941698352344668E-2</v>
      </c>
      <c r="E1130" s="14">
        <f t="shared" si="35"/>
        <v>1.0825458764466934E-2</v>
      </c>
    </row>
    <row r="1131" spans="1:5" x14ac:dyDescent="0.35">
      <c r="A1131" s="9">
        <v>44305</v>
      </c>
      <c r="B1131" s="10">
        <v>71.010000000000005</v>
      </c>
      <c r="C1131" s="11">
        <v>44913.57</v>
      </c>
      <c r="D1131" s="14">
        <f t="shared" si="34"/>
        <v>2.9661016949153666E-3</v>
      </c>
      <c r="E1131" s="14">
        <f t="shared" si="35"/>
        <v>-8.653670636519074E-3</v>
      </c>
    </row>
    <row r="1132" spans="1:5" x14ac:dyDescent="0.35">
      <c r="A1132" s="9">
        <v>44302</v>
      </c>
      <c r="B1132" s="10">
        <v>70.8</v>
      </c>
      <c r="C1132" s="11">
        <v>45305.63</v>
      </c>
      <c r="D1132" s="14">
        <f t="shared" si="34"/>
        <v>9.985734664764663E-3</v>
      </c>
      <c r="E1132" s="14">
        <f t="shared" si="35"/>
        <v>1.6681339760309839E-3</v>
      </c>
    </row>
    <row r="1133" spans="1:5" x14ac:dyDescent="0.35">
      <c r="A1133" s="9">
        <v>44301</v>
      </c>
      <c r="B1133" s="10">
        <v>70.099999999999994</v>
      </c>
      <c r="C1133" s="11">
        <v>45230.18</v>
      </c>
      <c r="D1133" s="14">
        <f t="shared" si="34"/>
        <v>-1.2676056338028249E-2</v>
      </c>
      <c r="E1133" s="14">
        <f t="shared" si="35"/>
        <v>-1.7885194881091455E-3</v>
      </c>
    </row>
    <row r="1134" spans="1:5" x14ac:dyDescent="0.35">
      <c r="A1134" s="9">
        <v>44300</v>
      </c>
      <c r="B1134" s="10">
        <v>71</v>
      </c>
      <c r="C1134" s="11">
        <v>45311.22</v>
      </c>
      <c r="D1134" s="14">
        <f t="shared" si="34"/>
        <v>-1.3888888888888888E-2</v>
      </c>
      <c r="E1134" s="14">
        <f t="shared" si="35"/>
        <v>5.8303737499326054E-3</v>
      </c>
    </row>
    <row r="1135" spans="1:5" x14ac:dyDescent="0.35">
      <c r="A1135" s="9">
        <v>44299</v>
      </c>
      <c r="B1135" s="10">
        <v>72</v>
      </c>
      <c r="C1135" s="11">
        <v>45048.57</v>
      </c>
      <c r="D1135" s="14">
        <f t="shared" si="34"/>
        <v>4.0462427745664699E-2</v>
      </c>
      <c r="E1135" s="14">
        <f t="shared" si="35"/>
        <v>1.5678758861266062E-3</v>
      </c>
    </row>
    <row r="1136" spans="1:5" x14ac:dyDescent="0.35">
      <c r="A1136" s="9">
        <v>44298</v>
      </c>
      <c r="B1136" s="10">
        <v>69.2</v>
      </c>
      <c r="C1136" s="11">
        <v>44978.05</v>
      </c>
      <c r="D1136" s="14">
        <f t="shared" si="34"/>
        <v>-1.1428571428571389E-2</v>
      </c>
      <c r="E1136" s="14">
        <f t="shared" si="35"/>
        <v>-4.6126629027089579E-3</v>
      </c>
    </row>
    <row r="1137" spans="1:5" x14ac:dyDescent="0.35">
      <c r="A1137" s="9">
        <v>44295</v>
      </c>
      <c r="B1137" s="10">
        <v>70</v>
      </c>
      <c r="C1137" s="11">
        <v>45186.48</v>
      </c>
      <c r="D1137" s="14">
        <f t="shared" si="34"/>
        <v>7.0493454179254046E-3</v>
      </c>
      <c r="E1137" s="14">
        <f t="shared" si="35"/>
        <v>9.948736471131021E-3</v>
      </c>
    </row>
    <row r="1138" spans="1:5" x14ac:dyDescent="0.35">
      <c r="A1138" s="9">
        <v>44294</v>
      </c>
      <c r="B1138" s="10">
        <v>69.510000000000005</v>
      </c>
      <c r="C1138" s="11">
        <v>44741.36</v>
      </c>
      <c r="D1138" s="14">
        <f t="shared" si="34"/>
        <v>-4.1547277936961613E-3</v>
      </c>
      <c r="E1138" s="14">
        <f t="shared" si="35"/>
        <v>1.7922999673746685E-2</v>
      </c>
    </row>
    <row r="1139" spans="1:5" x14ac:dyDescent="0.35">
      <c r="A1139" s="9">
        <v>44293</v>
      </c>
      <c r="B1139" s="10">
        <v>69.8</v>
      </c>
      <c r="C1139" s="11">
        <v>43953.58</v>
      </c>
      <c r="D1139" s="14">
        <f t="shared" si="34"/>
        <v>-1.133144475920676E-2</v>
      </c>
      <c r="E1139" s="14">
        <f t="shared" si="35"/>
        <v>-1.015928494055799E-2</v>
      </c>
    </row>
    <row r="1140" spans="1:5" x14ac:dyDescent="0.35">
      <c r="A1140" s="9">
        <v>44292</v>
      </c>
      <c r="B1140" s="10">
        <v>70.599999999999994</v>
      </c>
      <c r="C1140" s="11">
        <v>44404.7</v>
      </c>
      <c r="D1140" s="14">
        <f t="shared" si="34"/>
        <v>1.4184397163119762E-3</v>
      </c>
      <c r="E1140" s="14">
        <f t="shared" si="35"/>
        <v>1.9667628129835829E-2</v>
      </c>
    </row>
    <row r="1141" spans="1:5" x14ac:dyDescent="0.35">
      <c r="A1141" s="9">
        <v>44291</v>
      </c>
      <c r="B1141" s="10">
        <v>70.5</v>
      </c>
      <c r="C1141" s="11">
        <v>43548.21</v>
      </c>
      <c r="D1141" s="14">
        <f t="shared" si="34"/>
        <v>0</v>
      </c>
      <c r="E1141" s="14">
        <f t="shared" si="35"/>
        <v>-1.69915092114277E-2</v>
      </c>
    </row>
    <row r="1142" spans="1:5" x14ac:dyDescent="0.35">
      <c r="A1142" s="9">
        <v>44288</v>
      </c>
      <c r="B1142" s="10">
        <v>70.5</v>
      </c>
      <c r="C1142" s="11">
        <v>44300.95</v>
      </c>
      <c r="D1142" s="14">
        <f t="shared" si="34"/>
        <v>7.1428571428571426E-3</v>
      </c>
      <c r="E1142" s="14">
        <f t="shared" si="35"/>
        <v>-2.8619274738285335E-3</v>
      </c>
    </row>
    <row r="1143" spans="1:5" x14ac:dyDescent="0.35">
      <c r="A1143" s="9">
        <v>44287</v>
      </c>
      <c r="B1143" s="10">
        <v>70</v>
      </c>
      <c r="C1143" s="11">
        <v>44428.1</v>
      </c>
      <c r="D1143" s="14">
        <f t="shared" si="34"/>
        <v>-7.0921985815602835E-3</v>
      </c>
      <c r="E1143" s="14">
        <f t="shared" si="35"/>
        <v>-3.5828146008385696E-3</v>
      </c>
    </row>
    <row r="1144" spans="1:5" x14ac:dyDescent="0.35">
      <c r="A1144" s="9">
        <v>44286</v>
      </c>
      <c r="B1144" s="10">
        <v>70.5</v>
      </c>
      <c r="C1144" s="11">
        <v>44587.85</v>
      </c>
      <c r="D1144" s="14">
        <f t="shared" si="34"/>
        <v>-7.3218811602364974E-3</v>
      </c>
      <c r="E1144" s="14">
        <f t="shared" si="35"/>
        <v>2.1761689940646397E-3</v>
      </c>
    </row>
    <row r="1145" spans="1:5" x14ac:dyDescent="0.35">
      <c r="A1145" s="9">
        <v>44285</v>
      </c>
      <c r="B1145" s="10">
        <v>71.02</v>
      </c>
      <c r="C1145" s="11">
        <v>44491.03</v>
      </c>
      <c r="D1145" s="14">
        <f t="shared" si="34"/>
        <v>-6.7132867132867688E-3</v>
      </c>
      <c r="E1145" s="14">
        <f t="shared" si="35"/>
        <v>1.3330542539351528E-3</v>
      </c>
    </row>
    <row r="1146" spans="1:5" x14ac:dyDescent="0.35">
      <c r="A1146" s="9">
        <v>44284</v>
      </c>
      <c r="B1146" s="10">
        <v>71.5</v>
      </c>
      <c r="C1146" s="11">
        <v>44431.8</v>
      </c>
      <c r="D1146" s="14">
        <f t="shared" si="34"/>
        <v>-7.3580452589199104E-3</v>
      </c>
      <c r="E1146" s="14">
        <f t="shared" si="35"/>
        <v>-2.3940926544150431E-2</v>
      </c>
    </row>
    <row r="1147" spans="1:5" x14ac:dyDescent="0.35">
      <c r="A1147" s="9">
        <v>44281</v>
      </c>
      <c r="B1147" s="10">
        <v>72.03</v>
      </c>
      <c r="C1147" s="11">
        <v>45521.63</v>
      </c>
      <c r="D1147" s="14">
        <f t="shared" si="34"/>
        <v>-1.3287671232876696E-2</v>
      </c>
      <c r="E1147" s="14">
        <f t="shared" si="35"/>
        <v>-4.4729319059375657E-3</v>
      </c>
    </row>
    <row r="1148" spans="1:5" x14ac:dyDescent="0.35">
      <c r="A1148" s="9">
        <v>44280</v>
      </c>
      <c r="B1148" s="10">
        <v>73</v>
      </c>
      <c r="C1148" s="11">
        <v>45726.16</v>
      </c>
      <c r="D1148" s="14">
        <f t="shared" si="34"/>
        <v>0</v>
      </c>
      <c r="E1148" s="14">
        <f t="shared" si="35"/>
        <v>3.9954602332372396E-3</v>
      </c>
    </row>
    <row r="1149" spans="1:5" x14ac:dyDescent="0.35">
      <c r="A1149" s="9">
        <v>44279</v>
      </c>
      <c r="B1149" s="10">
        <v>73</v>
      </c>
      <c r="C1149" s="11">
        <v>45544.19</v>
      </c>
      <c r="D1149" s="14">
        <f t="shared" si="34"/>
        <v>-2.2495982860203625E-2</v>
      </c>
      <c r="E1149" s="14">
        <f t="shared" si="35"/>
        <v>3.014050815143735E-3</v>
      </c>
    </row>
    <row r="1150" spans="1:5" x14ac:dyDescent="0.35">
      <c r="A1150" s="9">
        <v>44277</v>
      </c>
      <c r="B1150" s="10">
        <v>74.680000000000007</v>
      </c>
      <c r="C1150" s="11">
        <v>45407.33</v>
      </c>
      <c r="D1150" s="14">
        <f t="shared" si="34"/>
        <v>9.0528306985542713E-3</v>
      </c>
      <c r="E1150" s="14">
        <f t="shared" si="35"/>
        <v>1.1269604383480217E-2</v>
      </c>
    </row>
    <row r="1151" spans="1:5" x14ac:dyDescent="0.35">
      <c r="A1151" s="9">
        <v>44274</v>
      </c>
      <c r="B1151" s="10">
        <v>74.010000000000005</v>
      </c>
      <c r="C1151" s="11">
        <v>44901.31</v>
      </c>
      <c r="D1151" s="14">
        <f t="shared" si="34"/>
        <v>-1.293678314217123E-2</v>
      </c>
      <c r="E1151" s="14">
        <f t="shared" si="35"/>
        <v>3.9625177393212739E-3</v>
      </c>
    </row>
    <row r="1152" spans="1:5" x14ac:dyDescent="0.35">
      <c r="A1152" s="9">
        <v>44273</v>
      </c>
      <c r="B1152" s="10">
        <v>74.98</v>
      </c>
      <c r="C1152" s="11">
        <v>44724.09</v>
      </c>
      <c r="D1152" s="14">
        <f t="shared" si="34"/>
        <v>-2.6666666666661361E-4</v>
      </c>
      <c r="E1152" s="14">
        <f t="shared" si="35"/>
        <v>-1.5978328860683264E-2</v>
      </c>
    </row>
    <row r="1153" spans="1:5" x14ac:dyDescent="0.35">
      <c r="A1153" s="9">
        <v>44272</v>
      </c>
      <c r="B1153" s="10">
        <v>75</v>
      </c>
      <c r="C1153" s="11">
        <v>45450.31</v>
      </c>
      <c r="D1153" s="14">
        <f t="shared" si="34"/>
        <v>-6.7743940335612221E-2</v>
      </c>
      <c r="E1153" s="14">
        <f t="shared" si="35"/>
        <v>1.3225342900314912E-2</v>
      </c>
    </row>
    <row r="1154" spans="1:5" x14ac:dyDescent="0.35">
      <c r="A1154" s="9">
        <v>44271</v>
      </c>
      <c r="B1154" s="10">
        <v>80.45</v>
      </c>
      <c r="C1154" s="11">
        <v>44857.06</v>
      </c>
      <c r="D1154" s="14">
        <f t="shared" si="34"/>
        <v>-1.8610421836227232E-3</v>
      </c>
      <c r="E1154" s="14">
        <f t="shared" si="35"/>
        <v>2.0209267670376761E-3</v>
      </c>
    </row>
    <row r="1155" spans="1:5" x14ac:dyDescent="0.35">
      <c r="A1155" s="9">
        <v>44270</v>
      </c>
      <c r="B1155" s="10">
        <v>80.599999999999994</v>
      </c>
      <c r="C1155" s="11">
        <v>44766.59</v>
      </c>
      <c r="D1155" s="14">
        <f t="shared" si="34"/>
        <v>1.511335012594444E-2</v>
      </c>
      <c r="E1155" s="14">
        <f t="shared" si="35"/>
        <v>2.2346492470096763E-2</v>
      </c>
    </row>
    <row r="1156" spans="1:5" x14ac:dyDescent="0.35">
      <c r="A1156" s="9">
        <v>44267</v>
      </c>
      <c r="B1156" s="10">
        <v>79.400000000000006</v>
      </c>
      <c r="C1156" s="11">
        <v>43788.08</v>
      </c>
      <c r="D1156" s="14">
        <f t="shared" si="34"/>
        <v>1.1464968152866314E-2</v>
      </c>
      <c r="E1156" s="14">
        <f t="shared" si="35"/>
        <v>2.3570024703270884E-2</v>
      </c>
    </row>
    <row r="1157" spans="1:5" x14ac:dyDescent="0.35">
      <c r="A1157" s="9">
        <v>44266</v>
      </c>
      <c r="B1157" s="10">
        <v>78.5</v>
      </c>
      <c r="C1157" s="11">
        <v>42779.76</v>
      </c>
      <c r="D1157" s="14">
        <f t="shared" ref="D1157:D1220" si="36">(B1157-B1158)/B1158</f>
        <v>-1.2578616352201259E-2</v>
      </c>
      <c r="E1157" s="14">
        <f t="shared" ref="E1157:E1220" si="37">(C1157-C1158)/C1158</f>
        <v>-2.0871708297781139E-2</v>
      </c>
    </row>
    <row r="1158" spans="1:5" x14ac:dyDescent="0.35">
      <c r="A1158" s="9">
        <v>44265</v>
      </c>
      <c r="B1158" s="10">
        <v>79.5</v>
      </c>
      <c r="C1158" s="11">
        <v>43691.68</v>
      </c>
      <c r="D1158" s="14">
        <f t="shared" si="36"/>
        <v>-6.2500000000000003E-3</v>
      </c>
      <c r="E1158" s="14">
        <f t="shared" si="37"/>
        <v>-1.2012551865085385E-2</v>
      </c>
    </row>
    <row r="1159" spans="1:5" x14ac:dyDescent="0.35">
      <c r="A1159" s="9">
        <v>44264</v>
      </c>
      <c r="B1159" s="10">
        <v>80</v>
      </c>
      <c r="C1159" s="11">
        <v>44222.91</v>
      </c>
      <c r="D1159" s="14">
        <f t="shared" si="36"/>
        <v>1.2658227848101266E-2</v>
      </c>
      <c r="E1159" s="14">
        <f t="shared" si="37"/>
        <v>-1.8382257461257826E-2</v>
      </c>
    </row>
    <row r="1160" spans="1:5" x14ac:dyDescent="0.35">
      <c r="A1160" s="9">
        <v>44263</v>
      </c>
      <c r="B1160" s="10">
        <v>79</v>
      </c>
      <c r="C1160" s="11">
        <v>45051.05</v>
      </c>
      <c r="D1160" s="14">
        <f t="shared" si="36"/>
        <v>-2.4450481600395209E-2</v>
      </c>
      <c r="E1160" s="14">
        <f t="shared" si="37"/>
        <v>-1.7154133037795501E-2</v>
      </c>
    </row>
    <row r="1161" spans="1:5" x14ac:dyDescent="0.35">
      <c r="A1161" s="9">
        <v>44260</v>
      </c>
      <c r="B1161" s="10">
        <v>80.98</v>
      </c>
      <c r="C1161" s="11">
        <v>45837.35</v>
      </c>
      <c r="D1161" s="14">
        <f t="shared" si="36"/>
        <v>2.5063291139240558E-2</v>
      </c>
      <c r="E1161" s="14">
        <f t="shared" si="37"/>
        <v>1.2341831768831711E-2</v>
      </c>
    </row>
    <row r="1162" spans="1:5" x14ac:dyDescent="0.35">
      <c r="A1162" s="9">
        <v>44259</v>
      </c>
      <c r="B1162" s="10">
        <v>79</v>
      </c>
      <c r="C1162" s="11">
        <v>45278.53</v>
      </c>
      <c r="D1162" s="14">
        <f t="shared" si="36"/>
        <v>-1.2623422072241033E-2</v>
      </c>
      <c r="E1162" s="14">
        <f t="shared" si="37"/>
        <v>-1.9112545325273966E-2</v>
      </c>
    </row>
    <row r="1163" spans="1:5" x14ac:dyDescent="0.35">
      <c r="A1163" s="9">
        <v>44258</v>
      </c>
      <c r="B1163" s="10">
        <v>80.010000000000005</v>
      </c>
      <c r="C1163" s="11">
        <v>46160.78</v>
      </c>
      <c r="D1163" s="14">
        <f t="shared" si="36"/>
        <v>0</v>
      </c>
      <c r="E1163" s="14">
        <f t="shared" si="37"/>
        <v>4.275277296909144E-3</v>
      </c>
    </row>
    <row r="1164" spans="1:5" x14ac:dyDescent="0.35">
      <c r="A1164" s="9">
        <v>44257</v>
      </c>
      <c r="B1164" s="10">
        <v>80.010000000000005</v>
      </c>
      <c r="C1164" s="11">
        <v>45964.27</v>
      </c>
      <c r="D1164" s="14">
        <f t="shared" si="36"/>
        <v>0</v>
      </c>
      <c r="E1164" s="14">
        <f t="shared" si="37"/>
        <v>8.133628024914916E-3</v>
      </c>
    </row>
    <row r="1165" spans="1:5" x14ac:dyDescent="0.35">
      <c r="A1165" s="9">
        <v>44256</v>
      </c>
      <c r="B1165" s="10">
        <v>80.010000000000005</v>
      </c>
      <c r="C1165" s="11">
        <v>45593.43</v>
      </c>
      <c r="D1165" s="14">
        <f t="shared" si="36"/>
        <v>-6.3338301043217946E-3</v>
      </c>
      <c r="E1165" s="14">
        <f t="shared" si="37"/>
        <v>-5.9215061936089101E-3</v>
      </c>
    </row>
    <row r="1166" spans="1:5" x14ac:dyDescent="0.35">
      <c r="A1166" s="9">
        <v>44253</v>
      </c>
      <c r="B1166" s="10">
        <v>80.52</v>
      </c>
      <c r="C1166" s="11">
        <v>45865.02</v>
      </c>
      <c r="D1166" s="14">
        <f t="shared" si="36"/>
        <v>-5.9259259259259751E-3</v>
      </c>
      <c r="E1166" s="14">
        <f t="shared" si="37"/>
        <v>-2.1885922565605732E-3</v>
      </c>
    </row>
    <row r="1167" spans="1:5" x14ac:dyDescent="0.35">
      <c r="A1167" s="9">
        <v>44252</v>
      </c>
      <c r="B1167" s="10">
        <v>81</v>
      </c>
      <c r="C1167" s="11">
        <v>45965.62</v>
      </c>
      <c r="D1167" s="14">
        <f t="shared" si="36"/>
        <v>6.2111801242236021E-3</v>
      </c>
      <c r="E1167" s="14">
        <f t="shared" si="37"/>
        <v>1.329377650036662E-2</v>
      </c>
    </row>
    <row r="1168" spans="1:5" x14ac:dyDescent="0.35">
      <c r="A1168" s="9">
        <v>44251</v>
      </c>
      <c r="B1168" s="10">
        <v>80.5</v>
      </c>
      <c r="C1168" s="11">
        <v>45362.58</v>
      </c>
      <c r="D1168" s="14">
        <f t="shared" si="36"/>
        <v>-7.447864945382606E-4</v>
      </c>
      <c r="E1168" s="14">
        <f t="shared" si="37"/>
        <v>-8.0074351474728311E-3</v>
      </c>
    </row>
    <row r="1169" spans="1:5" x14ac:dyDescent="0.35">
      <c r="A1169" s="9">
        <v>44250</v>
      </c>
      <c r="B1169" s="10">
        <v>80.56</v>
      </c>
      <c r="C1169" s="11">
        <v>45728.75</v>
      </c>
      <c r="D1169" s="14">
        <f t="shared" si="36"/>
        <v>-1.5640273704789848E-2</v>
      </c>
      <c r="E1169" s="14">
        <f t="shared" si="37"/>
        <v>-3.5147060233549779E-3</v>
      </c>
    </row>
    <row r="1170" spans="1:5" x14ac:dyDescent="0.35">
      <c r="A1170" s="9">
        <v>44249</v>
      </c>
      <c r="B1170" s="10">
        <v>81.84</v>
      </c>
      <c r="C1170" s="11">
        <v>45890.04</v>
      </c>
      <c r="D1170" s="14">
        <f t="shared" si="36"/>
        <v>-6.7961165048543958E-3</v>
      </c>
      <c r="E1170" s="14">
        <f t="shared" si="37"/>
        <v>-7.3032049000976811E-3</v>
      </c>
    </row>
    <row r="1171" spans="1:5" x14ac:dyDescent="0.35">
      <c r="A1171" s="9">
        <v>44246</v>
      </c>
      <c r="B1171" s="10">
        <v>82.4</v>
      </c>
      <c r="C1171" s="11">
        <v>46227.65</v>
      </c>
      <c r="D1171" s="14">
        <f t="shared" si="36"/>
        <v>-9.6153846153845812E-3</v>
      </c>
      <c r="E1171" s="14">
        <f t="shared" si="37"/>
        <v>1.8401594703739634E-3</v>
      </c>
    </row>
    <row r="1172" spans="1:5" x14ac:dyDescent="0.35">
      <c r="A1172" s="9">
        <v>44245</v>
      </c>
      <c r="B1172" s="10">
        <v>83.2</v>
      </c>
      <c r="C1172" s="11">
        <v>46142.74</v>
      </c>
      <c r="D1172" s="14">
        <f t="shared" si="36"/>
        <v>-1.3633669235328886E-2</v>
      </c>
      <c r="E1172" s="14">
        <f t="shared" si="37"/>
        <v>-1.3372351348589049E-2</v>
      </c>
    </row>
    <row r="1173" spans="1:5" x14ac:dyDescent="0.35">
      <c r="A1173" s="9">
        <v>44244</v>
      </c>
      <c r="B1173" s="10">
        <v>84.35</v>
      </c>
      <c r="C1173" s="11">
        <v>46768.14</v>
      </c>
      <c r="D1173" s="14">
        <f t="shared" si="36"/>
        <v>2.7906409943943358E-2</v>
      </c>
      <c r="E1173" s="14">
        <f t="shared" si="37"/>
        <v>-2.1296002918838497E-3</v>
      </c>
    </row>
    <row r="1174" spans="1:5" x14ac:dyDescent="0.35">
      <c r="A1174" s="9">
        <v>44243</v>
      </c>
      <c r="B1174" s="10">
        <v>82.06</v>
      </c>
      <c r="C1174" s="11">
        <v>46867.95</v>
      </c>
      <c r="D1174" s="14">
        <f t="shared" si="36"/>
        <v>-4.1262135922330509E-3</v>
      </c>
      <c r="E1174" s="14">
        <f t="shared" si="37"/>
        <v>1.0616792152940816E-2</v>
      </c>
    </row>
    <row r="1175" spans="1:5" x14ac:dyDescent="0.35">
      <c r="A1175" s="9">
        <v>44242</v>
      </c>
      <c r="B1175" s="10">
        <v>82.4</v>
      </c>
      <c r="C1175" s="11">
        <v>46375.59</v>
      </c>
      <c r="D1175" s="14">
        <f t="shared" si="36"/>
        <v>-1.317365269461071E-2</v>
      </c>
      <c r="E1175" s="14">
        <f t="shared" si="37"/>
        <v>1.238267425421901E-2</v>
      </c>
    </row>
    <row r="1176" spans="1:5" x14ac:dyDescent="0.35">
      <c r="A1176" s="9">
        <v>44239</v>
      </c>
      <c r="B1176" s="10">
        <v>83.5</v>
      </c>
      <c r="C1176" s="11">
        <v>45808.36</v>
      </c>
      <c r="D1176" s="14">
        <f t="shared" si="36"/>
        <v>-1.533018867924525E-2</v>
      </c>
      <c r="E1176" s="14">
        <f t="shared" si="37"/>
        <v>-5.3665662661065653E-3</v>
      </c>
    </row>
    <row r="1177" spans="1:5" x14ac:dyDescent="0.35">
      <c r="A1177" s="9">
        <v>44238</v>
      </c>
      <c r="B1177" s="10">
        <v>84.8</v>
      </c>
      <c r="C1177" s="11">
        <v>46055.519999999997</v>
      </c>
      <c r="D1177" s="14">
        <f t="shared" si="36"/>
        <v>5.8997050147489274E-4</v>
      </c>
      <c r="E1177" s="14">
        <f t="shared" si="37"/>
        <v>-1.2622552513930517E-2</v>
      </c>
    </row>
    <row r="1178" spans="1:5" x14ac:dyDescent="0.35">
      <c r="A1178" s="9">
        <v>44237</v>
      </c>
      <c r="B1178" s="10">
        <v>84.75</v>
      </c>
      <c r="C1178" s="11">
        <v>46644.29</v>
      </c>
      <c r="D1178" s="14">
        <f t="shared" si="36"/>
        <v>2.9585798816568047E-3</v>
      </c>
      <c r="E1178" s="14">
        <f t="shared" si="37"/>
        <v>-6.5302946324097429E-4</v>
      </c>
    </row>
    <row r="1179" spans="1:5" x14ac:dyDescent="0.35">
      <c r="A1179" s="9">
        <v>44236</v>
      </c>
      <c r="B1179" s="10">
        <v>84.5</v>
      </c>
      <c r="C1179" s="11">
        <v>46674.77</v>
      </c>
      <c r="D1179" s="14">
        <f t="shared" si="36"/>
        <v>-6.5835880554902691E-3</v>
      </c>
      <c r="E1179" s="14">
        <f t="shared" si="37"/>
        <v>-1.0080932120226742E-3</v>
      </c>
    </row>
    <row r="1180" spans="1:5" x14ac:dyDescent="0.35">
      <c r="A1180" s="9">
        <v>44235</v>
      </c>
      <c r="B1180" s="10">
        <v>85.06</v>
      </c>
      <c r="C1180" s="11">
        <v>46721.87</v>
      </c>
      <c r="D1180" s="14">
        <f t="shared" si="36"/>
        <v>-1.0700162828564801E-2</v>
      </c>
      <c r="E1180" s="14">
        <f t="shared" si="37"/>
        <v>-3.9210511111740839E-3</v>
      </c>
    </row>
    <row r="1181" spans="1:5" x14ac:dyDescent="0.35">
      <c r="A1181" s="9">
        <v>44231</v>
      </c>
      <c r="B1181" s="10">
        <v>85.98</v>
      </c>
      <c r="C1181" s="11">
        <v>46905.79</v>
      </c>
      <c r="D1181" s="14">
        <f t="shared" si="36"/>
        <v>9.3131548311988692E-4</v>
      </c>
      <c r="E1181" s="14">
        <f t="shared" si="37"/>
        <v>-5.9317806868969031E-4</v>
      </c>
    </row>
    <row r="1182" spans="1:5" x14ac:dyDescent="0.35">
      <c r="A1182" s="9">
        <v>44230</v>
      </c>
      <c r="B1182" s="10">
        <v>85.9</v>
      </c>
      <c r="C1182" s="11">
        <v>46933.63</v>
      </c>
      <c r="D1182" s="14">
        <f t="shared" si="36"/>
        <v>1.4167650531286928E-2</v>
      </c>
      <c r="E1182" s="14">
        <f t="shared" si="37"/>
        <v>7.5845302975461517E-3</v>
      </c>
    </row>
    <row r="1183" spans="1:5" x14ac:dyDescent="0.35">
      <c r="A1183" s="9">
        <v>44229</v>
      </c>
      <c r="B1183" s="10">
        <v>84.7</v>
      </c>
      <c r="C1183" s="11">
        <v>46580.34</v>
      </c>
      <c r="D1183" s="14">
        <f t="shared" si="36"/>
        <v>8.3333333333333679E-3</v>
      </c>
      <c r="E1183" s="14">
        <f t="shared" si="37"/>
        <v>7.1762405010329959E-3</v>
      </c>
    </row>
    <row r="1184" spans="1:5" x14ac:dyDescent="0.35">
      <c r="A1184" s="9">
        <v>44228</v>
      </c>
      <c r="B1184" s="10">
        <v>84</v>
      </c>
      <c r="C1184" s="11">
        <v>46248.45</v>
      </c>
      <c r="D1184" s="14">
        <f t="shared" si="36"/>
        <v>-1.1764705882352941E-2</v>
      </c>
      <c r="E1184" s="14">
        <f t="shared" si="37"/>
        <v>-2.9554468914235726E-3</v>
      </c>
    </row>
    <row r="1185" spans="1:5" x14ac:dyDescent="0.35">
      <c r="A1185" s="9">
        <v>44225</v>
      </c>
      <c r="B1185" s="10">
        <v>85</v>
      </c>
      <c r="C1185" s="11">
        <v>46385.54</v>
      </c>
      <c r="D1185" s="14">
        <f t="shared" si="36"/>
        <v>0</v>
      </c>
      <c r="E1185" s="14">
        <f t="shared" si="37"/>
        <v>4.7543595347663047E-3</v>
      </c>
    </row>
    <row r="1186" spans="1:5" x14ac:dyDescent="0.35">
      <c r="A1186" s="9">
        <v>44224</v>
      </c>
      <c r="B1186" s="10">
        <v>85</v>
      </c>
      <c r="C1186" s="11">
        <v>46166.05</v>
      </c>
      <c r="D1186" s="14">
        <f t="shared" si="36"/>
        <v>-5.8479532163742687E-3</v>
      </c>
      <c r="E1186" s="14">
        <f t="shared" si="37"/>
        <v>-6.2869512828001147E-3</v>
      </c>
    </row>
    <row r="1187" spans="1:5" x14ac:dyDescent="0.35">
      <c r="A1187" s="9">
        <v>44223</v>
      </c>
      <c r="B1187" s="10">
        <v>85.5</v>
      </c>
      <c r="C1187" s="11">
        <v>46458.13</v>
      </c>
      <c r="D1187" s="14">
        <f t="shared" si="36"/>
        <v>-3.1479538300104469E-3</v>
      </c>
      <c r="E1187" s="14">
        <f t="shared" si="37"/>
        <v>3.6889104546422805E-3</v>
      </c>
    </row>
    <row r="1188" spans="1:5" x14ac:dyDescent="0.35">
      <c r="A1188" s="9">
        <v>44222</v>
      </c>
      <c r="B1188" s="10">
        <v>85.77</v>
      </c>
      <c r="C1188" s="11">
        <v>46287.38</v>
      </c>
      <c r="D1188" s="14">
        <f t="shared" si="36"/>
        <v>-2.6744186046512089E-3</v>
      </c>
      <c r="E1188" s="14">
        <f t="shared" si="37"/>
        <v>4.3339168592706843E-3</v>
      </c>
    </row>
    <row r="1189" spans="1:5" x14ac:dyDescent="0.35">
      <c r="A1189" s="9">
        <v>44221</v>
      </c>
      <c r="B1189" s="10">
        <v>86</v>
      </c>
      <c r="C1189" s="11">
        <v>46087.64</v>
      </c>
      <c r="D1189" s="14">
        <f t="shared" si="36"/>
        <v>2.7985074626865072E-3</v>
      </c>
      <c r="E1189" s="14">
        <f t="shared" si="37"/>
        <v>4.7876473466055783E-3</v>
      </c>
    </row>
    <row r="1190" spans="1:5" x14ac:dyDescent="0.35">
      <c r="A1190" s="9">
        <v>44218</v>
      </c>
      <c r="B1190" s="10">
        <v>85.76</v>
      </c>
      <c r="C1190" s="11">
        <v>45868.04</v>
      </c>
      <c r="D1190" s="14">
        <f t="shared" si="36"/>
        <v>-1.4252873563218332E-2</v>
      </c>
      <c r="E1190" s="14">
        <f t="shared" si="37"/>
        <v>-2.5317248479159752E-3</v>
      </c>
    </row>
    <row r="1191" spans="1:5" x14ac:dyDescent="0.35">
      <c r="A1191" s="9">
        <v>44217</v>
      </c>
      <c r="B1191" s="10">
        <v>87</v>
      </c>
      <c r="C1191" s="11">
        <v>45984.46</v>
      </c>
      <c r="D1191" s="14">
        <f t="shared" si="36"/>
        <v>4.5029442327675856E-3</v>
      </c>
      <c r="E1191" s="14">
        <f t="shared" si="37"/>
        <v>6.7325000317446128E-3</v>
      </c>
    </row>
    <row r="1192" spans="1:5" x14ac:dyDescent="0.35">
      <c r="A1192" s="9">
        <v>44216</v>
      </c>
      <c r="B1192" s="10">
        <v>86.61</v>
      </c>
      <c r="C1192" s="11">
        <v>45676.94</v>
      </c>
      <c r="D1192" s="14">
        <f t="shared" si="36"/>
        <v>-9.8319423802446498E-3</v>
      </c>
      <c r="E1192" s="14">
        <f t="shared" si="37"/>
        <v>-4.9297184533637576E-3</v>
      </c>
    </row>
    <row r="1193" spans="1:5" x14ac:dyDescent="0.35">
      <c r="A1193" s="9">
        <v>44215</v>
      </c>
      <c r="B1193" s="10">
        <v>87.47</v>
      </c>
      <c r="C1193" s="11">
        <v>45903.23</v>
      </c>
      <c r="D1193" s="14">
        <f t="shared" si="36"/>
        <v>-3.4285714285715586E-4</v>
      </c>
      <c r="E1193" s="14">
        <f t="shared" si="37"/>
        <v>3.8609844405936076E-3</v>
      </c>
    </row>
    <row r="1194" spans="1:5" x14ac:dyDescent="0.35">
      <c r="A1194" s="9">
        <v>44214</v>
      </c>
      <c r="B1194" s="10">
        <v>87.5</v>
      </c>
      <c r="C1194" s="11">
        <v>45726.68</v>
      </c>
      <c r="D1194" s="14">
        <f t="shared" si="36"/>
        <v>0</v>
      </c>
      <c r="E1194" s="14">
        <f t="shared" si="37"/>
        <v>-4.4484117480568615E-3</v>
      </c>
    </row>
    <row r="1195" spans="1:5" x14ac:dyDescent="0.35">
      <c r="A1195" s="9">
        <v>44211</v>
      </c>
      <c r="B1195" s="10">
        <v>87.5</v>
      </c>
      <c r="C1195" s="11">
        <v>45931</v>
      </c>
      <c r="D1195" s="14">
        <f t="shared" si="36"/>
        <v>-2.2805017103763149E-3</v>
      </c>
      <c r="E1195" s="14">
        <f t="shared" si="37"/>
        <v>-1.268772009171657E-3</v>
      </c>
    </row>
    <row r="1196" spans="1:5" x14ac:dyDescent="0.35">
      <c r="A1196" s="9">
        <v>44210</v>
      </c>
      <c r="B1196" s="10">
        <v>87.7</v>
      </c>
      <c r="C1196" s="11">
        <v>45989.35</v>
      </c>
      <c r="D1196" s="14">
        <f t="shared" si="36"/>
        <v>-3.4090909090908768E-3</v>
      </c>
      <c r="E1196" s="14">
        <f t="shared" si="37"/>
        <v>-2.2262017063279711E-3</v>
      </c>
    </row>
    <row r="1197" spans="1:5" x14ac:dyDescent="0.35">
      <c r="A1197" s="9">
        <v>44209</v>
      </c>
      <c r="B1197" s="10">
        <v>88</v>
      </c>
      <c r="C1197" s="11">
        <v>46091.96</v>
      </c>
      <c r="D1197" s="14">
        <f t="shared" si="36"/>
        <v>0</v>
      </c>
      <c r="E1197" s="14">
        <f t="shared" si="37"/>
        <v>3.7001840510569269E-3</v>
      </c>
    </row>
    <row r="1198" spans="1:5" x14ac:dyDescent="0.35">
      <c r="A1198" s="9">
        <v>44208</v>
      </c>
      <c r="B1198" s="10">
        <v>88</v>
      </c>
      <c r="C1198" s="11">
        <v>45922.04</v>
      </c>
      <c r="D1198" s="14">
        <f t="shared" si="36"/>
        <v>-4.524886877828118E-3</v>
      </c>
      <c r="E1198" s="14">
        <f t="shared" si="37"/>
        <v>6.9425958581239384E-3</v>
      </c>
    </row>
    <row r="1199" spans="1:5" x14ac:dyDescent="0.35">
      <c r="A1199" s="9">
        <v>44207</v>
      </c>
      <c r="B1199" s="10">
        <v>88.4</v>
      </c>
      <c r="C1199" s="11">
        <v>45605.42</v>
      </c>
      <c r="D1199" s="14">
        <f t="shared" si="36"/>
        <v>-5.6242969628796397E-3</v>
      </c>
      <c r="E1199" s="14">
        <f t="shared" si="37"/>
        <v>-1.0715301108284176E-3</v>
      </c>
    </row>
    <row r="1200" spans="1:5" x14ac:dyDescent="0.35">
      <c r="A1200" s="9">
        <v>44204</v>
      </c>
      <c r="B1200" s="10">
        <v>88.9</v>
      </c>
      <c r="C1200" s="11">
        <v>45654.34</v>
      </c>
      <c r="D1200" s="14">
        <f t="shared" si="36"/>
        <v>3.3720930232558205E-2</v>
      </c>
      <c r="E1200" s="14">
        <f t="shared" si="37"/>
        <v>6.8321345855530922E-3</v>
      </c>
    </row>
    <row r="1201" spans="1:5" x14ac:dyDescent="0.35">
      <c r="A1201" s="9">
        <v>44203</v>
      </c>
      <c r="B1201" s="10">
        <v>86</v>
      </c>
      <c r="C1201" s="11">
        <v>45344.54</v>
      </c>
      <c r="D1201" s="14">
        <f t="shared" si="36"/>
        <v>1.1764705882352941E-2</v>
      </c>
      <c r="E1201" s="14">
        <f t="shared" si="37"/>
        <v>4.2326804924190152E-3</v>
      </c>
    </row>
    <row r="1202" spans="1:5" x14ac:dyDescent="0.35">
      <c r="A1202" s="9">
        <v>44202</v>
      </c>
      <c r="B1202" s="10">
        <v>85</v>
      </c>
      <c r="C1202" s="11">
        <v>45153.42</v>
      </c>
      <c r="D1202" s="14">
        <f t="shared" si="36"/>
        <v>0</v>
      </c>
      <c r="E1202" s="14">
        <f t="shared" si="37"/>
        <v>1.1265065084479544E-2</v>
      </c>
    </row>
    <row r="1203" spans="1:5" x14ac:dyDescent="0.35">
      <c r="A1203" s="9">
        <v>44201</v>
      </c>
      <c r="B1203" s="10">
        <v>85</v>
      </c>
      <c r="C1203" s="11">
        <v>44650.43</v>
      </c>
      <c r="D1203" s="14">
        <f t="shared" si="36"/>
        <v>1.1766090128256402E-4</v>
      </c>
      <c r="E1203" s="14">
        <f t="shared" si="37"/>
        <v>-8.0628449870495081E-4</v>
      </c>
    </row>
    <row r="1204" spans="1:5" x14ac:dyDescent="0.35">
      <c r="A1204" s="9">
        <v>44200</v>
      </c>
      <c r="B1204" s="10">
        <v>84.99</v>
      </c>
      <c r="C1204" s="11">
        <v>44686.46</v>
      </c>
      <c r="D1204" s="14">
        <f t="shared" si="36"/>
        <v>1.3595706618962441E-2</v>
      </c>
      <c r="E1204" s="14">
        <f t="shared" si="37"/>
        <v>5.6635789966421862E-3</v>
      </c>
    </row>
    <row r="1205" spans="1:5" x14ac:dyDescent="0.35">
      <c r="A1205" s="9">
        <v>44197</v>
      </c>
      <c r="B1205" s="10">
        <v>83.85</v>
      </c>
      <c r="C1205" s="11">
        <v>44434.8</v>
      </c>
      <c r="D1205" s="14">
        <f t="shared" si="36"/>
        <v>-1.3529411764705949E-2</v>
      </c>
      <c r="E1205" s="14">
        <f t="shared" si="37"/>
        <v>1.552769053771229E-2</v>
      </c>
    </row>
    <row r="1206" spans="1:5" x14ac:dyDescent="0.35">
      <c r="A1206" s="9">
        <v>44196</v>
      </c>
      <c r="B1206" s="10">
        <v>85</v>
      </c>
      <c r="C1206" s="11">
        <v>43755.38</v>
      </c>
      <c r="D1206" s="14">
        <f t="shared" si="36"/>
        <v>1.1778563015311461E-3</v>
      </c>
      <c r="E1206" s="14">
        <f t="shared" si="37"/>
        <v>1.3873517099074429E-3</v>
      </c>
    </row>
    <row r="1207" spans="1:5" x14ac:dyDescent="0.35">
      <c r="A1207" s="9">
        <v>44195</v>
      </c>
      <c r="B1207" s="10">
        <v>84.9</v>
      </c>
      <c r="C1207" s="11">
        <v>43694.76</v>
      </c>
      <c r="D1207" s="14">
        <f t="shared" si="36"/>
        <v>1.6644713207999047E-2</v>
      </c>
      <c r="E1207" s="14">
        <f t="shared" si="37"/>
        <v>1.0153841530162005E-2</v>
      </c>
    </row>
    <row r="1208" spans="1:5" x14ac:dyDescent="0.35">
      <c r="A1208" s="9">
        <v>44194</v>
      </c>
      <c r="B1208" s="10">
        <v>83.51</v>
      </c>
      <c r="C1208" s="11">
        <v>43255.55</v>
      </c>
      <c r="D1208" s="14">
        <f t="shared" si="36"/>
        <v>-5.833333333333272E-3</v>
      </c>
      <c r="E1208" s="14">
        <f t="shared" si="37"/>
        <v>-9.5875650382787284E-3</v>
      </c>
    </row>
    <row r="1209" spans="1:5" x14ac:dyDescent="0.35">
      <c r="A1209" s="9">
        <v>44193</v>
      </c>
      <c r="B1209" s="10">
        <v>84</v>
      </c>
      <c r="C1209" s="11">
        <v>43674.28</v>
      </c>
      <c r="D1209" s="14">
        <f t="shared" si="36"/>
        <v>-2.967359050445104E-3</v>
      </c>
      <c r="E1209" s="14">
        <f t="shared" si="37"/>
        <v>5.9311183213307224E-3</v>
      </c>
    </row>
    <row r="1210" spans="1:5" x14ac:dyDescent="0.35">
      <c r="A1210" s="9">
        <v>44189</v>
      </c>
      <c r="B1210" s="10">
        <v>84.25</v>
      </c>
      <c r="C1210" s="11">
        <v>43416.77</v>
      </c>
      <c r="D1210" s="14">
        <f t="shared" si="36"/>
        <v>3.095606619835756E-3</v>
      </c>
      <c r="E1210" s="14">
        <f t="shared" si="37"/>
        <v>7.6372143326285625E-3</v>
      </c>
    </row>
    <row r="1211" spans="1:5" x14ac:dyDescent="0.35">
      <c r="A1211" s="9">
        <v>44188</v>
      </c>
      <c r="B1211" s="10">
        <v>83.99</v>
      </c>
      <c r="C1211" s="11">
        <v>43087.7</v>
      </c>
      <c r="D1211" s="14">
        <f t="shared" si="36"/>
        <v>6.109247724005641E-3</v>
      </c>
      <c r="E1211" s="14">
        <f t="shared" si="37"/>
        <v>4.2128382960890422E-3</v>
      </c>
    </row>
    <row r="1212" spans="1:5" x14ac:dyDescent="0.35">
      <c r="A1212" s="9">
        <v>44187</v>
      </c>
      <c r="B1212" s="10">
        <v>83.48</v>
      </c>
      <c r="C1212" s="11">
        <v>42906.94</v>
      </c>
      <c r="D1212" s="14">
        <f t="shared" si="36"/>
        <v>-5.0059594755661706E-3</v>
      </c>
      <c r="E1212" s="14">
        <f t="shared" si="37"/>
        <v>-9.8495953270613876E-3</v>
      </c>
    </row>
    <row r="1213" spans="1:5" x14ac:dyDescent="0.35">
      <c r="A1213" s="9">
        <v>44186</v>
      </c>
      <c r="B1213" s="10">
        <v>83.9</v>
      </c>
      <c r="C1213" s="11">
        <v>43333.760000000002</v>
      </c>
      <c r="D1213" s="14">
        <f t="shared" si="36"/>
        <v>-1.6658733936220913E-3</v>
      </c>
      <c r="E1213" s="14">
        <f t="shared" si="37"/>
        <v>-9.3000659571038959E-3</v>
      </c>
    </row>
    <row r="1214" spans="1:5" x14ac:dyDescent="0.35">
      <c r="A1214" s="9">
        <v>44183</v>
      </c>
      <c r="B1214" s="10">
        <v>84.04</v>
      </c>
      <c r="C1214" s="11">
        <v>43740.55</v>
      </c>
      <c r="D1214" s="14">
        <f t="shared" si="36"/>
        <v>-1.129411764705875E-2</v>
      </c>
      <c r="E1214" s="14">
        <f t="shared" si="37"/>
        <v>-5.9725786894095523E-4</v>
      </c>
    </row>
    <row r="1215" spans="1:5" x14ac:dyDescent="0.35">
      <c r="A1215" s="9">
        <v>44182</v>
      </c>
      <c r="B1215" s="10">
        <v>85</v>
      </c>
      <c r="C1215" s="11">
        <v>43766.69</v>
      </c>
      <c r="D1215" s="14">
        <f t="shared" si="36"/>
        <v>1.0461245839277168E-2</v>
      </c>
      <c r="E1215" s="14">
        <f t="shared" si="37"/>
        <v>9.3749589196910794E-3</v>
      </c>
    </row>
    <row r="1216" spans="1:5" x14ac:dyDescent="0.35">
      <c r="A1216" s="9">
        <v>44181</v>
      </c>
      <c r="B1216" s="10">
        <v>84.12</v>
      </c>
      <c r="C1216" s="11">
        <v>43360.19</v>
      </c>
      <c r="D1216" s="14">
        <f t="shared" si="36"/>
        <v>-9.5011876484558542E-4</v>
      </c>
      <c r="E1216" s="14">
        <f t="shared" si="37"/>
        <v>2.5282745953605947E-3</v>
      </c>
    </row>
    <row r="1217" spans="1:5" x14ac:dyDescent="0.35">
      <c r="A1217" s="9">
        <v>44180</v>
      </c>
      <c r="B1217" s="10">
        <v>84.2</v>
      </c>
      <c r="C1217" s="11">
        <v>43250.84</v>
      </c>
      <c r="D1217" s="14">
        <f t="shared" si="36"/>
        <v>2.380952380952415E-3</v>
      </c>
      <c r="E1217" s="14">
        <f t="shared" si="37"/>
        <v>-3.5547362353366337E-4</v>
      </c>
    </row>
    <row r="1218" spans="1:5" x14ac:dyDescent="0.35">
      <c r="A1218" s="9">
        <v>44179</v>
      </c>
      <c r="B1218" s="10">
        <v>84</v>
      </c>
      <c r="C1218" s="11">
        <v>43266.22</v>
      </c>
      <c r="D1218" s="14">
        <f t="shared" si="36"/>
        <v>1.8181818181818181E-2</v>
      </c>
      <c r="E1218" s="14">
        <f t="shared" si="37"/>
        <v>1.8738466964866623E-2</v>
      </c>
    </row>
    <row r="1219" spans="1:5" x14ac:dyDescent="0.35">
      <c r="A1219" s="9">
        <v>44176</v>
      </c>
      <c r="B1219" s="10">
        <v>82.5</v>
      </c>
      <c r="C1219" s="11">
        <v>42470.39</v>
      </c>
      <c r="D1219" s="14">
        <f t="shared" si="36"/>
        <v>-6.024096385542169E-3</v>
      </c>
      <c r="E1219" s="14">
        <f t="shared" si="37"/>
        <v>3.8895339272309194E-3</v>
      </c>
    </row>
    <row r="1220" spans="1:5" x14ac:dyDescent="0.35">
      <c r="A1220" s="9">
        <v>44175</v>
      </c>
      <c r="B1220" s="10">
        <v>83</v>
      </c>
      <c r="C1220" s="11">
        <v>42305.84</v>
      </c>
      <c r="D1220" s="14">
        <f t="shared" si="36"/>
        <v>1.2195121951219513E-2</v>
      </c>
      <c r="E1220" s="14">
        <f t="shared" si="37"/>
        <v>2.4123288700154386E-3</v>
      </c>
    </row>
    <row r="1221" spans="1:5" x14ac:dyDescent="0.35">
      <c r="A1221" s="9">
        <v>44174</v>
      </c>
      <c r="B1221" s="10">
        <v>82</v>
      </c>
      <c r="C1221" s="11">
        <v>42204.03</v>
      </c>
      <c r="D1221" s="14">
        <f t="shared" ref="D1221:D1284" si="38">(B1221-B1222)/B1222</f>
        <v>0</v>
      </c>
      <c r="E1221" s="14">
        <f t="shared" ref="E1221:E1284" si="39">(C1221-C1222)/C1222</f>
        <v>2.428638409112394E-3</v>
      </c>
    </row>
    <row r="1222" spans="1:5" x14ac:dyDescent="0.35">
      <c r="A1222" s="9">
        <v>44173</v>
      </c>
      <c r="B1222" s="10">
        <v>82</v>
      </c>
      <c r="C1222" s="11">
        <v>42101.78</v>
      </c>
      <c r="D1222" s="14">
        <f t="shared" si="38"/>
        <v>-6.0606060606060606E-3</v>
      </c>
      <c r="E1222" s="14">
        <f t="shared" si="39"/>
        <v>-3.2126084314703697E-4</v>
      </c>
    </row>
    <row r="1223" spans="1:5" x14ac:dyDescent="0.35">
      <c r="A1223" s="9">
        <v>44172</v>
      </c>
      <c r="B1223" s="10">
        <v>82.5</v>
      </c>
      <c r="C1223" s="11">
        <v>42115.31</v>
      </c>
      <c r="D1223" s="14">
        <f t="shared" si="38"/>
        <v>-1.4925373134328358E-2</v>
      </c>
      <c r="E1223" s="14">
        <f t="shared" si="39"/>
        <v>-2.1723884663681931E-3</v>
      </c>
    </row>
    <row r="1224" spans="1:5" x14ac:dyDescent="0.35">
      <c r="A1224" s="9">
        <v>44169</v>
      </c>
      <c r="B1224" s="10">
        <v>83.75</v>
      </c>
      <c r="C1224" s="11">
        <v>42207</v>
      </c>
      <c r="D1224" s="14">
        <f t="shared" si="38"/>
        <v>1.1473429951690857E-2</v>
      </c>
      <c r="E1224" s="14">
        <f t="shared" si="39"/>
        <v>3.7880769753984005E-3</v>
      </c>
    </row>
    <row r="1225" spans="1:5" x14ac:dyDescent="0.35">
      <c r="A1225" s="9">
        <v>44168</v>
      </c>
      <c r="B1225" s="10">
        <v>82.8</v>
      </c>
      <c r="C1225" s="11">
        <v>42047.72</v>
      </c>
      <c r="D1225" s="14">
        <f t="shared" si="38"/>
        <v>-2.4096385542169015E-3</v>
      </c>
      <c r="E1225" s="14">
        <f t="shared" si="39"/>
        <v>4.8397021180011186E-4</v>
      </c>
    </row>
    <row r="1226" spans="1:5" x14ac:dyDescent="0.35">
      <c r="A1226" s="9">
        <v>44167</v>
      </c>
      <c r="B1226" s="10">
        <v>83</v>
      </c>
      <c r="C1226" s="11">
        <v>42027.38</v>
      </c>
      <c r="D1226" s="14">
        <f t="shared" si="38"/>
        <v>0</v>
      </c>
      <c r="E1226" s="14">
        <f t="shared" si="39"/>
        <v>8.6909313200178619E-3</v>
      </c>
    </row>
    <row r="1227" spans="1:5" x14ac:dyDescent="0.35">
      <c r="A1227" s="9">
        <v>44166</v>
      </c>
      <c r="B1227" s="10">
        <v>83</v>
      </c>
      <c r="C1227" s="11">
        <v>41665.269999999997</v>
      </c>
      <c r="D1227" s="14">
        <f t="shared" si="38"/>
        <v>2.4154589371981022E-3</v>
      </c>
      <c r="E1227" s="14">
        <f t="shared" si="39"/>
        <v>1.4523183281136325E-2</v>
      </c>
    </row>
    <row r="1228" spans="1:5" x14ac:dyDescent="0.35">
      <c r="A1228" s="9">
        <v>44165</v>
      </c>
      <c r="B1228" s="10">
        <v>82.8</v>
      </c>
      <c r="C1228" s="11">
        <v>41068.82</v>
      </c>
      <c r="D1228" s="14">
        <f t="shared" si="38"/>
        <v>-1.3698630136986368E-2</v>
      </c>
      <c r="E1228" s="14">
        <f t="shared" si="39"/>
        <v>6.4138364191125424E-3</v>
      </c>
    </row>
    <row r="1229" spans="1:5" x14ac:dyDescent="0.35">
      <c r="A1229" s="9">
        <v>44162</v>
      </c>
      <c r="B1229" s="10">
        <v>83.95</v>
      </c>
      <c r="C1229" s="11">
        <v>40807.089999999997</v>
      </c>
      <c r="D1229" s="14">
        <f t="shared" si="38"/>
        <v>-1.1073153492755304E-2</v>
      </c>
      <c r="E1229" s="14">
        <f t="shared" si="39"/>
        <v>-5.4578205811553438E-3</v>
      </c>
    </row>
    <row r="1230" spans="1:5" x14ac:dyDescent="0.35">
      <c r="A1230" s="9">
        <v>44161</v>
      </c>
      <c r="B1230" s="10">
        <v>84.89</v>
      </c>
      <c r="C1230" s="11">
        <v>41031.03</v>
      </c>
      <c r="D1230" s="14">
        <f t="shared" si="38"/>
        <v>1.0595238095238102E-2</v>
      </c>
      <c r="E1230" s="14">
        <f t="shared" si="39"/>
        <v>1.6184744336763542E-2</v>
      </c>
    </row>
    <row r="1231" spans="1:5" x14ac:dyDescent="0.35">
      <c r="A1231" s="9">
        <v>44160</v>
      </c>
      <c r="B1231" s="10">
        <v>84</v>
      </c>
      <c r="C1231" s="11">
        <v>40377.53</v>
      </c>
      <c r="D1231" s="14">
        <f t="shared" si="38"/>
        <v>1.8181818181818181E-2</v>
      </c>
      <c r="E1231" s="14">
        <f t="shared" si="39"/>
        <v>1.2898310629108992E-2</v>
      </c>
    </row>
    <row r="1232" spans="1:5" x14ac:dyDescent="0.35">
      <c r="A1232" s="9">
        <v>44159</v>
      </c>
      <c r="B1232" s="10">
        <v>82.5</v>
      </c>
      <c r="C1232" s="11">
        <v>39863.360000000001</v>
      </c>
      <c r="D1232" s="14">
        <f t="shared" si="38"/>
        <v>6.0975609756097563E-3</v>
      </c>
      <c r="E1232" s="14">
        <f t="shared" si="39"/>
        <v>5.824509771268741E-3</v>
      </c>
    </row>
    <row r="1233" spans="1:5" x14ac:dyDescent="0.35">
      <c r="A1233" s="9">
        <v>44158</v>
      </c>
      <c r="B1233" s="10">
        <v>82</v>
      </c>
      <c r="C1233" s="11">
        <v>39632.519999999997</v>
      </c>
      <c r="D1233" s="14">
        <f t="shared" si="38"/>
        <v>-2.3809523809523808E-2</v>
      </c>
      <c r="E1233" s="14">
        <f t="shared" si="39"/>
        <v>-1.380191394370054E-2</v>
      </c>
    </row>
    <row r="1234" spans="1:5" x14ac:dyDescent="0.35">
      <c r="A1234" s="9">
        <v>44155</v>
      </c>
      <c r="B1234" s="10">
        <v>84</v>
      </c>
      <c r="C1234" s="11">
        <v>40187.18</v>
      </c>
      <c r="D1234" s="14">
        <f t="shared" si="38"/>
        <v>-5.9171597633136093E-3</v>
      </c>
      <c r="E1234" s="14">
        <f t="shared" si="39"/>
        <v>-8.7201257008388319E-3</v>
      </c>
    </row>
    <row r="1235" spans="1:5" x14ac:dyDescent="0.35">
      <c r="A1235" s="9">
        <v>44154</v>
      </c>
      <c r="B1235" s="10">
        <v>84.5</v>
      </c>
      <c r="C1235" s="11">
        <v>40540.699999999997</v>
      </c>
      <c r="D1235" s="14">
        <f t="shared" si="38"/>
        <v>-5.8823529411764705E-3</v>
      </c>
      <c r="E1235" s="14">
        <f t="shared" si="39"/>
        <v>6.4248332764400742E-4</v>
      </c>
    </row>
    <row r="1236" spans="1:5" x14ac:dyDescent="0.35">
      <c r="A1236" s="9">
        <v>44153</v>
      </c>
      <c r="B1236" s="10">
        <v>85</v>
      </c>
      <c r="C1236" s="11">
        <v>40514.67</v>
      </c>
      <c r="D1236" s="14">
        <f t="shared" si="38"/>
        <v>-9.324009324009291E-3</v>
      </c>
      <c r="E1236" s="14">
        <f t="shared" si="39"/>
        <v>-3.3946109812713408E-3</v>
      </c>
    </row>
    <row r="1237" spans="1:5" x14ac:dyDescent="0.35">
      <c r="A1237" s="9">
        <v>44152</v>
      </c>
      <c r="B1237" s="10">
        <v>85.8</v>
      </c>
      <c r="C1237" s="11">
        <v>40652.67</v>
      </c>
      <c r="D1237" s="14">
        <f t="shared" si="38"/>
        <v>9.4117647058823192E-3</v>
      </c>
      <c r="E1237" s="14">
        <f t="shared" si="39"/>
        <v>3.6519173677160891E-3</v>
      </c>
    </row>
    <row r="1238" spans="1:5" x14ac:dyDescent="0.35">
      <c r="A1238" s="9">
        <v>44151</v>
      </c>
      <c r="B1238" s="10">
        <v>85</v>
      </c>
      <c r="C1238" s="11">
        <v>40504.75</v>
      </c>
      <c r="D1238" s="14">
        <f t="shared" si="38"/>
        <v>0</v>
      </c>
      <c r="E1238" s="14">
        <f t="shared" si="39"/>
        <v>-1.5923351002665447E-3</v>
      </c>
    </row>
    <row r="1239" spans="1:5" x14ac:dyDescent="0.35">
      <c r="A1239" s="9">
        <v>44148</v>
      </c>
      <c r="B1239" s="10">
        <v>85</v>
      </c>
      <c r="C1239" s="11">
        <v>40569.35</v>
      </c>
      <c r="D1239" s="14">
        <f t="shared" si="38"/>
        <v>0</v>
      </c>
      <c r="E1239" s="14">
        <f t="shared" si="39"/>
        <v>1.1832992107630022E-4</v>
      </c>
    </row>
    <row r="1240" spans="1:5" x14ac:dyDescent="0.35">
      <c r="A1240" s="9">
        <v>44147</v>
      </c>
      <c r="B1240" s="10">
        <v>85</v>
      </c>
      <c r="C1240" s="11">
        <v>40564.550000000003</v>
      </c>
      <c r="D1240" s="14">
        <f t="shared" si="38"/>
        <v>-1.1627906976744186E-2</v>
      </c>
      <c r="E1240" s="14">
        <f t="shared" si="39"/>
        <v>-1.5359494258364302E-2</v>
      </c>
    </row>
    <row r="1241" spans="1:5" x14ac:dyDescent="0.35">
      <c r="A1241" s="9">
        <v>44146</v>
      </c>
      <c r="B1241" s="10">
        <v>86</v>
      </c>
      <c r="C1241" s="11">
        <v>41197.32</v>
      </c>
      <c r="D1241" s="14">
        <f t="shared" si="38"/>
        <v>0</v>
      </c>
      <c r="E1241" s="14">
        <f t="shared" si="39"/>
        <v>1.0757404372214647E-3</v>
      </c>
    </row>
    <row r="1242" spans="1:5" x14ac:dyDescent="0.35">
      <c r="A1242" s="9">
        <v>44145</v>
      </c>
      <c r="B1242" s="10">
        <v>86</v>
      </c>
      <c r="C1242" s="11">
        <v>41153.050000000003</v>
      </c>
      <c r="D1242" s="14">
        <f t="shared" si="38"/>
        <v>1.7751479289940829E-2</v>
      </c>
      <c r="E1242" s="14">
        <f t="shared" si="39"/>
        <v>9.0479020714966454E-3</v>
      </c>
    </row>
    <row r="1243" spans="1:5" x14ac:dyDescent="0.35">
      <c r="A1243" s="9">
        <v>44144</v>
      </c>
      <c r="B1243" s="10">
        <v>84.5</v>
      </c>
      <c r="C1243" s="11">
        <v>40784.04</v>
      </c>
      <c r="D1243" s="14">
        <f t="shared" si="38"/>
        <v>0</v>
      </c>
      <c r="E1243" s="14">
        <f t="shared" si="39"/>
        <v>1.2872066682362983E-3</v>
      </c>
    </row>
    <row r="1244" spans="1:5" x14ac:dyDescent="0.35">
      <c r="A1244" s="9">
        <v>44141</v>
      </c>
      <c r="B1244" s="10">
        <v>84.5</v>
      </c>
      <c r="C1244" s="11">
        <v>40731.61</v>
      </c>
      <c r="D1244" s="14">
        <f t="shared" si="38"/>
        <v>-1.7327596232119956E-2</v>
      </c>
      <c r="E1244" s="14">
        <f t="shared" si="39"/>
        <v>-8.2707389344871558E-3</v>
      </c>
    </row>
    <row r="1245" spans="1:5" x14ac:dyDescent="0.35">
      <c r="A1245" s="9">
        <v>44140</v>
      </c>
      <c r="B1245" s="10">
        <v>85.99</v>
      </c>
      <c r="C1245" s="11">
        <v>41071.300000000003</v>
      </c>
      <c r="D1245" s="14">
        <f t="shared" si="38"/>
        <v>1.1766090128250382E-2</v>
      </c>
      <c r="E1245" s="14">
        <f t="shared" si="39"/>
        <v>1.9595372221212767E-2</v>
      </c>
    </row>
    <row r="1246" spans="1:5" x14ac:dyDescent="0.35">
      <c r="A1246" s="9">
        <v>44139</v>
      </c>
      <c r="B1246" s="10">
        <v>84.99</v>
      </c>
      <c r="C1246" s="11">
        <v>40281.96</v>
      </c>
      <c r="D1246" s="14">
        <f t="shared" si="38"/>
        <v>1.1785714285714224E-2</v>
      </c>
      <c r="E1246" s="14">
        <f t="shared" si="39"/>
        <v>-4.9139247961012275E-3</v>
      </c>
    </row>
    <row r="1247" spans="1:5" x14ac:dyDescent="0.35">
      <c r="A1247" s="9">
        <v>44138</v>
      </c>
      <c r="B1247" s="10">
        <v>84</v>
      </c>
      <c r="C1247" s="11">
        <v>40480.879999999997</v>
      </c>
      <c r="D1247" s="14">
        <f t="shared" si="38"/>
        <v>3.7037037037037035E-2</v>
      </c>
      <c r="E1247" s="14">
        <f t="shared" si="39"/>
        <v>3.4994214078581075E-2</v>
      </c>
    </row>
    <row r="1248" spans="1:5" x14ac:dyDescent="0.35">
      <c r="A1248" s="9">
        <v>44137</v>
      </c>
      <c r="B1248" s="10">
        <v>81</v>
      </c>
      <c r="C1248" s="11">
        <v>39112.18</v>
      </c>
      <c r="D1248" s="14">
        <f t="shared" si="38"/>
        <v>0</v>
      </c>
      <c r="E1248" s="14">
        <f t="shared" si="39"/>
        <v>-1.9449959887685511E-2</v>
      </c>
    </row>
    <row r="1249" spans="1:5" x14ac:dyDescent="0.35">
      <c r="A1249" s="9">
        <v>44133</v>
      </c>
      <c r="B1249" s="10">
        <v>81</v>
      </c>
      <c r="C1249" s="11">
        <v>39888</v>
      </c>
      <c r="D1249" s="14">
        <f t="shared" si="38"/>
        <v>-4.7058823529411764E-2</v>
      </c>
      <c r="E1249" s="14">
        <f t="shared" si="39"/>
        <v>-3.153578592784205E-2</v>
      </c>
    </row>
    <row r="1250" spans="1:5" x14ac:dyDescent="0.35">
      <c r="A1250" s="9">
        <v>44132</v>
      </c>
      <c r="B1250" s="10">
        <v>85</v>
      </c>
      <c r="C1250" s="11">
        <v>41186.86</v>
      </c>
      <c r="D1250" s="14">
        <f t="shared" si="38"/>
        <v>-1.1627906976744186E-2</v>
      </c>
      <c r="E1250" s="14">
        <f t="shared" si="39"/>
        <v>-4.7114881096365522E-3</v>
      </c>
    </row>
    <row r="1251" spans="1:5" x14ac:dyDescent="0.35">
      <c r="A1251" s="9">
        <v>44131</v>
      </c>
      <c r="B1251" s="10">
        <v>86</v>
      </c>
      <c r="C1251" s="11">
        <v>41381.83</v>
      </c>
      <c r="D1251" s="14">
        <f t="shared" si="38"/>
        <v>-3.0141432877348147E-3</v>
      </c>
      <c r="E1251" s="14">
        <f t="shared" si="39"/>
        <v>-1.119796265131549E-2</v>
      </c>
    </row>
    <row r="1252" spans="1:5" x14ac:dyDescent="0.35">
      <c r="A1252" s="9">
        <v>44130</v>
      </c>
      <c r="B1252" s="10">
        <v>86.26</v>
      </c>
      <c r="C1252" s="11">
        <v>41850.47</v>
      </c>
      <c r="D1252" s="14">
        <f t="shared" si="38"/>
        <v>-3.9260969976904064E-3</v>
      </c>
      <c r="E1252" s="14">
        <f t="shared" si="39"/>
        <v>1.4163475985072485E-2</v>
      </c>
    </row>
    <row r="1253" spans="1:5" x14ac:dyDescent="0.35">
      <c r="A1253" s="9">
        <v>44127</v>
      </c>
      <c r="B1253" s="10">
        <v>86.6</v>
      </c>
      <c r="C1253" s="11">
        <v>41266</v>
      </c>
      <c r="D1253" s="14">
        <f t="shared" si="38"/>
        <v>-1.0285714285714351E-2</v>
      </c>
      <c r="E1253" s="14">
        <f t="shared" si="39"/>
        <v>1.6257668264925526E-3</v>
      </c>
    </row>
    <row r="1254" spans="1:5" x14ac:dyDescent="0.35">
      <c r="A1254" s="9">
        <v>44126</v>
      </c>
      <c r="B1254" s="10">
        <v>87.5</v>
      </c>
      <c r="C1254" s="11">
        <v>41199.019999999997</v>
      </c>
      <c r="D1254" s="14">
        <f t="shared" si="38"/>
        <v>0</v>
      </c>
      <c r="E1254" s="14">
        <f t="shared" si="39"/>
        <v>-8.1110518317639643E-3</v>
      </c>
    </row>
    <row r="1255" spans="1:5" x14ac:dyDescent="0.35">
      <c r="A1255" s="9">
        <v>44125</v>
      </c>
      <c r="B1255" s="10">
        <v>87.5</v>
      </c>
      <c r="C1255" s="11">
        <v>41535.919999999998</v>
      </c>
      <c r="D1255" s="14">
        <f t="shared" si="38"/>
        <v>1.8626309662398071E-2</v>
      </c>
      <c r="E1255" s="14">
        <f t="shared" si="39"/>
        <v>1.4145224039702448E-2</v>
      </c>
    </row>
    <row r="1256" spans="1:5" x14ac:dyDescent="0.35">
      <c r="A1256" s="9">
        <v>44124</v>
      </c>
      <c r="B1256" s="10">
        <v>85.9</v>
      </c>
      <c r="C1256" s="11">
        <v>40956.58</v>
      </c>
      <c r="D1256" s="14">
        <f t="shared" si="38"/>
        <v>4.6783625730994821E-3</v>
      </c>
      <c r="E1256" s="14">
        <f t="shared" si="39"/>
        <v>1.5280302487570169E-2</v>
      </c>
    </row>
    <row r="1257" spans="1:5" x14ac:dyDescent="0.35">
      <c r="A1257" s="9">
        <v>44123</v>
      </c>
      <c r="B1257" s="10">
        <v>85.5</v>
      </c>
      <c r="C1257" s="11">
        <v>40340.17</v>
      </c>
      <c r="D1257" s="14">
        <f t="shared" si="38"/>
        <v>-1.1560693641618497E-2</v>
      </c>
      <c r="E1257" s="14">
        <f t="shared" si="39"/>
        <v>4.3857661658370222E-3</v>
      </c>
    </row>
    <row r="1258" spans="1:5" x14ac:dyDescent="0.35">
      <c r="A1258" s="9">
        <v>44120</v>
      </c>
      <c r="B1258" s="10">
        <v>86.5</v>
      </c>
      <c r="C1258" s="11">
        <v>40164.019999999997</v>
      </c>
      <c r="D1258" s="14">
        <f t="shared" si="38"/>
        <v>-3.3519553072625698E-2</v>
      </c>
      <c r="E1258" s="14">
        <f t="shared" si="39"/>
        <v>2.3841677088405088E-3</v>
      </c>
    </row>
    <row r="1259" spans="1:5" x14ac:dyDescent="0.35">
      <c r="A1259" s="9">
        <v>44119</v>
      </c>
      <c r="B1259" s="10">
        <v>89.5</v>
      </c>
      <c r="C1259" s="11">
        <v>40068.49</v>
      </c>
      <c r="D1259" s="14">
        <f t="shared" si="38"/>
        <v>1.589103291713968E-2</v>
      </c>
      <c r="E1259" s="14">
        <f t="shared" si="39"/>
        <v>-1.8881888308400251E-3</v>
      </c>
    </row>
    <row r="1260" spans="1:5" x14ac:dyDescent="0.35">
      <c r="A1260" s="9">
        <v>44118</v>
      </c>
      <c r="B1260" s="10">
        <v>88.1</v>
      </c>
      <c r="C1260" s="11">
        <v>40144.29</v>
      </c>
      <c r="D1260" s="14">
        <f t="shared" si="38"/>
        <v>4.7437878968018009E-2</v>
      </c>
      <c r="E1260" s="14">
        <f t="shared" si="39"/>
        <v>3.439926392274154E-3</v>
      </c>
    </row>
    <row r="1261" spans="1:5" x14ac:dyDescent="0.35">
      <c r="A1261" s="9">
        <v>44117</v>
      </c>
      <c r="B1261" s="10">
        <v>84.11</v>
      </c>
      <c r="C1261" s="11">
        <v>40006.67</v>
      </c>
      <c r="D1261" s="14">
        <f t="shared" si="38"/>
        <v>-1.0470588235294124E-2</v>
      </c>
      <c r="E1261" s="14">
        <f t="shared" si="39"/>
        <v>-5.0522484308559816E-3</v>
      </c>
    </row>
    <row r="1262" spans="1:5" x14ac:dyDescent="0.35">
      <c r="A1262" s="9">
        <v>44116</v>
      </c>
      <c r="B1262" s="10">
        <v>85</v>
      </c>
      <c r="C1262" s="11">
        <v>40209.82</v>
      </c>
      <c r="D1262" s="14">
        <f t="shared" si="38"/>
        <v>-1.1627906976744186E-2</v>
      </c>
      <c r="E1262" s="14">
        <f t="shared" si="39"/>
        <v>-1.4427270853314713E-2</v>
      </c>
    </row>
    <row r="1263" spans="1:5" x14ac:dyDescent="0.35">
      <c r="A1263" s="9">
        <v>44113</v>
      </c>
      <c r="B1263" s="10">
        <v>86</v>
      </c>
      <c r="C1263" s="11">
        <v>40798.43</v>
      </c>
      <c r="D1263" s="14">
        <f t="shared" si="38"/>
        <v>-3.5441902198295162E-2</v>
      </c>
      <c r="E1263" s="14">
        <f t="shared" si="39"/>
        <v>1.1022802910866426E-2</v>
      </c>
    </row>
    <row r="1264" spans="1:5" x14ac:dyDescent="0.35">
      <c r="A1264" s="9">
        <v>44112</v>
      </c>
      <c r="B1264" s="10">
        <v>89.16</v>
      </c>
      <c r="C1264" s="11">
        <v>40353.620000000003</v>
      </c>
      <c r="D1264" s="14">
        <f t="shared" si="38"/>
        <v>7.4993971545695676E-2</v>
      </c>
      <c r="E1264" s="14">
        <f t="shared" si="39"/>
        <v>1.2638908545955969E-2</v>
      </c>
    </row>
    <row r="1265" spans="1:5" x14ac:dyDescent="0.35">
      <c r="A1265" s="9">
        <v>44111</v>
      </c>
      <c r="B1265" s="10">
        <v>82.94</v>
      </c>
      <c r="C1265" s="11">
        <v>39849.96</v>
      </c>
      <c r="D1265" s="14">
        <f t="shared" si="38"/>
        <v>-7.2289156626508758E-4</v>
      </c>
      <c r="E1265" s="14">
        <f t="shared" si="39"/>
        <v>1.8464772073233337E-2</v>
      </c>
    </row>
    <row r="1266" spans="1:5" x14ac:dyDescent="0.35">
      <c r="A1266" s="9">
        <v>44110</v>
      </c>
      <c r="B1266" s="10">
        <v>83</v>
      </c>
      <c r="C1266" s="11">
        <v>39127.480000000003</v>
      </c>
      <c r="D1266" s="14">
        <f t="shared" si="38"/>
        <v>-5.9880239520958087E-3</v>
      </c>
      <c r="E1266" s="14">
        <f t="shared" si="39"/>
        <v>1.4078966597197986E-3</v>
      </c>
    </row>
    <row r="1267" spans="1:5" x14ac:dyDescent="0.35">
      <c r="A1267" s="9">
        <v>44109</v>
      </c>
      <c r="B1267" s="10">
        <v>83.5</v>
      </c>
      <c r="C1267" s="11">
        <v>39072.47</v>
      </c>
      <c r="D1267" s="14">
        <f t="shared" si="38"/>
        <v>-2.9069767441860465E-2</v>
      </c>
      <c r="E1267" s="14">
        <f t="shared" si="39"/>
        <v>-2.4914881972746772E-2</v>
      </c>
    </row>
    <row r="1268" spans="1:5" x14ac:dyDescent="0.35">
      <c r="A1268" s="9">
        <v>44106</v>
      </c>
      <c r="B1268" s="10">
        <v>86</v>
      </c>
      <c r="C1268" s="11">
        <v>40070.83</v>
      </c>
      <c r="D1268" s="14">
        <f t="shared" si="38"/>
        <v>-5.0667844132906537E-2</v>
      </c>
      <c r="E1268" s="14">
        <f t="shared" si="39"/>
        <v>-1.490009568079384E-2</v>
      </c>
    </row>
    <row r="1269" spans="1:5" x14ac:dyDescent="0.35">
      <c r="A1269" s="9">
        <v>44105</v>
      </c>
      <c r="B1269" s="10">
        <v>90.59</v>
      </c>
      <c r="C1269" s="11">
        <v>40676.92</v>
      </c>
      <c r="D1269" s="14">
        <f t="shared" si="38"/>
        <v>7.5252225519287869E-2</v>
      </c>
      <c r="E1269" s="14">
        <f t="shared" si="39"/>
        <v>2.5988699450943138E-3</v>
      </c>
    </row>
    <row r="1270" spans="1:5" x14ac:dyDescent="0.35">
      <c r="A1270" s="9">
        <v>44104</v>
      </c>
      <c r="B1270" s="10">
        <v>84.25</v>
      </c>
      <c r="C1270" s="11">
        <v>40571.480000000003</v>
      </c>
      <c r="D1270" s="14">
        <f t="shared" si="38"/>
        <v>-8.2401412595644822E-3</v>
      </c>
      <c r="E1270" s="14">
        <f t="shared" si="39"/>
        <v>-1.5359539621535133E-2</v>
      </c>
    </row>
    <row r="1271" spans="1:5" x14ac:dyDescent="0.35">
      <c r="A1271" s="9">
        <v>44103</v>
      </c>
      <c r="B1271" s="10">
        <v>84.95</v>
      </c>
      <c r="C1271" s="11">
        <v>41204.36</v>
      </c>
      <c r="D1271" s="14">
        <f t="shared" si="38"/>
        <v>-5.8823529411761361E-4</v>
      </c>
      <c r="E1271" s="14">
        <f t="shared" si="39"/>
        <v>1.1374550667080751E-2</v>
      </c>
    </row>
    <row r="1272" spans="1:5" x14ac:dyDescent="0.35">
      <c r="A1272" s="9">
        <v>44102</v>
      </c>
      <c r="B1272" s="10">
        <v>85</v>
      </c>
      <c r="C1272" s="11">
        <v>40740.949999999997</v>
      </c>
      <c r="D1272" s="14">
        <f t="shared" si="38"/>
        <v>-1.1627906976744186E-2</v>
      </c>
      <c r="E1272" s="14">
        <f t="shared" si="39"/>
        <v>-2.3027618130208774E-2</v>
      </c>
    </row>
    <row r="1273" spans="1:5" x14ac:dyDescent="0.35">
      <c r="A1273" s="9">
        <v>44099</v>
      </c>
      <c r="B1273" s="10">
        <v>86</v>
      </c>
      <c r="C1273" s="11">
        <v>41701.230000000003</v>
      </c>
      <c r="D1273" s="14">
        <f t="shared" si="38"/>
        <v>1.1764705882352941E-2</v>
      </c>
      <c r="E1273" s="14">
        <f t="shared" si="39"/>
        <v>-2.5149277490487554E-3</v>
      </c>
    </row>
    <row r="1274" spans="1:5" x14ac:dyDescent="0.35">
      <c r="A1274" s="9">
        <v>44098</v>
      </c>
      <c r="B1274" s="10">
        <v>85</v>
      </c>
      <c r="C1274" s="11">
        <v>41806.370000000003</v>
      </c>
      <c r="D1274" s="14">
        <f t="shared" si="38"/>
        <v>0</v>
      </c>
      <c r="E1274" s="14">
        <f t="shared" si="39"/>
        <v>-1.6689647069723851E-3</v>
      </c>
    </row>
    <row r="1275" spans="1:5" x14ac:dyDescent="0.35">
      <c r="A1275" s="9">
        <v>44097</v>
      </c>
      <c r="B1275" s="10">
        <v>85</v>
      </c>
      <c r="C1275" s="11">
        <v>41876.26</v>
      </c>
      <c r="D1275" s="14">
        <f t="shared" si="38"/>
        <v>5.7981303987693156E-3</v>
      </c>
      <c r="E1275" s="14">
        <f t="shared" si="39"/>
        <v>1.1319922034783727E-3</v>
      </c>
    </row>
    <row r="1276" spans="1:5" x14ac:dyDescent="0.35">
      <c r="A1276" s="9">
        <v>44096</v>
      </c>
      <c r="B1276" s="10">
        <v>84.51</v>
      </c>
      <c r="C1276" s="11">
        <v>41828.910000000003</v>
      </c>
      <c r="D1276" s="14">
        <f t="shared" si="38"/>
        <v>1.3033175355450168E-3</v>
      </c>
      <c r="E1276" s="14">
        <f t="shared" si="39"/>
        <v>-8.1855867566205612E-3</v>
      </c>
    </row>
    <row r="1277" spans="1:5" x14ac:dyDescent="0.35">
      <c r="A1277" s="9">
        <v>44095</v>
      </c>
      <c r="B1277" s="10">
        <v>84.4</v>
      </c>
      <c r="C1277" s="11">
        <v>42174.13</v>
      </c>
      <c r="D1277" s="14">
        <f t="shared" si="38"/>
        <v>-7.0588235294116982E-3</v>
      </c>
      <c r="E1277" s="14">
        <f t="shared" si="39"/>
        <v>-7.7786582020461861E-3</v>
      </c>
    </row>
    <row r="1278" spans="1:5" x14ac:dyDescent="0.35">
      <c r="A1278" s="9">
        <v>44092</v>
      </c>
      <c r="B1278" s="10">
        <v>85</v>
      </c>
      <c r="C1278" s="11">
        <v>42504.76</v>
      </c>
      <c r="D1278" s="14">
        <f t="shared" si="38"/>
        <v>5.9171597633136093E-3</v>
      </c>
      <c r="E1278" s="14">
        <f t="shared" si="39"/>
        <v>4.0156127021860992E-3</v>
      </c>
    </row>
    <row r="1279" spans="1:5" x14ac:dyDescent="0.35">
      <c r="A1279" s="9">
        <v>44091</v>
      </c>
      <c r="B1279" s="10">
        <v>84.5</v>
      </c>
      <c r="C1279" s="11">
        <v>42334.76</v>
      </c>
      <c r="D1279" s="14">
        <f t="shared" si="38"/>
        <v>-1.1695906432748537E-2</v>
      </c>
      <c r="E1279" s="14">
        <f t="shared" si="39"/>
        <v>1.2411818851775071E-3</v>
      </c>
    </row>
    <row r="1280" spans="1:5" x14ac:dyDescent="0.35">
      <c r="A1280" s="9">
        <v>44090</v>
      </c>
      <c r="B1280" s="10">
        <v>85.5</v>
      </c>
      <c r="C1280" s="11">
        <v>42282.28</v>
      </c>
      <c r="D1280" s="14">
        <f t="shared" si="38"/>
        <v>-8.6956521739130436E-3</v>
      </c>
      <c r="E1280" s="14">
        <f t="shared" si="39"/>
        <v>-1.5146498806746691E-3</v>
      </c>
    </row>
    <row r="1281" spans="1:5" x14ac:dyDescent="0.35">
      <c r="A1281" s="9">
        <v>44089</v>
      </c>
      <c r="B1281" s="10">
        <v>86.25</v>
      </c>
      <c r="C1281" s="11">
        <v>42346.42</v>
      </c>
      <c r="D1281" s="14">
        <f t="shared" si="38"/>
        <v>-8.5067249109092424E-3</v>
      </c>
      <c r="E1281" s="14">
        <f t="shared" si="39"/>
        <v>-4.3471503699274586E-3</v>
      </c>
    </row>
    <row r="1282" spans="1:5" x14ac:dyDescent="0.35">
      <c r="A1282" s="9">
        <v>44088</v>
      </c>
      <c r="B1282" s="10">
        <v>86.99</v>
      </c>
      <c r="C1282" s="11">
        <v>42531.31</v>
      </c>
      <c r="D1282" s="14">
        <f t="shared" si="38"/>
        <v>-1.1494252873569098E-4</v>
      </c>
      <c r="E1282" s="14">
        <f t="shared" si="39"/>
        <v>1.5047964210284436E-5</v>
      </c>
    </row>
    <row r="1283" spans="1:5" x14ac:dyDescent="0.35">
      <c r="A1283" s="9">
        <v>44085</v>
      </c>
      <c r="B1283" s="10">
        <v>87</v>
      </c>
      <c r="C1283" s="11">
        <v>42530.67</v>
      </c>
      <c r="D1283" s="14">
        <f t="shared" si="38"/>
        <v>1.1627906976744186E-2</v>
      </c>
      <c r="E1283" s="14">
        <f t="shared" si="39"/>
        <v>-2.735926147814584E-3</v>
      </c>
    </row>
    <row r="1284" spans="1:5" x14ac:dyDescent="0.35">
      <c r="A1284" s="9">
        <v>44084</v>
      </c>
      <c r="B1284" s="10">
        <v>86</v>
      </c>
      <c r="C1284" s="11">
        <v>42647.35</v>
      </c>
      <c r="D1284" s="14">
        <f t="shared" si="38"/>
        <v>0</v>
      </c>
      <c r="E1284" s="14">
        <f t="shared" si="39"/>
        <v>1.4875452885078704E-2</v>
      </c>
    </row>
    <row r="1285" spans="1:5" x14ac:dyDescent="0.35">
      <c r="A1285" s="9">
        <v>44083</v>
      </c>
      <c r="B1285" s="10">
        <v>86</v>
      </c>
      <c r="C1285" s="11">
        <v>42022.25</v>
      </c>
      <c r="D1285" s="14">
        <f t="shared" ref="D1285:D1348" si="40">(B1285-B1286)/B1286</f>
        <v>2.858509747637843E-2</v>
      </c>
      <c r="E1285" s="14">
        <f t="shared" ref="E1285:E1348" si="41">(C1285-C1286)/C1286</f>
        <v>8.8269220646608167E-4</v>
      </c>
    </row>
    <row r="1286" spans="1:5" x14ac:dyDescent="0.35">
      <c r="A1286" s="9">
        <v>44082</v>
      </c>
      <c r="B1286" s="10">
        <v>83.61</v>
      </c>
      <c r="C1286" s="11">
        <v>41985.19</v>
      </c>
      <c r="D1286" s="14">
        <f t="shared" si="40"/>
        <v>-2.6658905704307404E-2</v>
      </c>
      <c r="E1286" s="14">
        <f t="shared" si="41"/>
        <v>-7.3425817014711329E-3</v>
      </c>
    </row>
    <row r="1287" spans="1:5" x14ac:dyDescent="0.35">
      <c r="A1287" s="9">
        <v>44081</v>
      </c>
      <c r="B1287" s="10">
        <v>85.9</v>
      </c>
      <c r="C1287" s="11">
        <v>42295.75</v>
      </c>
      <c r="D1287" s="14">
        <f t="shared" si="40"/>
        <v>2.8017744571563054E-3</v>
      </c>
      <c r="E1287" s="14">
        <f t="shared" si="41"/>
        <v>6.49049330128739E-3</v>
      </c>
    </row>
    <row r="1288" spans="1:5" x14ac:dyDescent="0.35">
      <c r="A1288" s="9">
        <v>44078</v>
      </c>
      <c r="B1288" s="10">
        <v>85.66</v>
      </c>
      <c r="C1288" s="11">
        <v>42023</v>
      </c>
      <c r="D1288" s="14">
        <f t="shared" si="40"/>
        <v>-1.5289113691228859E-2</v>
      </c>
      <c r="E1288" s="14">
        <f t="shared" si="41"/>
        <v>-3.9136619298660354E-3</v>
      </c>
    </row>
    <row r="1289" spans="1:5" x14ac:dyDescent="0.35">
      <c r="A1289" s="9">
        <v>44077</v>
      </c>
      <c r="B1289" s="10">
        <v>86.99</v>
      </c>
      <c r="C1289" s="11">
        <v>42188.11</v>
      </c>
      <c r="D1289" s="14">
        <f t="shared" si="40"/>
        <v>2.1889400921658725E-3</v>
      </c>
      <c r="E1289" s="14">
        <f t="shared" si="41"/>
        <v>8.4441560086865874E-3</v>
      </c>
    </row>
    <row r="1290" spans="1:5" x14ac:dyDescent="0.35">
      <c r="A1290" s="9">
        <v>44076</v>
      </c>
      <c r="B1290" s="10">
        <v>86.8</v>
      </c>
      <c r="C1290" s="11">
        <v>41834.85</v>
      </c>
      <c r="D1290" s="14">
        <f t="shared" si="40"/>
        <v>9.4196999651122489E-3</v>
      </c>
      <c r="E1290" s="14">
        <f t="shared" si="41"/>
        <v>1.1058972972110684E-2</v>
      </c>
    </row>
    <row r="1291" spans="1:5" x14ac:dyDescent="0.35">
      <c r="A1291" s="9">
        <v>44075</v>
      </c>
      <c r="B1291" s="10">
        <v>85.99</v>
      </c>
      <c r="C1291" s="11">
        <v>41377.26</v>
      </c>
      <c r="D1291" s="14">
        <f t="shared" si="40"/>
        <v>5.7309941520467238E-3</v>
      </c>
      <c r="E1291" s="14">
        <f t="shared" si="41"/>
        <v>6.4783258369489997E-3</v>
      </c>
    </row>
    <row r="1292" spans="1:5" x14ac:dyDescent="0.35">
      <c r="A1292" s="9">
        <v>44074</v>
      </c>
      <c r="B1292" s="10">
        <v>85.5</v>
      </c>
      <c r="C1292" s="11">
        <v>41110.93</v>
      </c>
      <c r="D1292" s="14">
        <f t="shared" si="40"/>
        <v>-2.0057306590257881E-2</v>
      </c>
      <c r="E1292" s="14">
        <f t="shared" si="41"/>
        <v>1.3325630075052971E-3</v>
      </c>
    </row>
    <row r="1293" spans="1:5" x14ac:dyDescent="0.35">
      <c r="A1293" s="9">
        <v>44071</v>
      </c>
      <c r="B1293" s="10">
        <v>87.25</v>
      </c>
      <c r="C1293" s="11">
        <v>41056.22</v>
      </c>
      <c r="D1293" s="14">
        <f t="shared" si="40"/>
        <v>2.8735632183908046E-3</v>
      </c>
      <c r="E1293" s="14">
        <f t="shared" si="41"/>
        <v>-6.2606585764939928E-4</v>
      </c>
    </row>
    <row r="1294" spans="1:5" x14ac:dyDescent="0.35">
      <c r="A1294" s="9">
        <v>44070</v>
      </c>
      <c r="B1294" s="10">
        <v>87</v>
      </c>
      <c r="C1294" s="11">
        <v>41081.94</v>
      </c>
      <c r="D1294" s="14">
        <f t="shared" si="40"/>
        <v>1.1507479861909587E-3</v>
      </c>
      <c r="E1294" s="14">
        <f t="shared" si="41"/>
        <v>5.367990624187205E-3</v>
      </c>
    </row>
    <row r="1295" spans="1:5" x14ac:dyDescent="0.35">
      <c r="A1295" s="9">
        <v>44069</v>
      </c>
      <c r="B1295" s="10">
        <v>86.9</v>
      </c>
      <c r="C1295" s="11">
        <v>40862.589999999997</v>
      </c>
      <c r="D1295" s="14">
        <f t="shared" si="40"/>
        <v>-6.8571428571427926E-3</v>
      </c>
      <c r="E1295" s="14">
        <f t="shared" si="41"/>
        <v>1.4140732765787969E-2</v>
      </c>
    </row>
    <row r="1296" spans="1:5" x14ac:dyDescent="0.35">
      <c r="A1296" s="9">
        <v>44068</v>
      </c>
      <c r="B1296" s="10">
        <v>87.5</v>
      </c>
      <c r="C1296" s="11">
        <v>40292.82</v>
      </c>
      <c r="D1296" s="14">
        <f t="shared" si="40"/>
        <v>3.4403669724770315E-3</v>
      </c>
      <c r="E1296" s="14">
        <f t="shared" si="41"/>
        <v>1.2316280845974916E-2</v>
      </c>
    </row>
    <row r="1297" spans="1:5" x14ac:dyDescent="0.35">
      <c r="A1297" s="9">
        <v>44067</v>
      </c>
      <c r="B1297" s="10">
        <v>87.2</v>
      </c>
      <c r="C1297" s="11">
        <v>39802.6</v>
      </c>
      <c r="D1297" s="14">
        <f t="shared" si="40"/>
        <v>-1.8018018018017955E-2</v>
      </c>
      <c r="E1297" s="14">
        <f t="shared" si="41"/>
        <v>4.568468857509304E-3</v>
      </c>
    </row>
    <row r="1298" spans="1:5" x14ac:dyDescent="0.35">
      <c r="A1298" s="9">
        <v>44064</v>
      </c>
      <c r="B1298" s="10">
        <v>88.8</v>
      </c>
      <c r="C1298" s="11">
        <v>39621.589999999997</v>
      </c>
      <c r="D1298" s="14">
        <f t="shared" si="40"/>
        <v>-7.5994635672776796E-3</v>
      </c>
      <c r="E1298" s="14">
        <f t="shared" si="41"/>
        <v>-6.1943562030725065E-3</v>
      </c>
    </row>
    <row r="1299" spans="1:5" x14ac:dyDescent="0.35">
      <c r="A1299" s="9">
        <v>44063</v>
      </c>
      <c r="B1299" s="10">
        <v>89.48</v>
      </c>
      <c r="C1299" s="11">
        <v>39868.550000000003</v>
      </c>
      <c r="D1299" s="14">
        <f t="shared" si="40"/>
        <v>5.270588235294122E-2</v>
      </c>
      <c r="E1299" s="14">
        <f t="shared" si="41"/>
        <v>-7.1116007800944327E-3</v>
      </c>
    </row>
    <row r="1300" spans="1:5" x14ac:dyDescent="0.35">
      <c r="A1300" s="9">
        <v>44062</v>
      </c>
      <c r="B1300" s="10">
        <v>85</v>
      </c>
      <c r="C1300" s="11">
        <v>40154.11</v>
      </c>
      <c r="D1300" s="14">
        <f t="shared" si="40"/>
        <v>-1.1627906976744186E-2</v>
      </c>
      <c r="E1300" s="14">
        <f t="shared" si="41"/>
        <v>-7.4407705950703905E-4</v>
      </c>
    </row>
    <row r="1301" spans="1:5" x14ac:dyDescent="0.35">
      <c r="A1301" s="9">
        <v>44061</v>
      </c>
      <c r="B1301" s="10">
        <v>86</v>
      </c>
      <c r="C1301" s="11">
        <v>40184.01</v>
      </c>
      <c r="D1301" s="14">
        <f t="shared" si="40"/>
        <v>5.8479532163742687E-3</v>
      </c>
      <c r="E1301" s="14">
        <f t="shared" si="41"/>
        <v>1.5330550190043501E-3</v>
      </c>
    </row>
    <row r="1302" spans="1:5" x14ac:dyDescent="0.35">
      <c r="A1302" s="9">
        <v>44060</v>
      </c>
      <c r="B1302" s="10">
        <v>85.5</v>
      </c>
      <c r="C1302" s="11">
        <v>40122.5</v>
      </c>
      <c r="D1302" s="14">
        <f t="shared" si="40"/>
        <v>1.1834319526627219E-2</v>
      </c>
      <c r="E1302" s="14">
        <f t="shared" si="41"/>
        <v>-4.1756492931129575E-3</v>
      </c>
    </row>
    <row r="1303" spans="1:5" x14ac:dyDescent="0.35">
      <c r="A1303" s="9">
        <v>44056</v>
      </c>
      <c r="B1303" s="10">
        <v>84.5</v>
      </c>
      <c r="C1303" s="11">
        <v>40290.74</v>
      </c>
      <c r="D1303" s="14">
        <f t="shared" si="40"/>
        <v>-5.8823529411764705E-3</v>
      </c>
      <c r="E1303" s="14">
        <f t="shared" si="41"/>
        <v>-4.507676441534921E-3</v>
      </c>
    </row>
    <row r="1304" spans="1:5" x14ac:dyDescent="0.35">
      <c r="A1304" s="9">
        <v>44055</v>
      </c>
      <c r="B1304" s="10">
        <v>85</v>
      </c>
      <c r="C1304" s="11">
        <v>40473.18</v>
      </c>
      <c r="D1304" s="14">
        <f t="shared" si="40"/>
        <v>0</v>
      </c>
      <c r="E1304" s="14">
        <f t="shared" si="41"/>
        <v>-2.1196203569355167E-3</v>
      </c>
    </row>
    <row r="1305" spans="1:5" x14ac:dyDescent="0.35">
      <c r="A1305" s="9">
        <v>44054</v>
      </c>
      <c r="B1305" s="10">
        <v>85</v>
      </c>
      <c r="C1305" s="11">
        <v>40559.15</v>
      </c>
      <c r="D1305" s="14">
        <f t="shared" si="40"/>
        <v>1.7964071856287425E-2</v>
      </c>
      <c r="E1305" s="14">
        <f t="shared" si="41"/>
        <v>1.6144153190448832E-2</v>
      </c>
    </row>
    <row r="1306" spans="1:5" x14ac:dyDescent="0.35">
      <c r="A1306" s="9">
        <v>44053</v>
      </c>
      <c r="B1306" s="10">
        <v>83.5</v>
      </c>
      <c r="C1306" s="11">
        <v>39914.76</v>
      </c>
      <c r="D1306" s="14">
        <f t="shared" si="40"/>
        <v>-1.4167650531286928E-2</v>
      </c>
      <c r="E1306" s="14">
        <f t="shared" si="41"/>
        <v>-2.8711189119875842E-3</v>
      </c>
    </row>
    <row r="1307" spans="1:5" x14ac:dyDescent="0.35">
      <c r="A1307" s="9">
        <v>44050</v>
      </c>
      <c r="B1307" s="10">
        <v>84.7</v>
      </c>
      <c r="C1307" s="11">
        <v>40029.69</v>
      </c>
      <c r="D1307" s="14">
        <f t="shared" si="40"/>
        <v>2.3668639053254772E-3</v>
      </c>
      <c r="E1307" s="14">
        <f t="shared" si="41"/>
        <v>-3.3966437385537932E-3</v>
      </c>
    </row>
    <row r="1308" spans="1:5" x14ac:dyDescent="0.35">
      <c r="A1308" s="9">
        <v>44049</v>
      </c>
      <c r="B1308" s="10">
        <v>84.5</v>
      </c>
      <c r="C1308" s="11">
        <v>40166.120000000003</v>
      </c>
      <c r="D1308" s="14">
        <f t="shared" si="40"/>
        <v>-1.7441860465116279E-2</v>
      </c>
      <c r="E1308" s="14">
        <f t="shared" si="41"/>
        <v>7.1043192074374904E-3</v>
      </c>
    </row>
    <row r="1309" spans="1:5" x14ac:dyDescent="0.35">
      <c r="A1309" s="9">
        <v>44048</v>
      </c>
      <c r="B1309" s="10">
        <v>86</v>
      </c>
      <c r="C1309" s="11">
        <v>39882.78</v>
      </c>
      <c r="D1309" s="14">
        <f t="shared" si="40"/>
        <v>2.3809523809523808E-2</v>
      </c>
      <c r="E1309" s="14">
        <f t="shared" si="41"/>
        <v>7.7104181605664058E-3</v>
      </c>
    </row>
    <row r="1310" spans="1:5" x14ac:dyDescent="0.35">
      <c r="A1310" s="9">
        <v>44047</v>
      </c>
      <c r="B1310" s="10">
        <v>84</v>
      </c>
      <c r="C1310" s="11">
        <v>39577.620000000003</v>
      </c>
      <c r="D1310" s="14">
        <f t="shared" si="40"/>
        <v>-1.19033448399061E-4</v>
      </c>
      <c r="E1310" s="14">
        <f t="shared" si="41"/>
        <v>-7.3734168246528788E-3</v>
      </c>
    </row>
    <row r="1311" spans="1:5" x14ac:dyDescent="0.35">
      <c r="A1311" s="9">
        <v>44046</v>
      </c>
      <c r="B1311" s="10">
        <v>84.01</v>
      </c>
      <c r="C1311" s="11">
        <v>39871.61</v>
      </c>
      <c r="D1311" s="14">
        <f t="shared" si="40"/>
        <v>1.2168674698795243E-2</v>
      </c>
      <c r="E1311" s="14">
        <f t="shared" si="41"/>
        <v>1.5618807064162464E-2</v>
      </c>
    </row>
    <row r="1312" spans="1:5" x14ac:dyDescent="0.35">
      <c r="A1312" s="9">
        <v>44042</v>
      </c>
      <c r="B1312" s="10">
        <v>83</v>
      </c>
      <c r="C1312" s="11">
        <v>39258.44</v>
      </c>
      <c r="D1312" s="14">
        <f t="shared" si="40"/>
        <v>-1.2046741356469239E-4</v>
      </c>
      <c r="E1312" s="14">
        <f t="shared" si="41"/>
        <v>1.0870508419063046E-2</v>
      </c>
    </row>
    <row r="1313" spans="1:5" x14ac:dyDescent="0.35">
      <c r="A1313" s="9">
        <v>44041</v>
      </c>
      <c r="B1313" s="10">
        <v>83.01</v>
      </c>
      <c r="C1313" s="11">
        <v>38836.269999999997</v>
      </c>
      <c r="D1313" s="14">
        <f t="shared" si="40"/>
        <v>-2.3411764705882292E-2</v>
      </c>
      <c r="E1313" s="14">
        <f t="shared" si="41"/>
        <v>5.4106852490481468E-3</v>
      </c>
    </row>
    <row r="1314" spans="1:5" x14ac:dyDescent="0.35">
      <c r="A1314" s="9">
        <v>44040</v>
      </c>
      <c r="B1314" s="10">
        <v>85</v>
      </c>
      <c r="C1314" s="11">
        <v>38627.269999999997</v>
      </c>
      <c r="D1314" s="14">
        <f t="shared" si="40"/>
        <v>6.9182389937106917E-2</v>
      </c>
      <c r="E1314" s="14">
        <f t="shared" si="41"/>
        <v>1.0625266213793439E-2</v>
      </c>
    </row>
    <row r="1315" spans="1:5" x14ac:dyDescent="0.35">
      <c r="A1315" s="9">
        <v>44039</v>
      </c>
      <c r="B1315" s="10">
        <v>79.5</v>
      </c>
      <c r="C1315" s="11">
        <v>38221.160000000003</v>
      </c>
      <c r="D1315" s="14">
        <f t="shared" si="40"/>
        <v>1.5066394279877514E-2</v>
      </c>
      <c r="E1315" s="14">
        <f t="shared" si="41"/>
        <v>1.6314246953144092E-2</v>
      </c>
    </row>
    <row r="1316" spans="1:5" x14ac:dyDescent="0.35">
      <c r="A1316" s="9">
        <v>44036</v>
      </c>
      <c r="B1316" s="10">
        <v>78.319999999999993</v>
      </c>
      <c r="C1316" s="11">
        <v>37607.620000000003</v>
      </c>
      <c r="D1316" s="14">
        <f t="shared" si="40"/>
        <v>1.6626167029031263E-3</v>
      </c>
      <c r="E1316" s="14">
        <f t="shared" si="41"/>
        <v>7.8263440435304111E-4</v>
      </c>
    </row>
    <row r="1317" spans="1:5" x14ac:dyDescent="0.35">
      <c r="A1317" s="9">
        <v>44035</v>
      </c>
      <c r="B1317" s="10">
        <v>78.19</v>
      </c>
      <c r="C1317" s="11">
        <v>37578.21</v>
      </c>
      <c r="D1317" s="14">
        <f t="shared" si="40"/>
        <v>2.1957913998170077E-2</v>
      </c>
      <c r="E1317" s="14">
        <f t="shared" si="41"/>
        <v>-5.9886876230174427E-3</v>
      </c>
    </row>
    <row r="1318" spans="1:5" x14ac:dyDescent="0.35">
      <c r="A1318" s="9">
        <v>44034</v>
      </c>
      <c r="B1318" s="10">
        <v>76.510000000000005</v>
      </c>
      <c r="C1318" s="11">
        <v>37804.61</v>
      </c>
      <c r="D1318" s="14">
        <f t="shared" si="40"/>
        <v>1.3071895424843289E-4</v>
      </c>
      <c r="E1318" s="14">
        <f t="shared" si="41"/>
        <v>2.7665555004720895E-3</v>
      </c>
    </row>
    <row r="1319" spans="1:5" x14ac:dyDescent="0.35">
      <c r="A1319" s="9">
        <v>44033</v>
      </c>
      <c r="B1319" s="10">
        <v>76.5</v>
      </c>
      <c r="C1319" s="11">
        <v>37700.31</v>
      </c>
      <c r="D1319" s="14">
        <f t="shared" si="40"/>
        <v>-2.6075619295958647E-3</v>
      </c>
      <c r="E1319" s="14">
        <f t="shared" si="41"/>
        <v>1.3210955371989843E-3</v>
      </c>
    </row>
    <row r="1320" spans="1:5" x14ac:dyDescent="0.35">
      <c r="A1320" s="9">
        <v>44032</v>
      </c>
      <c r="B1320" s="10">
        <v>76.7</v>
      </c>
      <c r="C1320" s="11">
        <v>37650.57</v>
      </c>
      <c r="D1320" s="14">
        <f t="shared" si="40"/>
        <v>-3.8961038961038592E-3</v>
      </c>
      <c r="E1320" s="14">
        <f t="shared" si="41"/>
        <v>8.5644982635005949E-3</v>
      </c>
    </row>
    <row r="1321" spans="1:5" x14ac:dyDescent="0.35">
      <c r="A1321" s="9">
        <v>44029</v>
      </c>
      <c r="B1321" s="10">
        <v>77</v>
      </c>
      <c r="C1321" s="11">
        <v>37330.85</v>
      </c>
      <c r="D1321" s="14">
        <f t="shared" si="40"/>
        <v>1.3157894736842105E-2</v>
      </c>
      <c r="E1321" s="14">
        <f t="shared" si="41"/>
        <v>8.9026264923742476E-3</v>
      </c>
    </row>
    <row r="1322" spans="1:5" x14ac:dyDescent="0.35">
      <c r="A1322" s="9">
        <v>44028</v>
      </c>
      <c r="B1322" s="10">
        <v>76</v>
      </c>
      <c r="C1322" s="11">
        <v>37001.440000000002</v>
      </c>
      <c r="D1322" s="14">
        <f t="shared" si="40"/>
        <v>-6.5359477124183009E-3</v>
      </c>
      <c r="E1322" s="14">
        <f t="shared" si="41"/>
        <v>8.790036159625909E-3</v>
      </c>
    </row>
    <row r="1323" spans="1:5" x14ac:dyDescent="0.35">
      <c r="A1323" s="9">
        <v>44027</v>
      </c>
      <c r="B1323" s="10">
        <v>76.5</v>
      </c>
      <c r="C1323" s="11">
        <v>36679.03</v>
      </c>
      <c r="D1323" s="14">
        <f t="shared" si="40"/>
        <v>-6.4935064935064939E-3</v>
      </c>
      <c r="E1323" s="14">
        <f t="shared" si="41"/>
        <v>-1.801322729868057E-3</v>
      </c>
    </row>
    <row r="1324" spans="1:5" x14ac:dyDescent="0.35">
      <c r="A1324" s="9">
        <v>44026</v>
      </c>
      <c r="B1324" s="10">
        <v>77</v>
      </c>
      <c r="C1324" s="11">
        <v>36745.22</v>
      </c>
      <c r="D1324" s="14">
        <f t="shared" si="40"/>
        <v>-1.4715291106845881E-2</v>
      </c>
      <c r="E1324" s="14">
        <f t="shared" si="41"/>
        <v>3.4586276853520348E-3</v>
      </c>
    </row>
    <row r="1325" spans="1:5" x14ac:dyDescent="0.35">
      <c r="A1325" s="9">
        <v>44025</v>
      </c>
      <c r="B1325" s="10">
        <v>78.150000000000006</v>
      </c>
      <c r="C1325" s="11">
        <v>36618.57</v>
      </c>
      <c r="D1325" s="14">
        <f t="shared" si="40"/>
        <v>2.0515450698808924E-3</v>
      </c>
      <c r="E1325" s="14">
        <f t="shared" si="41"/>
        <v>1.1831038065343247E-2</v>
      </c>
    </row>
    <row r="1326" spans="1:5" x14ac:dyDescent="0.35">
      <c r="A1326" s="9">
        <v>44022</v>
      </c>
      <c r="B1326" s="10">
        <v>77.989999999999995</v>
      </c>
      <c r="C1326" s="11">
        <v>36190.400000000001</v>
      </c>
      <c r="D1326" s="14">
        <f t="shared" si="40"/>
        <v>1.1412268188302366E-2</v>
      </c>
      <c r="E1326" s="14">
        <f t="shared" si="41"/>
        <v>1.3344522478866987E-3</v>
      </c>
    </row>
    <row r="1327" spans="1:5" x14ac:dyDescent="0.35">
      <c r="A1327" s="9">
        <v>44021</v>
      </c>
      <c r="B1327" s="10">
        <v>77.11</v>
      </c>
      <c r="C1327" s="11">
        <v>36142.17</v>
      </c>
      <c r="D1327" s="14">
        <f t="shared" si="40"/>
        <v>1.4605263157894729E-2</v>
      </c>
      <c r="E1327" s="14">
        <f t="shared" si="41"/>
        <v>1.2530645142764099E-2</v>
      </c>
    </row>
    <row r="1328" spans="1:5" x14ac:dyDescent="0.35">
      <c r="A1328" s="9">
        <v>44020</v>
      </c>
      <c r="B1328" s="10">
        <v>76</v>
      </c>
      <c r="C1328" s="11">
        <v>35694.89</v>
      </c>
      <c r="D1328" s="14">
        <f t="shared" si="40"/>
        <v>0</v>
      </c>
      <c r="E1328" s="14">
        <f t="shared" si="41"/>
        <v>9.0898939455833529E-3</v>
      </c>
    </row>
    <row r="1329" spans="1:5" x14ac:dyDescent="0.35">
      <c r="A1329" s="9">
        <v>44019</v>
      </c>
      <c r="B1329" s="10">
        <v>76</v>
      </c>
      <c r="C1329" s="11">
        <v>35373.35</v>
      </c>
      <c r="D1329" s="14">
        <f t="shared" si="40"/>
        <v>2.6385224274406709E-3</v>
      </c>
      <c r="E1329" s="14">
        <f t="shared" si="41"/>
        <v>4.8456414083324056E-3</v>
      </c>
    </row>
    <row r="1330" spans="1:5" x14ac:dyDescent="0.35">
      <c r="A1330" s="9">
        <v>44018</v>
      </c>
      <c r="B1330" s="10">
        <v>75.8</v>
      </c>
      <c r="C1330" s="11">
        <v>35202.769999999997</v>
      </c>
      <c r="D1330" s="14">
        <f t="shared" si="40"/>
        <v>1.0666666666666628E-2</v>
      </c>
      <c r="E1330" s="14">
        <f t="shared" si="41"/>
        <v>4.3190881500243198E-3</v>
      </c>
    </row>
    <row r="1331" spans="1:5" x14ac:dyDescent="0.35">
      <c r="A1331" s="9">
        <v>44015</v>
      </c>
      <c r="B1331" s="10">
        <v>75</v>
      </c>
      <c r="C1331" s="11">
        <v>35051.379999999997</v>
      </c>
      <c r="D1331" s="14">
        <f t="shared" si="40"/>
        <v>-1.0554089709762496E-2</v>
      </c>
      <c r="E1331" s="14">
        <f t="shared" si="41"/>
        <v>2.0927332411233828E-3</v>
      </c>
    </row>
    <row r="1332" spans="1:5" x14ac:dyDescent="0.35">
      <c r="A1332" s="9">
        <v>44014</v>
      </c>
      <c r="B1332" s="10">
        <v>75.8</v>
      </c>
      <c r="C1332" s="11">
        <v>34978.18</v>
      </c>
      <c r="D1332" s="14">
        <f t="shared" si="40"/>
        <v>3.9735099337747971E-3</v>
      </c>
      <c r="E1332" s="14">
        <f t="shared" si="41"/>
        <v>2.5443250545078518E-3</v>
      </c>
    </row>
    <row r="1333" spans="1:5" x14ac:dyDescent="0.35">
      <c r="A1333" s="9">
        <v>44013</v>
      </c>
      <c r="B1333" s="10">
        <v>75.5</v>
      </c>
      <c r="C1333" s="11">
        <v>34889.410000000003</v>
      </c>
      <c r="D1333" s="14">
        <f t="shared" si="40"/>
        <v>-1.3200888772709515E-2</v>
      </c>
      <c r="E1333" s="14">
        <f t="shared" si="41"/>
        <v>1.3581171532558476E-2</v>
      </c>
    </row>
    <row r="1334" spans="1:5" x14ac:dyDescent="0.35">
      <c r="A1334" s="9">
        <v>44012</v>
      </c>
      <c r="B1334" s="10">
        <v>76.510000000000005</v>
      </c>
      <c r="C1334" s="11">
        <v>34421.919999999998</v>
      </c>
      <c r="D1334" s="14">
        <f t="shared" si="40"/>
        <v>4.8082191780821987E-2</v>
      </c>
      <c r="E1334" s="14">
        <f t="shared" si="41"/>
        <v>7.0247909706333579E-3</v>
      </c>
    </row>
    <row r="1335" spans="1:5" x14ac:dyDescent="0.35">
      <c r="A1335" s="9">
        <v>44011</v>
      </c>
      <c r="B1335" s="10">
        <v>73</v>
      </c>
      <c r="C1335" s="11">
        <v>34181.800000000003</v>
      </c>
      <c r="D1335" s="14">
        <f t="shared" si="40"/>
        <v>6.20261888352864E-3</v>
      </c>
      <c r="E1335" s="14">
        <f t="shared" si="41"/>
        <v>7.1394708641763609E-3</v>
      </c>
    </row>
    <row r="1336" spans="1:5" x14ac:dyDescent="0.35">
      <c r="A1336" s="9">
        <v>44008</v>
      </c>
      <c r="B1336" s="10">
        <v>72.55</v>
      </c>
      <c r="C1336" s="11">
        <v>33939.49</v>
      </c>
      <c r="D1336" s="14">
        <f t="shared" si="40"/>
        <v>-6.1643835616438745E-3</v>
      </c>
      <c r="E1336" s="14">
        <f t="shared" si="41"/>
        <v>6.8188229891577154E-3</v>
      </c>
    </row>
    <row r="1337" spans="1:5" x14ac:dyDescent="0.35">
      <c r="A1337" s="9">
        <v>44007</v>
      </c>
      <c r="B1337" s="10">
        <v>73</v>
      </c>
      <c r="C1337" s="11">
        <v>33709.629999999997</v>
      </c>
      <c r="D1337" s="14">
        <f t="shared" si="40"/>
        <v>-6.8027210884353739E-3</v>
      </c>
      <c r="E1337" s="14">
        <f t="shared" si="41"/>
        <v>-9.5496795177856704E-3</v>
      </c>
    </row>
    <row r="1338" spans="1:5" x14ac:dyDescent="0.35">
      <c r="A1338" s="9">
        <v>44006</v>
      </c>
      <c r="B1338" s="10">
        <v>73.5</v>
      </c>
      <c r="C1338" s="11">
        <v>34034.65</v>
      </c>
      <c r="D1338" s="14">
        <f t="shared" si="40"/>
        <v>2.0449897750512026E-3</v>
      </c>
      <c r="E1338" s="14">
        <f t="shared" si="41"/>
        <v>-5.2741919048199617E-4</v>
      </c>
    </row>
    <row r="1339" spans="1:5" x14ac:dyDescent="0.35">
      <c r="A1339" s="9">
        <v>44005</v>
      </c>
      <c r="B1339" s="10">
        <v>73.349999999999994</v>
      </c>
      <c r="C1339" s="11">
        <v>34052.61</v>
      </c>
      <c r="D1339" s="14">
        <f t="shared" si="40"/>
        <v>-1.7691888949375293E-3</v>
      </c>
      <c r="E1339" s="14">
        <f t="shared" si="41"/>
        <v>9.3274866974609686E-3</v>
      </c>
    </row>
    <row r="1340" spans="1:5" x14ac:dyDescent="0.35">
      <c r="A1340" s="9">
        <v>44004</v>
      </c>
      <c r="B1340" s="10">
        <v>73.48</v>
      </c>
      <c r="C1340" s="11">
        <v>33737.919999999998</v>
      </c>
      <c r="D1340" s="14">
        <f t="shared" si="40"/>
        <v>-2.7210884353736086E-4</v>
      </c>
      <c r="E1340" s="14">
        <f t="shared" si="41"/>
        <v>8.9410728928607155E-3</v>
      </c>
    </row>
    <row r="1341" spans="1:5" x14ac:dyDescent="0.35">
      <c r="A1341" s="9">
        <v>44001</v>
      </c>
      <c r="B1341" s="10">
        <v>73.5</v>
      </c>
      <c r="C1341" s="11">
        <v>33438.94</v>
      </c>
      <c r="D1341" s="14">
        <f t="shared" si="40"/>
        <v>-6.7567567567567571E-3</v>
      </c>
      <c r="E1341" s="14">
        <f t="shared" si="41"/>
        <v>-3.0086598479121471E-3</v>
      </c>
    </row>
    <row r="1342" spans="1:5" x14ac:dyDescent="0.35">
      <c r="A1342" s="9">
        <v>44000</v>
      </c>
      <c r="B1342" s="10">
        <v>74</v>
      </c>
      <c r="C1342" s="11">
        <v>33539.85</v>
      </c>
      <c r="D1342" s="14">
        <f t="shared" si="40"/>
        <v>-1.3511687609789373E-4</v>
      </c>
      <c r="E1342" s="14">
        <f t="shared" si="41"/>
        <v>-9.1238417569016496E-3</v>
      </c>
    </row>
    <row r="1343" spans="1:5" x14ac:dyDescent="0.35">
      <c r="A1343" s="9">
        <v>43999</v>
      </c>
      <c r="B1343" s="10">
        <v>74.010000000000005</v>
      </c>
      <c r="C1343" s="11">
        <v>33848.68</v>
      </c>
      <c r="D1343" s="14">
        <f t="shared" si="40"/>
        <v>-1.0561497326203102E-2</v>
      </c>
      <c r="E1343" s="14">
        <f t="shared" si="41"/>
        <v>-5.0101237186618089E-3</v>
      </c>
    </row>
    <row r="1344" spans="1:5" x14ac:dyDescent="0.35">
      <c r="A1344" s="9">
        <v>43998</v>
      </c>
      <c r="B1344" s="10">
        <v>74.8</v>
      </c>
      <c r="C1344" s="11">
        <v>34019.120000000003</v>
      </c>
      <c r="D1344" s="14">
        <f t="shared" si="40"/>
        <v>1.7825554497210537E-2</v>
      </c>
      <c r="E1344" s="14">
        <f t="shared" si="41"/>
        <v>5.7535201544678862E-3</v>
      </c>
    </row>
    <row r="1345" spans="1:5" x14ac:dyDescent="0.35">
      <c r="A1345" s="9">
        <v>43997</v>
      </c>
      <c r="B1345" s="10">
        <v>73.489999999999995</v>
      </c>
      <c r="C1345" s="11">
        <v>33824.51</v>
      </c>
      <c r="D1345" s="14">
        <f t="shared" si="40"/>
        <v>-1.6987693953986225E-2</v>
      </c>
      <c r="E1345" s="14">
        <f t="shared" si="41"/>
        <v>-2.2669766815596553E-2</v>
      </c>
    </row>
    <row r="1346" spans="1:5" x14ac:dyDescent="0.35">
      <c r="A1346" s="9">
        <v>43994</v>
      </c>
      <c r="B1346" s="10">
        <v>74.760000000000005</v>
      </c>
      <c r="C1346" s="11">
        <v>34609.089999999997</v>
      </c>
      <c r="D1346" s="14">
        <f t="shared" si="40"/>
        <v>-9.5389507154212873E-3</v>
      </c>
      <c r="E1346" s="14">
        <f t="shared" si="41"/>
        <v>-1.4788243646626342E-2</v>
      </c>
    </row>
    <row r="1347" spans="1:5" x14ac:dyDescent="0.35">
      <c r="A1347" s="9">
        <v>43993</v>
      </c>
      <c r="B1347" s="10">
        <v>75.48</v>
      </c>
      <c r="C1347" s="11">
        <v>35128.58</v>
      </c>
      <c r="D1347" s="14">
        <f t="shared" si="40"/>
        <v>1.8582426333952822E-3</v>
      </c>
      <c r="E1347" s="14">
        <f t="shared" si="41"/>
        <v>1.8109184407963704E-3</v>
      </c>
    </row>
    <row r="1348" spans="1:5" x14ac:dyDescent="0.35">
      <c r="A1348" s="9">
        <v>43992</v>
      </c>
      <c r="B1348" s="10">
        <v>75.34</v>
      </c>
      <c r="C1348" s="11">
        <v>35065.08</v>
      </c>
      <c r="D1348" s="14">
        <f t="shared" si="40"/>
        <v>1.879648411088574E-2</v>
      </c>
      <c r="E1348" s="14">
        <f t="shared" si="41"/>
        <v>7.5130158949075158E-3</v>
      </c>
    </row>
    <row r="1349" spans="1:5" x14ac:dyDescent="0.35">
      <c r="A1349" s="9">
        <v>43991</v>
      </c>
      <c r="B1349" s="10">
        <v>73.95</v>
      </c>
      <c r="C1349" s="11">
        <v>34803.599999999999</v>
      </c>
      <c r="D1349" s="14">
        <f t="shared" ref="D1349:D1412" si="42">(B1349-B1350)/B1350</f>
        <v>8.1201786439304743E-4</v>
      </c>
      <c r="E1349" s="14">
        <f t="shared" ref="E1349:E1412" si="43">(C1349-C1350)/C1350</f>
        <v>1.554839383623994E-3</v>
      </c>
    </row>
    <row r="1350" spans="1:5" x14ac:dyDescent="0.35">
      <c r="A1350" s="9">
        <v>43990</v>
      </c>
      <c r="B1350" s="10">
        <v>73.89</v>
      </c>
      <c r="C1350" s="11">
        <v>34749.57</v>
      </c>
      <c r="D1350" s="14">
        <f t="shared" si="42"/>
        <v>4.6227056424201687E-3</v>
      </c>
      <c r="E1350" s="14">
        <f t="shared" si="43"/>
        <v>1.1619945258311296E-2</v>
      </c>
    </row>
    <row r="1351" spans="1:5" x14ac:dyDescent="0.35">
      <c r="A1351" s="9">
        <v>43987</v>
      </c>
      <c r="B1351" s="10">
        <v>73.55</v>
      </c>
      <c r="C1351" s="11">
        <v>34350.42</v>
      </c>
      <c r="D1351" s="14">
        <f t="shared" si="42"/>
        <v>2.1527777777777739E-2</v>
      </c>
      <c r="E1351" s="14">
        <f t="shared" si="43"/>
        <v>6.7712230494155626E-3</v>
      </c>
    </row>
    <row r="1352" spans="1:5" x14ac:dyDescent="0.35">
      <c r="A1352" s="9">
        <v>43986</v>
      </c>
      <c r="B1352" s="10">
        <v>72</v>
      </c>
      <c r="C1352" s="11">
        <v>34119.39</v>
      </c>
      <c r="D1352" s="14">
        <f t="shared" si="42"/>
        <v>-1.5721120984278955E-2</v>
      </c>
      <c r="E1352" s="14">
        <f t="shared" si="43"/>
        <v>-8.1982080972238594E-3</v>
      </c>
    </row>
    <row r="1353" spans="1:5" x14ac:dyDescent="0.35">
      <c r="A1353" s="9">
        <v>43985</v>
      </c>
      <c r="B1353" s="10">
        <v>73.150000000000006</v>
      </c>
      <c r="C1353" s="11">
        <v>34401.42</v>
      </c>
      <c r="D1353" s="14">
        <f t="shared" si="42"/>
        <v>-2.3103632478632345E-2</v>
      </c>
      <c r="E1353" s="14">
        <f t="shared" si="43"/>
        <v>-1.9268746703183284E-4</v>
      </c>
    </row>
    <row r="1354" spans="1:5" x14ac:dyDescent="0.35">
      <c r="A1354" s="9">
        <v>43984</v>
      </c>
      <c r="B1354" s="10">
        <v>74.88</v>
      </c>
      <c r="C1354" s="11">
        <v>34408.050000000003</v>
      </c>
      <c r="D1354" s="14">
        <f t="shared" si="42"/>
        <v>1.766784452296816E-2</v>
      </c>
      <c r="E1354" s="14">
        <f t="shared" si="43"/>
        <v>1.1347961332045197E-2</v>
      </c>
    </row>
    <row r="1355" spans="1:5" x14ac:dyDescent="0.35">
      <c r="A1355" s="9">
        <v>43983</v>
      </c>
      <c r="B1355" s="10">
        <v>73.58</v>
      </c>
      <c r="C1355" s="11">
        <v>34021.97</v>
      </c>
      <c r="D1355" s="14">
        <f t="shared" si="42"/>
        <v>7.6691317447275037E-3</v>
      </c>
      <c r="E1355" s="14">
        <f t="shared" si="43"/>
        <v>2.6742325580298137E-3</v>
      </c>
    </row>
    <row r="1356" spans="1:5" x14ac:dyDescent="0.35">
      <c r="A1356" s="9">
        <v>43980</v>
      </c>
      <c r="B1356" s="10">
        <v>73.02</v>
      </c>
      <c r="C1356" s="11">
        <v>33931.230000000003</v>
      </c>
      <c r="D1356" s="14">
        <f t="shared" si="42"/>
        <v>2.8450704225352057E-2</v>
      </c>
      <c r="E1356" s="14">
        <f t="shared" si="43"/>
        <v>6.9982804784746696E-3</v>
      </c>
    </row>
    <row r="1357" spans="1:5" x14ac:dyDescent="0.35">
      <c r="A1357" s="9">
        <v>43979</v>
      </c>
      <c r="B1357" s="10">
        <v>71</v>
      </c>
      <c r="C1357" s="11">
        <v>33695.42</v>
      </c>
      <c r="D1357" s="14">
        <f t="shared" si="42"/>
        <v>-1.5393149355151844E-2</v>
      </c>
      <c r="E1357" s="14">
        <f t="shared" si="43"/>
        <v>-4.1726993336508094E-3</v>
      </c>
    </row>
    <row r="1358" spans="1:5" x14ac:dyDescent="0.35">
      <c r="A1358" s="9">
        <v>43972</v>
      </c>
      <c r="B1358" s="10">
        <v>72.11</v>
      </c>
      <c r="C1358" s="11">
        <v>33836.61</v>
      </c>
      <c r="D1358" s="14">
        <f t="shared" si="42"/>
        <v>-5.3793103448275944E-3</v>
      </c>
      <c r="E1358" s="14">
        <f t="shared" si="43"/>
        <v>-2.8350142531666871E-3</v>
      </c>
    </row>
    <row r="1359" spans="1:5" x14ac:dyDescent="0.35">
      <c r="A1359" s="9">
        <v>43971</v>
      </c>
      <c r="B1359" s="10">
        <v>72.5</v>
      </c>
      <c r="C1359" s="11">
        <v>33932.81</v>
      </c>
      <c r="D1359" s="14">
        <f t="shared" si="42"/>
        <v>5.5478502080444619E-3</v>
      </c>
      <c r="E1359" s="14">
        <f t="shared" si="43"/>
        <v>-6.6085943343615356E-3</v>
      </c>
    </row>
    <row r="1360" spans="1:5" x14ac:dyDescent="0.35">
      <c r="A1360" s="9">
        <v>43970</v>
      </c>
      <c r="B1360" s="10">
        <v>72.099999999999994</v>
      </c>
      <c r="C1360" s="11">
        <v>34158.550000000003</v>
      </c>
      <c r="D1360" s="14">
        <f t="shared" si="42"/>
        <v>2.7816411682891323E-3</v>
      </c>
      <c r="E1360" s="14">
        <f t="shared" si="43"/>
        <v>1.0459408779241683E-2</v>
      </c>
    </row>
    <row r="1361" spans="1:5" x14ac:dyDescent="0.35">
      <c r="A1361" s="9">
        <v>43969</v>
      </c>
      <c r="B1361" s="10">
        <v>71.900000000000006</v>
      </c>
      <c r="C1361" s="11">
        <v>33804.97</v>
      </c>
      <c r="D1361" s="14">
        <f t="shared" si="42"/>
        <v>-6.0823887199336147E-3</v>
      </c>
      <c r="E1361" s="14">
        <f t="shared" si="43"/>
        <v>-5.9797114412851373E-3</v>
      </c>
    </row>
    <row r="1362" spans="1:5" x14ac:dyDescent="0.35">
      <c r="A1362" s="9">
        <v>43966</v>
      </c>
      <c r="B1362" s="10">
        <v>72.34</v>
      </c>
      <c r="C1362" s="11">
        <v>34008.33</v>
      </c>
      <c r="D1362" s="14">
        <f t="shared" si="42"/>
        <v>8.2229965156794902E-3</v>
      </c>
      <c r="E1362" s="14">
        <f t="shared" si="43"/>
        <v>6.017766655129886E-3</v>
      </c>
    </row>
    <row r="1363" spans="1:5" x14ac:dyDescent="0.35">
      <c r="A1363" s="9">
        <v>43965</v>
      </c>
      <c r="B1363" s="10">
        <v>71.75</v>
      </c>
      <c r="C1363" s="11">
        <v>33804.9</v>
      </c>
      <c r="D1363" s="14">
        <f t="shared" si="42"/>
        <v>-6.6848744960332954E-2</v>
      </c>
      <c r="E1363" s="14">
        <f t="shared" si="43"/>
        <v>3.3199735019458195E-3</v>
      </c>
    </row>
    <row r="1364" spans="1:5" x14ac:dyDescent="0.35">
      <c r="A1364" s="9">
        <v>43964</v>
      </c>
      <c r="B1364" s="10">
        <v>76.89</v>
      </c>
      <c r="C1364" s="11">
        <v>33693.040000000001</v>
      </c>
      <c r="D1364" s="14">
        <f t="shared" si="42"/>
        <v>-1.4285714285714212E-3</v>
      </c>
      <c r="E1364" s="14">
        <f t="shared" si="43"/>
        <v>2.6789258822571328E-3</v>
      </c>
    </row>
    <row r="1365" spans="1:5" x14ac:dyDescent="0.35">
      <c r="A1365" s="9">
        <v>43963</v>
      </c>
      <c r="B1365" s="10">
        <v>77</v>
      </c>
      <c r="C1365" s="11">
        <v>33603.019999999997</v>
      </c>
      <c r="D1365" s="14">
        <f t="shared" si="42"/>
        <v>-1.4841351074718482E-2</v>
      </c>
      <c r="E1365" s="14">
        <f t="shared" si="43"/>
        <v>9.5911553341730595E-3</v>
      </c>
    </row>
    <row r="1366" spans="1:5" x14ac:dyDescent="0.35">
      <c r="A1366" s="9">
        <v>43962</v>
      </c>
      <c r="B1366" s="10">
        <v>78.16</v>
      </c>
      <c r="C1366" s="11">
        <v>33283.79</v>
      </c>
      <c r="D1366" s="14">
        <f t="shared" si="42"/>
        <v>3.2087679915489137E-2</v>
      </c>
      <c r="E1366" s="14">
        <f t="shared" si="43"/>
        <v>4.8395304873883769E-4</v>
      </c>
    </row>
    <row r="1367" spans="1:5" x14ac:dyDescent="0.35">
      <c r="A1367" s="9">
        <v>43959</v>
      </c>
      <c r="B1367" s="10">
        <v>75.73</v>
      </c>
      <c r="C1367" s="11">
        <v>33267.69</v>
      </c>
      <c r="D1367" s="14">
        <f t="shared" si="42"/>
        <v>-2.2460307215696335E-2</v>
      </c>
      <c r="E1367" s="14">
        <f t="shared" si="43"/>
        <v>-1.0950583951074328E-3</v>
      </c>
    </row>
    <row r="1368" spans="1:5" x14ac:dyDescent="0.35">
      <c r="A1368" s="9">
        <v>43958</v>
      </c>
      <c r="B1368" s="10">
        <v>77.47</v>
      </c>
      <c r="C1368" s="11">
        <v>33304.160000000003</v>
      </c>
      <c r="D1368" s="14">
        <f t="shared" si="42"/>
        <v>-7.1767268999103203E-3</v>
      </c>
      <c r="E1368" s="14">
        <f t="shared" si="43"/>
        <v>-1.2571683381670662E-2</v>
      </c>
    </row>
    <row r="1369" spans="1:5" x14ac:dyDescent="0.35">
      <c r="A1369" s="9">
        <v>43957</v>
      </c>
      <c r="B1369" s="10">
        <v>78.03</v>
      </c>
      <c r="C1369" s="11">
        <v>33728.18</v>
      </c>
      <c r="D1369" s="14">
        <f t="shared" si="42"/>
        <v>-8.6393088552914835E-3</v>
      </c>
      <c r="E1369" s="14">
        <f t="shared" si="43"/>
        <v>-7.7831302262982459E-3</v>
      </c>
    </row>
    <row r="1370" spans="1:5" x14ac:dyDescent="0.35">
      <c r="A1370" s="9">
        <v>43956</v>
      </c>
      <c r="B1370" s="10">
        <v>78.709999999999994</v>
      </c>
      <c r="C1370" s="11">
        <v>33992.75</v>
      </c>
      <c r="D1370" s="14">
        <f t="shared" si="42"/>
        <v>-2.2842954686530147E-2</v>
      </c>
      <c r="E1370" s="14">
        <f t="shared" si="43"/>
        <v>2.2440312483783943E-3</v>
      </c>
    </row>
    <row r="1371" spans="1:5" x14ac:dyDescent="0.35">
      <c r="A1371" s="9">
        <v>43955</v>
      </c>
      <c r="B1371" s="10">
        <v>80.55</v>
      </c>
      <c r="C1371" s="11">
        <v>33916.639999999999</v>
      </c>
      <c r="D1371" s="14">
        <f t="shared" si="42"/>
        <v>6.6233441639590249E-3</v>
      </c>
      <c r="E1371" s="14">
        <f t="shared" si="43"/>
        <v>-5.7165237438012361E-3</v>
      </c>
    </row>
    <row r="1372" spans="1:5" x14ac:dyDescent="0.35">
      <c r="A1372" s="9">
        <v>43951</v>
      </c>
      <c r="B1372" s="10">
        <v>80.02</v>
      </c>
      <c r="C1372" s="11">
        <v>34111.64</v>
      </c>
      <c r="D1372" s="14">
        <f t="shared" si="42"/>
        <v>2.4999999999995024E-4</v>
      </c>
      <c r="E1372" s="14">
        <f t="shared" si="43"/>
        <v>2.873441893624756E-2</v>
      </c>
    </row>
    <row r="1373" spans="1:5" x14ac:dyDescent="0.35">
      <c r="A1373" s="9">
        <v>43950</v>
      </c>
      <c r="B1373" s="10">
        <v>80</v>
      </c>
      <c r="C1373" s="11">
        <v>33158.839999999997</v>
      </c>
      <c r="D1373" s="14">
        <f t="shared" si="42"/>
        <v>2.5006251562885749E-4</v>
      </c>
      <c r="E1373" s="14">
        <f t="shared" si="43"/>
        <v>1.859867743420876E-2</v>
      </c>
    </row>
    <row r="1374" spans="1:5" x14ac:dyDescent="0.35">
      <c r="A1374" s="9">
        <v>43949</v>
      </c>
      <c r="B1374" s="10">
        <v>79.98</v>
      </c>
      <c r="C1374" s="11">
        <v>32553.39</v>
      </c>
      <c r="D1374" s="14">
        <f t="shared" si="42"/>
        <v>1.8723729461215116E-2</v>
      </c>
      <c r="E1374" s="14">
        <f t="shared" si="43"/>
        <v>7.3904743278341541E-3</v>
      </c>
    </row>
    <row r="1375" spans="1:5" x14ac:dyDescent="0.35">
      <c r="A1375" s="9">
        <v>43948</v>
      </c>
      <c r="B1375" s="10">
        <v>78.510000000000005</v>
      </c>
      <c r="C1375" s="11">
        <v>32314.57</v>
      </c>
      <c r="D1375" s="14">
        <f t="shared" si="42"/>
        <v>-1.4560060248525124E-2</v>
      </c>
      <c r="E1375" s="14">
        <f t="shared" si="43"/>
        <v>-1.4991291328089162E-2</v>
      </c>
    </row>
    <row r="1376" spans="1:5" x14ac:dyDescent="0.35">
      <c r="A1376" s="9">
        <v>43945</v>
      </c>
      <c r="B1376" s="10">
        <v>79.67</v>
      </c>
      <c r="C1376" s="11">
        <v>32806.379999999997</v>
      </c>
      <c r="D1376" s="14">
        <f t="shared" si="42"/>
        <v>-2.7537864563775051E-3</v>
      </c>
      <c r="E1376" s="14">
        <f t="shared" si="43"/>
        <v>-1.3530860559688861E-3</v>
      </c>
    </row>
    <row r="1377" spans="1:5" x14ac:dyDescent="0.35">
      <c r="A1377" s="9">
        <v>43944</v>
      </c>
      <c r="B1377" s="10">
        <v>79.89</v>
      </c>
      <c r="C1377" s="11">
        <v>32850.83</v>
      </c>
      <c r="D1377" s="14">
        <f t="shared" si="42"/>
        <v>-1.504130193564294E-2</v>
      </c>
      <c r="E1377" s="14">
        <f t="shared" si="43"/>
        <v>1.190849128409952E-2</v>
      </c>
    </row>
    <row r="1378" spans="1:5" x14ac:dyDescent="0.35">
      <c r="A1378" s="9">
        <v>43943</v>
      </c>
      <c r="B1378" s="10">
        <v>81.11</v>
      </c>
      <c r="C1378" s="11">
        <v>32464.23</v>
      </c>
      <c r="D1378" s="14">
        <f t="shared" si="42"/>
        <v>3.3511722731906161E-2</v>
      </c>
      <c r="E1378" s="14">
        <f t="shared" si="43"/>
        <v>1.2768780516690806E-3</v>
      </c>
    </row>
    <row r="1379" spans="1:5" x14ac:dyDescent="0.35">
      <c r="A1379" s="9">
        <v>43942</v>
      </c>
      <c r="B1379" s="10">
        <v>78.48</v>
      </c>
      <c r="C1379" s="11">
        <v>32422.83</v>
      </c>
      <c r="D1379" s="14">
        <f t="shared" si="42"/>
        <v>-1.8754688672168042E-2</v>
      </c>
      <c r="E1379" s="14">
        <f t="shared" si="43"/>
        <v>-3.2144216432111967E-2</v>
      </c>
    </row>
    <row r="1380" spans="1:5" x14ac:dyDescent="0.35">
      <c r="A1380" s="9">
        <v>43941</v>
      </c>
      <c r="B1380" s="10">
        <v>79.98</v>
      </c>
      <c r="C1380" s="11">
        <v>33499.65</v>
      </c>
      <c r="D1380" s="14">
        <f t="shared" si="42"/>
        <v>-1.2592592592592544E-2</v>
      </c>
      <c r="E1380" s="14">
        <f t="shared" si="43"/>
        <v>2.0340626763722877E-2</v>
      </c>
    </row>
    <row r="1381" spans="1:5" x14ac:dyDescent="0.35">
      <c r="A1381" s="9">
        <v>43938</v>
      </c>
      <c r="B1381" s="10">
        <v>81</v>
      </c>
      <c r="C1381" s="11">
        <v>32831.83</v>
      </c>
      <c r="D1381" s="14">
        <f t="shared" si="42"/>
        <v>-5.473217411599951E-2</v>
      </c>
      <c r="E1381" s="14">
        <f t="shared" si="43"/>
        <v>4.7953906642502063E-2</v>
      </c>
    </row>
    <row r="1382" spans="1:5" x14ac:dyDescent="0.35">
      <c r="A1382" s="9">
        <v>43937</v>
      </c>
      <c r="B1382" s="10">
        <v>85.69</v>
      </c>
      <c r="C1382" s="11">
        <v>31329.46</v>
      </c>
      <c r="D1382" s="14">
        <f t="shared" si="42"/>
        <v>4.1570438799076237E-2</v>
      </c>
      <c r="E1382" s="14">
        <f t="shared" si="43"/>
        <v>3.4180216086095428E-3</v>
      </c>
    </row>
    <row r="1383" spans="1:5" x14ac:dyDescent="0.35">
      <c r="A1383" s="9">
        <v>43935</v>
      </c>
      <c r="B1383" s="10">
        <v>82.27</v>
      </c>
      <c r="C1383" s="11">
        <v>31222.74</v>
      </c>
      <c r="D1383" s="14">
        <f t="shared" si="42"/>
        <v>-1.6144463047118016E-2</v>
      </c>
      <c r="E1383" s="14">
        <f t="shared" si="43"/>
        <v>6.1144607722298109E-3</v>
      </c>
    </row>
    <row r="1384" spans="1:5" x14ac:dyDescent="0.35">
      <c r="A1384" s="9">
        <v>43934</v>
      </c>
      <c r="B1384" s="10">
        <v>83.62</v>
      </c>
      <c r="C1384" s="11">
        <v>31032.99</v>
      </c>
      <c r="D1384" s="14">
        <f t="shared" si="42"/>
        <v>-8.6544161232956704E-3</v>
      </c>
      <c r="E1384" s="14">
        <f t="shared" si="43"/>
        <v>-3.1224167426295191E-2</v>
      </c>
    </row>
    <row r="1385" spans="1:5" x14ac:dyDescent="0.35">
      <c r="A1385" s="9">
        <v>43931</v>
      </c>
      <c r="B1385" s="10">
        <v>84.35</v>
      </c>
      <c r="C1385" s="11">
        <v>32033.200000000001</v>
      </c>
      <c r="D1385" s="14">
        <f t="shared" si="42"/>
        <v>3.243574051407578E-2</v>
      </c>
      <c r="E1385" s="14">
        <f t="shared" si="43"/>
        <v>6.1531599727364271E-3</v>
      </c>
    </row>
    <row r="1386" spans="1:5" x14ac:dyDescent="0.35">
      <c r="A1386" s="9">
        <v>43930</v>
      </c>
      <c r="B1386" s="10">
        <v>81.7</v>
      </c>
      <c r="C1386" s="11">
        <v>31837.3</v>
      </c>
      <c r="D1386" s="14">
        <f t="shared" si="42"/>
        <v>6.7775723967960213E-3</v>
      </c>
      <c r="E1386" s="14">
        <f t="shared" si="43"/>
        <v>2.7962366412484823E-2</v>
      </c>
    </row>
    <row r="1387" spans="1:5" x14ac:dyDescent="0.35">
      <c r="A1387" s="9">
        <v>43929</v>
      </c>
      <c r="B1387" s="10">
        <v>81.150000000000006</v>
      </c>
      <c r="C1387" s="11">
        <v>30971.27</v>
      </c>
      <c r="D1387" s="14">
        <f t="shared" si="42"/>
        <v>-1.8148820326678763E-2</v>
      </c>
      <c r="E1387" s="14">
        <f t="shared" si="43"/>
        <v>-8.3338803229426276E-3</v>
      </c>
    </row>
    <row r="1388" spans="1:5" x14ac:dyDescent="0.35">
      <c r="A1388" s="9">
        <v>43928</v>
      </c>
      <c r="B1388" s="10">
        <v>82.65</v>
      </c>
      <c r="C1388" s="11">
        <v>31231.55</v>
      </c>
      <c r="D1388" s="14">
        <f t="shared" si="42"/>
        <v>2.6708074534161561E-2</v>
      </c>
      <c r="E1388" s="14">
        <f t="shared" si="43"/>
        <v>2.1334798383866059E-2</v>
      </c>
    </row>
    <row r="1389" spans="1:5" x14ac:dyDescent="0.35">
      <c r="A1389" s="9">
        <v>43927</v>
      </c>
      <c r="B1389" s="10">
        <v>80.5</v>
      </c>
      <c r="C1389" s="11">
        <v>30579.15</v>
      </c>
      <c r="D1389" s="14">
        <f t="shared" si="42"/>
        <v>-2.766034545234939E-2</v>
      </c>
      <c r="E1389" s="14">
        <f t="shared" si="43"/>
        <v>-3.2972200498453737E-2</v>
      </c>
    </row>
    <row r="1390" spans="1:5" x14ac:dyDescent="0.35">
      <c r="A1390" s="9">
        <v>43924</v>
      </c>
      <c r="B1390" s="10">
        <v>82.79</v>
      </c>
      <c r="C1390" s="11">
        <v>31621.79</v>
      </c>
      <c r="D1390" s="14">
        <f t="shared" si="42"/>
        <v>7.4227305913847578E-3</v>
      </c>
      <c r="E1390" s="14">
        <f t="shared" si="43"/>
        <v>2.7259827448310219E-2</v>
      </c>
    </row>
    <row r="1391" spans="1:5" x14ac:dyDescent="0.35">
      <c r="A1391" s="9">
        <v>43923</v>
      </c>
      <c r="B1391" s="10">
        <v>82.18</v>
      </c>
      <c r="C1391" s="11">
        <v>30782.66</v>
      </c>
      <c r="D1391" s="14">
        <f t="shared" si="42"/>
        <v>7.4950948332243347E-2</v>
      </c>
      <c r="E1391" s="14">
        <f t="shared" si="43"/>
        <v>4.3283014020742527E-2</v>
      </c>
    </row>
    <row r="1392" spans="1:5" x14ac:dyDescent="0.35">
      <c r="A1392" s="9">
        <v>43922</v>
      </c>
      <c r="B1392" s="10">
        <v>76.45</v>
      </c>
      <c r="C1392" s="11">
        <v>29505.57</v>
      </c>
      <c r="D1392" s="14">
        <f t="shared" si="42"/>
        <v>7.4943757030371178E-2</v>
      </c>
      <c r="E1392" s="14">
        <f t="shared" si="43"/>
        <v>9.3713556171858593E-3</v>
      </c>
    </row>
    <row r="1393" spans="1:5" x14ac:dyDescent="0.35">
      <c r="A1393" s="9">
        <v>43921</v>
      </c>
      <c r="B1393" s="10">
        <v>71.12</v>
      </c>
      <c r="C1393" s="11">
        <v>29231.63</v>
      </c>
      <c r="D1393" s="14">
        <f t="shared" si="42"/>
        <v>6.4351990422029506E-2</v>
      </c>
      <c r="E1393" s="14">
        <f t="shared" si="43"/>
        <v>4.3115411804210753E-2</v>
      </c>
    </row>
    <row r="1394" spans="1:5" x14ac:dyDescent="0.35">
      <c r="A1394" s="9">
        <v>43920</v>
      </c>
      <c r="B1394" s="10">
        <v>66.819999999999993</v>
      </c>
      <c r="C1394" s="11">
        <v>28023.39</v>
      </c>
      <c r="D1394" s="14">
        <f t="shared" si="42"/>
        <v>-4.556491929724342E-2</v>
      </c>
      <c r="E1394" s="14">
        <f t="shared" si="43"/>
        <v>-3.0658597765814378E-3</v>
      </c>
    </row>
    <row r="1395" spans="1:5" x14ac:dyDescent="0.35">
      <c r="A1395" s="9">
        <v>43917</v>
      </c>
      <c r="B1395" s="10">
        <v>70.010000000000005</v>
      </c>
      <c r="C1395" s="11">
        <v>28109.57</v>
      </c>
      <c r="D1395" s="14">
        <f t="shared" si="42"/>
        <v>-2.4223425477344213E-3</v>
      </c>
      <c r="E1395" s="14">
        <f t="shared" si="43"/>
        <v>3.089316101396546E-2</v>
      </c>
    </row>
    <row r="1396" spans="1:5" x14ac:dyDescent="0.35">
      <c r="A1396" s="9">
        <v>43916</v>
      </c>
      <c r="B1396" s="10">
        <v>70.180000000000007</v>
      </c>
      <c r="C1396" s="11">
        <v>27267.200000000001</v>
      </c>
      <c r="D1396" s="14">
        <f t="shared" si="42"/>
        <v>-2.5683742884908985E-2</v>
      </c>
      <c r="E1396" s="14">
        <f t="shared" si="43"/>
        <v>-4.542754149070731E-2</v>
      </c>
    </row>
    <row r="1397" spans="1:5" x14ac:dyDescent="0.35">
      <c r="A1397" s="9">
        <v>43914</v>
      </c>
      <c r="B1397" s="10">
        <v>72.03</v>
      </c>
      <c r="C1397" s="11">
        <v>28564.83</v>
      </c>
      <c r="D1397" s="14">
        <f t="shared" si="42"/>
        <v>-7.4996789520996573E-2</v>
      </c>
      <c r="E1397" s="14">
        <f t="shared" si="43"/>
        <v>-6.8560729451883878E-2</v>
      </c>
    </row>
    <row r="1398" spans="1:5" x14ac:dyDescent="0.35">
      <c r="A1398" s="9">
        <v>43910</v>
      </c>
      <c r="B1398" s="10">
        <v>77.87</v>
      </c>
      <c r="C1398" s="11">
        <v>30667.41</v>
      </c>
      <c r="D1398" s="14">
        <f t="shared" si="42"/>
        <v>5.9455782312925233E-2</v>
      </c>
      <c r="E1398" s="14">
        <f t="shared" si="43"/>
        <v>1.7842118591442371E-2</v>
      </c>
    </row>
    <row r="1399" spans="1:5" x14ac:dyDescent="0.35">
      <c r="A1399" s="9">
        <v>43909</v>
      </c>
      <c r="B1399" s="10">
        <v>73.5</v>
      </c>
      <c r="C1399" s="11">
        <v>30129.83</v>
      </c>
      <c r="D1399" s="14">
        <f t="shared" si="42"/>
        <v>4.2701092353525399E-2</v>
      </c>
      <c r="E1399" s="14">
        <f t="shared" si="43"/>
        <v>-9.4101633841342826E-3</v>
      </c>
    </row>
    <row r="1400" spans="1:5" x14ac:dyDescent="0.35">
      <c r="A1400" s="9">
        <v>43908</v>
      </c>
      <c r="B1400" s="10">
        <v>70.489999999999995</v>
      </c>
      <c r="C1400" s="11">
        <v>30416.05</v>
      </c>
      <c r="D1400" s="14">
        <f t="shared" si="42"/>
        <v>-7.4934383202099844E-2</v>
      </c>
      <c r="E1400" s="14">
        <f t="shared" si="43"/>
        <v>-6.7476614138731045E-2</v>
      </c>
    </row>
    <row r="1401" spans="1:5" x14ac:dyDescent="0.35">
      <c r="A1401" s="9">
        <v>43907</v>
      </c>
      <c r="B1401" s="10">
        <v>76.2</v>
      </c>
      <c r="C1401" s="11">
        <v>32616.93</v>
      </c>
      <c r="D1401" s="14">
        <f t="shared" si="42"/>
        <v>-6.4686387627347436E-2</v>
      </c>
      <c r="E1401" s="14">
        <f t="shared" si="43"/>
        <v>-3.1704997875903577E-2</v>
      </c>
    </row>
    <row r="1402" spans="1:5" x14ac:dyDescent="0.35">
      <c r="A1402" s="9">
        <v>43906</v>
      </c>
      <c r="B1402" s="10">
        <v>81.47</v>
      </c>
      <c r="C1402" s="11">
        <v>33684.910000000003</v>
      </c>
      <c r="D1402" s="14">
        <f t="shared" si="42"/>
        <v>-7.1249430004559966E-2</v>
      </c>
      <c r="E1402" s="14">
        <f t="shared" si="43"/>
        <v>-6.5887743172102123E-2</v>
      </c>
    </row>
    <row r="1403" spans="1:5" x14ac:dyDescent="0.35">
      <c r="A1403" s="9">
        <v>43903</v>
      </c>
      <c r="B1403" s="10">
        <v>87.72</v>
      </c>
      <c r="C1403" s="11">
        <v>36060.879999999997</v>
      </c>
      <c r="D1403" s="14">
        <f t="shared" si="42"/>
        <v>4.4161409356028969E-2</v>
      </c>
      <c r="E1403" s="14">
        <f t="shared" si="43"/>
        <v>2.8976527038499663E-3</v>
      </c>
    </row>
    <row r="1404" spans="1:5" x14ac:dyDescent="0.35">
      <c r="A1404" s="9">
        <v>43902</v>
      </c>
      <c r="B1404" s="10">
        <v>84.01</v>
      </c>
      <c r="C1404" s="11">
        <v>35956.69</v>
      </c>
      <c r="D1404" s="14">
        <f t="shared" si="42"/>
        <v>-5.5005624296962881E-2</v>
      </c>
      <c r="E1404" s="14">
        <f t="shared" si="43"/>
        <v>-4.55644256866609E-2</v>
      </c>
    </row>
    <row r="1405" spans="1:5" x14ac:dyDescent="0.35">
      <c r="A1405" s="9">
        <v>43901</v>
      </c>
      <c r="B1405" s="10">
        <v>88.9</v>
      </c>
      <c r="C1405" s="11">
        <v>37673.25</v>
      </c>
      <c r="D1405" s="14">
        <f t="shared" si="42"/>
        <v>-7.8124999999998734E-3</v>
      </c>
      <c r="E1405" s="14">
        <f t="shared" si="43"/>
        <v>-5.9688426414118299E-4</v>
      </c>
    </row>
    <row r="1406" spans="1:5" x14ac:dyDescent="0.35">
      <c r="A1406" s="9">
        <v>43900</v>
      </c>
      <c r="B1406" s="10">
        <v>89.6</v>
      </c>
      <c r="C1406" s="11">
        <v>37695.75</v>
      </c>
      <c r="D1406" s="14">
        <f t="shared" si="42"/>
        <v>1.7950465803226522E-2</v>
      </c>
      <c r="E1406" s="14">
        <f t="shared" si="43"/>
        <v>1.7183433421616181E-2</v>
      </c>
    </row>
    <row r="1407" spans="1:5" x14ac:dyDescent="0.35">
      <c r="A1407" s="9">
        <v>43899</v>
      </c>
      <c r="B1407" s="10">
        <v>88.02</v>
      </c>
      <c r="C1407" s="11">
        <v>37058.949999999997</v>
      </c>
      <c r="D1407" s="14">
        <f t="shared" si="42"/>
        <v>-6.5462753950338414E-3</v>
      </c>
      <c r="E1407" s="14">
        <f t="shared" si="43"/>
        <v>-3.0369702302505523E-2</v>
      </c>
    </row>
    <row r="1408" spans="1:5" x14ac:dyDescent="0.35">
      <c r="A1408" s="9">
        <v>43896</v>
      </c>
      <c r="B1408" s="10">
        <v>88.6</v>
      </c>
      <c r="C1408" s="11">
        <v>38219.67</v>
      </c>
      <c r="D1408" s="14">
        <f t="shared" si="42"/>
        <v>-4.7414256531555864E-2</v>
      </c>
      <c r="E1408" s="14">
        <f t="shared" si="43"/>
        <v>-2.9516955795410717E-2</v>
      </c>
    </row>
    <row r="1409" spans="1:5" x14ac:dyDescent="0.35">
      <c r="A1409" s="9">
        <v>43895</v>
      </c>
      <c r="B1409" s="10">
        <v>93.01</v>
      </c>
      <c r="C1409" s="11">
        <v>39382.11</v>
      </c>
      <c r="D1409" s="14">
        <f t="shared" si="42"/>
        <v>-2.0947368421052579E-2</v>
      </c>
      <c r="E1409" s="14">
        <f t="shared" si="43"/>
        <v>1.2227037196965001E-2</v>
      </c>
    </row>
    <row r="1410" spans="1:5" x14ac:dyDescent="0.35">
      <c r="A1410" s="9">
        <v>43894</v>
      </c>
      <c r="B1410" s="10">
        <v>95</v>
      </c>
      <c r="C1410" s="11">
        <v>38906.400000000001</v>
      </c>
      <c r="D1410" s="14">
        <f t="shared" si="42"/>
        <v>2.1505376344086023E-2</v>
      </c>
      <c r="E1410" s="14">
        <f t="shared" si="43"/>
        <v>-7.4816937281120361E-3</v>
      </c>
    </row>
    <row r="1411" spans="1:5" x14ac:dyDescent="0.35">
      <c r="A1411" s="9">
        <v>43893</v>
      </c>
      <c r="B1411" s="10">
        <v>93</v>
      </c>
      <c r="C1411" s="11">
        <v>39199.68</v>
      </c>
      <c r="D1411" s="14">
        <f t="shared" si="42"/>
        <v>1.0869565217391304E-2</v>
      </c>
      <c r="E1411" s="14">
        <f t="shared" si="43"/>
        <v>-2.4587556589297874E-3</v>
      </c>
    </row>
    <row r="1412" spans="1:5" x14ac:dyDescent="0.35">
      <c r="A1412" s="9">
        <v>43892</v>
      </c>
      <c r="B1412" s="10">
        <v>92</v>
      </c>
      <c r="C1412" s="11">
        <v>39296.300000000003</v>
      </c>
      <c r="D1412" s="14">
        <f t="shared" si="42"/>
        <v>-7.6029108287165405E-4</v>
      </c>
      <c r="E1412" s="14">
        <f t="shared" si="43"/>
        <v>3.4559107320471301E-2</v>
      </c>
    </row>
    <row r="1413" spans="1:5" x14ac:dyDescent="0.35">
      <c r="A1413" s="9">
        <v>43889</v>
      </c>
      <c r="B1413" s="10">
        <v>92.07</v>
      </c>
      <c r="C1413" s="11">
        <v>37983.620000000003</v>
      </c>
      <c r="D1413" s="14">
        <f t="shared" ref="D1413:D1476" si="44">(B1413-B1414)/B1414</f>
        <v>0</v>
      </c>
      <c r="E1413" s="14">
        <f t="shared" ref="E1413:E1476" si="45">(C1413-C1414)/C1414</f>
        <v>-2.7226909113058383E-3</v>
      </c>
    </row>
    <row r="1414" spans="1:5" x14ac:dyDescent="0.35">
      <c r="A1414" s="9">
        <v>43888</v>
      </c>
      <c r="B1414" s="10">
        <v>92.07</v>
      </c>
      <c r="C1414" s="11">
        <v>38087.32</v>
      </c>
      <c r="D1414" s="14">
        <f t="shared" si="44"/>
        <v>-3.2573289902281368E-4</v>
      </c>
      <c r="E1414" s="14">
        <f t="shared" si="45"/>
        <v>-6.5472335388631177E-3</v>
      </c>
    </row>
    <row r="1415" spans="1:5" x14ac:dyDescent="0.35">
      <c r="A1415" s="9">
        <v>43887</v>
      </c>
      <c r="B1415" s="10">
        <v>92.1</v>
      </c>
      <c r="C1415" s="11">
        <v>38338.33</v>
      </c>
      <c r="D1415" s="14">
        <f t="shared" si="44"/>
        <v>1.0869565217390686E-3</v>
      </c>
      <c r="E1415" s="14">
        <f t="shared" si="45"/>
        <v>-1.3384990909313043E-2</v>
      </c>
    </row>
    <row r="1416" spans="1:5" x14ac:dyDescent="0.35">
      <c r="A1416" s="9">
        <v>43886</v>
      </c>
      <c r="B1416" s="10">
        <v>92</v>
      </c>
      <c r="C1416" s="11">
        <v>38858.449999999997</v>
      </c>
      <c r="D1416" s="14">
        <f t="shared" si="44"/>
        <v>-1.0857763300759426E-3</v>
      </c>
      <c r="E1416" s="14">
        <f t="shared" si="45"/>
        <v>-7.2880126651191923E-3</v>
      </c>
    </row>
    <row r="1417" spans="1:5" x14ac:dyDescent="0.35">
      <c r="A1417" s="9">
        <v>43885</v>
      </c>
      <c r="B1417" s="10">
        <v>92.1</v>
      </c>
      <c r="C1417" s="11">
        <v>39143.730000000003</v>
      </c>
      <c r="D1417" s="14">
        <f t="shared" si="44"/>
        <v>-9.4644009464401983E-3</v>
      </c>
      <c r="E1417" s="14">
        <f t="shared" si="45"/>
        <v>-2.7466122324854941E-2</v>
      </c>
    </row>
    <row r="1418" spans="1:5" x14ac:dyDescent="0.35">
      <c r="A1418" s="9">
        <v>43882</v>
      </c>
      <c r="B1418" s="10">
        <v>92.98</v>
      </c>
      <c r="C1418" s="11">
        <v>40249.22</v>
      </c>
      <c r="D1418" s="14">
        <f t="shared" si="44"/>
        <v>-5.5614973262031664E-3</v>
      </c>
      <c r="E1418" s="14">
        <f t="shared" si="45"/>
        <v>-5.7416137929160562E-3</v>
      </c>
    </row>
    <row r="1419" spans="1:5" x14ac:dyDescent="0.35">
      <c r="A1419" s="9">
        <v>43881</v>
      </c>
      <c r="B1419" s="10">
        <v>93.5</v>
      </c>
      <c r="C1419" s="11">
        <v>40481.65</v>
      </c>
      <c r="D1419" s="14">
        <f t="shared" si="44"/>
        <v>-2.1385799828909348E-4</v>
      </c>
      <c r="E1419" s="14">
        <f t="shared" si="45"/>
        <v>-2.2888748899554537E-3</v>
      </c>
    </row>
    <row r="1420" spans="1:5" x14ac:dyDescent="0.35">
      <c r="A1420" s="9">
        <v>43880</v>
      </c>
      <c r="B1420" s="10">
        <v>93.52</v>
      </c>
      <c r="C1420" s="11">
        <v>40574.519999999997</v>
      </c>
      <c r="D1420" s="14">
        <f t="shared" si="44"/>
        <v>4.5112781954887403E-3</v>
      </c>
      <c r="E1420" s="14">
        <f t="shared" si="45"/>
        <v>9.9356943996753797E-3</v>
      </c>
    </row>
    <row r="1421" spans="1:5" x14ac:dyDescent="0.35">
      <c r="A1421" s="9">
        <v>43879</v>
      </c>
      <c r="B1421" s="10">
        <v>93.1</v>
      </c>
      <c r="C1421" s="11">
        <v>40175.35</v>
      </c>
      <c r="D1421" s="14">
        <f t="shared" si="44"/>
        <v>-2.1030494216614092E-2</v>
      </c>
      <c r="E1421" s="14">
        <f t="shared" si="45"/>
        <v>-1.6874875444982214E-3</v>
      </c>
    </row>
    <row r="1422" spans="1:5" x14ac:dyDescent="0.35">
      <c r="A1422" s="9">
        <v>43875</v>
      </c>
      <c r="B1422" s="10">
        <v>95.1</v>
      </c>
      <c r="C1422" s="11">
        <v>40243.26</v>
      </c>
      <c r="D1422" s="14">
        <f t="shared" si="44"/>
        <v>1.0526315789473085E-3</v>
      </c>
      <c r="E1422" s="14">
        <f t="shared" si="45"/>
        <v>-5.2447829018792101E-3</v>
      </c>
    </row>
    <row r="1423" spans="1:5" x14ac:dyDescent="0.35">
      <c r="A1423" s="9">
        <v>43874</v>
      </c>
      <c r="B1423" s="10">
        <v>95</v>
      </c>
      <c r="C1423" s="11">
        <v>40455.440000000002</v>
      </c>
      <c r="D1423" s="14">
        <f t="shared" si="44"/>
        <v>-1.0416666666666666E-2</v>
      </c>
      <c r="E1423" s="14">
        <f t="shared" si="45"/>
        <v>-1.867453485752681E-3</v>
      </c>
    </row>
    <row r="1424" spans="1:5" x14ac:dyDescent="0.35">
      <c r="A1424" s="9">
        <v>43873</v>
      </c>
      <c r="B1424" s="10">
        <v>96</v>
      </c>
      <c r="C1424" s="11">
        <v>40531.129999999997</v>
      </c>
      <c r="D1424" s="14">
        <f t="shared" si="44"/>
        <v>2.6737967914438502E-2</v>
      </c>
      <c r="E1424" s="14">
        <f t="shared" si="45"/>
        <v>2.0563542850639244E-2</v>
      </c>
    </row>
    <row r="1425" spans="1:5" x14ac:dyDescent="0.35">
      <c r="A1425" s="9">
        <v>43872</v>
      </c>
      <c r="B1425" s="10">
        <v>93.5</v>
      </c>
      <c r="C1425" s="11">
        <v>39714.46</v>
      </c>
      <c r="D1425" s="14">
        <f t="shared" si="44"/>
        <v>7.3260073260073997E-3</v>
      </c>
      <c r="E1425" s="14">
        <f t="shared" si="45"/>
        <v>1.0630918117806382E-2</v>
      </c>
    </row>
    <row r="1426" spans="1:5" x14ac:dyDescent="0.35">
      <c r="A1426" s="9">
        <v>43871</v>
      </c>
      <c r="B1426" s="10">
        <v>92.82</v>
      </c>
      <c r="C1426" s="11">
        <v>39296.699999999997</v>
      </c>
      <c r="D1426" s="14">
        <f t="shared" si="44"/>
        <v>-1.8712337456390848E-2</v>
      </c>
      <c r="E1426" s="14">
        <f t="shared" si="45"/>
        <v>-2.109749417279903E-2</v>
      </c>
    </row>
    <row r="1427" spans="1:5" x14ac:dyDescent="0.35">
      <c r="A1427" s="9">
        <v>43868</v>
      </c>
      <c r="B1427" s="10">
        <v>94.59</v>
      </c>
      <c r="C1427" s="11">
        <v>40143.629999999997</v>
      </c>
      <c r="D1427" s="14">
        <f t="shared" si="44"/>
        <v>-2.0908808611944892E-2</v>
      </c>
      <c r="E1427" s="14">
        <f t="shared" si="45"/>
        <v>-1.4261225638382632E-2</v>
      </c>
    </row>
    <row r="1428" spans="1:5" x14ac:dyDescent="0.35">
      <c r="A1428" s="9">
        <v>43867</v>
      </c>
      <c r="B1428" s="10">
        <v>96.61</v>
      </c>
      <c r="C1428" s="11">
        <v>40724.410000000003</v>
      </c>
      <c r="D1428" s="14">
        <f t="shared" si="44"/>
        <v>1.7627540439651775E-3</v>
      </c>
      <c r="E1428" s="14">
        <f t="shared" si="45"/>
        <v>-3.9095739802001142E-3</v>
      </c>
    </row>
    <row r="1429" spans="1:5" x14ac:dyDescent="0.35">
      <c r="A1429" s="9">
        <v>43865</v>
      </c>
      <c r="B1429" s="10">
        <v>96.44</v>
      </c>
      <c r="C1429" s="11">
        <v>40884.25</v>
      </c>
      <c r="D1429" s="14">
        <f t="shared" si="44"/>
        <v>2.9352118689294483E-2</v>
      </c>
      <c r="E1429" s="14">
        <f t="shared" si="45"/>
        <v>1.1751479483228959E-2</v>
      </c>
    </row>
    <row r="1430" spans="1:5" x14ac:dyDescent="0.35">
      <c r="A1430" s="9">
        <v>43864</v>
      </c>
      <c r="B1430" s="10">
        <v>93.69</v>
      </c>
      <c r="C1430" s="11">
        <v>40409.379999999997</v>
      </c>
      <c r="D1430" s="14">
        <f t="shared" si="44"/>
        <v>-1.0351748177881103E-2</v>
      </c>
      <c r="E1430" s="14">
        <f t="shared" si="45"/>
        <v>-2.9342599518531288E-2</v>
      </c>
    </row>
    <row r="1431" spans="1:5" x14ac:dyDescent="0.35">
      <c r="A1431" s="9">
        <v>43861</v>
      </c>
      <c r="B1431" s="10">
        <v>94.67</v>
      </c>
      <c r="C1431" s="11">
        <v>41630.94</v>
      </c>
      <c r="D1431" s="14">
        <f t="shared" si="44"/>
        <v>-2.2133220910623289E-3</v>
      </c>
      <c r="E1431" s="14">
        <f t="shared" si="45"/>
        <v>-6.5047056917188961E-3</v>
      </c>
    </row>
    <row r="1432" spans="1:5" x14ac:dyDescent="0.35">
      <c r="A1432" s="9">
        <v>43860</v>
      </c>
      <c r="B1432" s="10">
        <v>94.88</v>
      </c>
      <c r="C1432" s="11">
        <v>41903.51</v>
      </c>
      <c r="D1432" s="14">
        <f t="shared" si="44"/>
        <v>-1.9632155404009151E-2</v>
      </c>
      <c r="E1432" s="14">
        <f t="shared" si="45"/>
        <v>1.1480069787379914E-4</v>
      </c>
    </row>
    <row r="1433" spans="1:5" x14ac:dyDescent="0.35">
      <c r="A1433" s="9">
        <v>43859</v>
      </c>
      <c r="B1433" s="10">
        <v>96.78</v>
      </c>
      <c r="C1433" s="11">
        <v>41898.699999999997</v>
      </c>
      <c r="D1433" s="14">
        <f t="shared" si="44"/>
        <v>-1.1944869831546724E-2</v>
      </c>
      <c r="E1433" s="14">
        <f t="shared" si="45"/>
        <v>-9.4680300024658909E-3</v>
      </c>
    </row>
    <row r="1434" spans="1:5" x14ac:dyDescent="0.35">
      <c r="A1434" s="9">
        <v>43858</v>
      </c>
      <c r="B1434" s="10">
        <v>97.95</v>
      </c>
      <c r="C1434" s="11">
        <v>42299.19</v>
      </c>
      <c r="D1434" s="14">
        <f t="shared" si="44"/>
        <v>-5.1020408163262405E-4</v>
      </c>
      <c r="E1434" s="14">
        <f t="shared" si="45"/>
        <v>-5.6427913716350971E-3</v>
      </c>
    </row>
    <row r="1435" spans="1:5" x14ac:dyDescent="0.35">
      <c r="A1435" s="9">
        <v>43857</v>
      </c>
      <c r="B1435" s="10">
        <v>98</v>
      </c>
      <c r="C1435" s="11">
        <v>42539.23</v>
      </c>
      <c r="D1435" s="14">
        <f t="shared" si="44"/>
        <v>-1.0101010101010102E-2</v>
      </c>
      <c r="E1435" s="14">
        <f t="shared" si="45"/>
        <v>-2.2001720262433996E-3</v>
      </c>
    </row>
    <row r="1436" spans="1:5" x14ac:dyDescent="0.35">
      <c r="A1436" s="9">
        <v>43854</v>
      </c>
      <c r="B1436" s="10">
        <v>99</v>
      </c>
      <c r="C1436" s="11">
        <v>42633.03</v>
      </c>
      <c r="D1436" s="14">
        <f t="shared" si="44"/>
        <v>1.020408163265306E-2</v>
      </c>
      <c r="E1436" s="14">
        <f t="shared" si="45"/>
        <v>2.9661031901842346E-3</v>
      </c>
    </row>
    <row r="1437" spans="1:5" x14ac:dyDescent="0.35">
      <c r="A1437" s="9">
        <v>43853</v>
      </c>
      <c r="B1437" s="10">
        <v>98</v>
      </c>
      <c r="C1437" s="11">
        <v>42506.95</v>
      </c>
      <c r="D1437" s="14">
        <f t="shared" si="44"/>
        <v>-5.076142131979695E-3</v>
      </c>
      <c r="E1437" s="14">
        <f t="shared" si="45"/>
        <v>-1.2762777050590764E-3</v>
      </c>
    </row>
    <row r="1438" spans="1:5" x14ac:dyDescent="0.35">
      <c r="A1438" s="9">
        <v>43852</v>
      </c>
      <c r="B1438" s="10">
        <v>98.5</v>
      </c>
      <c r="C1438" s="11">
        <v>42561.27</v>
      </c>
      <c r="D1438" s="14">
        <f t="shared" si="44"/>
        <v>-4.9499949489846947E-3</v>
      </c>
      <c r="E1438" s="14">
        <f t="shared" si="45"/>
        <v>-1.5298002556159082E-3</v>
      </c>
    </row>
    <row r="1439" spans="1:5" x14ac:dyDescent="0.35">
      <c r="A1439" s="9">
        <v>43851</v>
      </c>
      <c r="B1439" s="10">
        <v>98.99</v>
      </c>
      <c r="C1439" s="11">
        <v>42626.48</v>
      </c>
      <c r="D1439" s="14">
        <f t="shared" si="44"/>
        <v>-4.0391800464512019E-4</v>
      </c>
      <c r="E1439" s="14">
        <f t="shared" si="45"/>
        <v>-2.8340752458088131E-3</v>
      </c>
    </row>
    <row r="1440" spans="1:5" x14ac:dyDescent="0.35">
      <c r="A1440" s="9">
        <v>43850</v>
      </c>
      <c r="B1440" s="10">
        <v>99.03</v>
      </c>
      <c r="C1440" s="11">
        <v>42747.63</v>
      </c>
      <c r="D1440" s="14">
        <f t="shared" si="44"/>
        <v>-1.713709677419372E-3</v>
      </c>
      <c r="E1440" s="14">
        <f t="shared" si="45"/>
        <v>-9.7327242060453768E-3</v>
      </c>
    </row>
    <row r="1441" spans="1:5" x14ac:dyDescent="0.35">
      <c r="A1441" s="9">
        <v>43847</v>
      </c>
      <c r="B1441" s="10">
        <v>99.2</v>
      </c>
      <c r="C1441" s="11">
        <v>43167.77</v>
      </c>
      <c r="D1441" s="14">
        <f t="shared" si="44"/>
        <v>-3.2154340836012176E-3</v>
      </c>
      <c r="E1441" s="14">
        <f t="shared" si="45"/>
        <v>2.3840650549980902E-3</v>
      </c>
    </row>
    <row r="1442" spans="1:5" x14ac:dyDescent="0.35">
      <c r="A1442" s="9">
        <v>43846</v>
      </c>
      <c r="B1442" s="10">
        <v>99.52</v>
      </c>
      <c r="C1442" s="11">
        <v>43065.1</v>
      </c>
      <c r="D1442" s="14">
        <f t="shared" si="44"/>
        <v>2.0100502512558814E-4</v>
      </c>
      <c r="E1442" s="14">
        <f t="shared" si="45"/>
        <v>1.676318231117921E-3</v>
      </c>
    </row>
    <row r="1443" spans="1:5" x14ac:dyDescent="0.35">
      <c r="A1443" s="9">
        <v>43845</v>
      </c>
      <c r="B1443" s="10">
        <v>99.5</v>
      </c>
      <c r="C1443" s="11">
        <v>42993.03</v>
      </c>
      <c r="D1443" s="14">
        <f t="shared" si="44"/>
        <v>-5.0000000000000001E-3</v>
      </c>
      <c r="E1443" s="14">
        <f t="shared" si="45"/>
        <v>-4.9531280087689884E-3</v>
      </c>
    </row>
    <row r="1444" spans="1:5" x14ac:dyDescent="0.35">
      <c r="A1444" s="9">
        <v>43844</v>
      </c>
      <c r="B1444" s="10">
        <v>100</v>
      </c>
      <c r="C1444" s="11">
        <v>43207.040000000001</v>
      </c>
      <c r="D1444" s="14">
        <f t="shared" si="44"/>
        <v>0</v>
      </c>
      <c r="E1444" s="14">
        <f t="shared" si="45"/>
        <v>-2.6909666586216979E-4</v>
      </c>
    </row>
    <row r="1445" spans="1:5" x14ac:dyDescent="0.35">
      <c r="A1445" s="9">
        <v>43843</v>
      </c>
      <c r="B1445" s="10">
        <v>100</v>
      </c>
      <c r="C1445" s="11">
        <v>43218.67</v>
      </c>
      <c r="D1445" s="14">
        <f t="shared" si="44"/>
        <v>-9.2143069454077749E-3</v>
      </c>
      <c r="E1445" s="14">
        <f t="shared" si="45"/>
        <v>2.6893759236039816E-4</v>
      </c>
    </row>
    <row r="1446" spans="1:5" x14ac:dyDescent="0.35">
      <c r="A1446" s="9">
        <v>43840</v>
      </c>
      <c r="B1446" s="10">
        <v>100.93</v>
      </c>
      <c r="C1446" s="11">
        <v>43207.05</v>
      </c>
      <c r="D1446" s="14">
        <f t="shared" si="44"/>
        <v>3.9647140450001239E-4</v>
      </c>
      <c r="E1446" s="14">
        <f t="shared" si="45"/>
        <v>1.6084915788065236E-2</v>
      </c>
    </row>
    <row r="1447" spans="1:5" x14ac:dyDescent="0.35">
      <c r="A1447" s="9">
        <v>43839</v>
      </c>
      <c r="B1447" s="10">
        <v>100.89</v>
      </c>
      <c r="C1447" s="11">
        <v>42523.07</v>
      </c>
      <c r="D1447" s="14">
        <f t="shared" si="44"/>
        <v>3.7429305912596404E-2</v>
      </c>
      <c r="E1447" s="14">
        <f t="shared" si="45"/>
        <v>2.8181304699793751E-2</v>
      </c>
    </row>
    <row r="1448" spans="1:5" x14ac:dyDescent="0.35">
      <c r="A1448" s="9">
        <v>43838</v>
      </c>
      <c r="B1448" s="10">
        <v>97.25</v>
      </c>
      <c r="C1448" s="11">
        <v>41357.56</v>
      </c>
      <c r="D1448" s="14">
        <f t="shared" si="44"/>
        <v>-8.1591024987251112E-3</v>
      </c>
      <c r="E1448" s="14">
        <f t="shared" si="45"/>
        <v>-1.305135227816993E-2</v>
      </c>
    </row>
    <row r="1449" spans="1:5" x14ac:dyDescent="0.35">
      <c r="A1449" s="9">
        <v>43837</v>
      </c>
      <c r="B1449" s="10">
        <v>98.05</v>
      </c>
      <c r="C1449" s="11">
        <v>41904.47</v>
      </c>
      <c r="D1449" s="14">
        <f t="shared" si="44"/>
        <v>4.3019563658711641E-3</v>
      </c>
      <c r="E1449" s="14">
        <f t="shared" si="45"/>
        <v>1.4728459540142232E-2</v>
      </c>
    </row>
    <row r="1450" spans="1:5" x14ac:dyDescent="0.35">
      <c r="A1450" s="9">
        <v>43836</v>
      </c>
      <c r="B1450" s="10">
        <v>97.63</v>
      </c>
      <c r="C1450" s="11">
        <v>41296.239999999998</v>
      </c>
      <c r="D1450" s="14">
        <f t="shared" si="44"/>
        <v>-2.4675324675324666E-2</v>
      </c>
      <c r="E1450" s="14">
        <f t="shared" si="45"/>
        <v>-2.4267011315280352E-2</v>
      </c>
    </row>
    <row r="1451" spans="1:5" x14ac:dyDescent="0.35">
      <c r="A1451" s="9">
        <v>43833</v>
      </c>
      <c r="B1451" s="10">
        <v>100.1</v>
      </c>
      <c r="C1451" s="11">
        <v>42323.3</v>
      </c>
      <c r="D1451" s="14">
        <f t="shared" si="44"/>
        <v>8.9991000899899206E-4</v>
      </c>
      <c r="E1451" s="14">
        <f t="shared" si="45"/>
        <v>-3.7066191847791594E-3</v>
      </c>
    </row>
    <row r="1452" spans="1:5" x14ac:dyDescent="0.35">
      <c r="A1452" s="9">
        <v>43832</v>
      </c>
      <c r="B1452" s="10">
        <v>100.01</v>
      </c>
      <c r="C1452" s="11">
        <v>42480.76</v>
      </c>
      <c r="D1452" s="14">
        <f t="shared" si="44"/>
        <v>3.1243555372241709E-2</v>
      </c>
      <c r="E1452" s="14">
        <f t="shared" si="45"/>
        <v>2.6105314009661883E-2</v>
      </c>
    </row>
    <row r="1453" spans="1:5" x14ac:dyDescent="0.35">
      <c r="A1453" s="9">
        <v>43831</v>
      </c>
      <c r="B1453" s="10">
        <v>96.98</v>
      </c>
      <c r="C1453" s="11">
        <v>41400</v>
      </c>
      <c r="D1453" s="14">
        <f t="shared" si="44"/>
        <v>1.4435146443514747E-2</v>
      </c>
      <c r="E1453" s="14">
        <f t="shared" si="45"/>
        <v>1.6323031647415404E-2</v>
      </c>
    </row>
    <row r="1454" spans="1:5" x14ac:dyDescent="0.35">
      <c r="A1454" s="9">
        <v>43830</v>
      </c>
      <c r="B1454" s="10">
        <v>95.6</v>
      </c>
      <c r="C1454" s="11">
        <v>40735.08</v>
      </c>
      <c r="D1454" s="14">
        <f t="shared" si="44"/>
        <v>-4.400000000000006E-2</v>
      </c>
      <c r="E1454" s="14">
        <f t="shared" si="45"/>
        <v>-3.7307135998622776E-3</v>
      </c>
    </row>
    <row r="1455" spans="1:5" x14ac:dyDescent="0.35">
      <c r="A1455" s="9">
        <v>43829</v>
      </c>
      <c r="B1455" s="10">
        <v>100</v>
      </c>
      <c r="C1455" s="11">
        <v>40887.620000000003</v>
      </c>
      <c r="D1455" s="14">
        <f t="shared" si="44"/>
        <v>-4.9751243781094526E-3</v>
      </c>
      <c r="E1455" s="14">
        <f t="shared" si="45"/>
        <v>9.5694998081947589E-4</v>
      </c>
    </row>
    <row r="1456" spans="1:5" x14ac:dyDescent="0.35">
      <c r="A1456" s="9">
        <v>43826</v>
      </c>
      <c r="B1456" s="10">
        <v>100.5</v>
      </c>
      <c r="C1456" s="11">
        <v>40848.53</v>
      </c>
      <c r="D1456" s="14">
        <f t="shared" si="44"/>
        <v>-2.4813895781637717E-3</v>
      </c>
      <c r="E1456" s="14">
        <f t="shared" si="45"/>
        <v>-6.7900560667130917E-3</v>
      </c>
    </row>
    <row r="1457" spans="1:5" x14ac:dyDescent="0.35">
      <c r="A1457" s="9">
        <v>43825</v>
      </c>
      <c r="B1457" s="10">
        <v>100.75</v>
      </c>
      <c r="C1457" s="11">
        <v>41127.79</v>
      </c>
      <c r="D1457" s="14">
        <f t="shared" si="44"/>
        <v>2.6071901415622795E-2</v>
      </c>
      <c r="E1457" s="14">
        <f t="shared" si="45"/>
        <v>1.9824034326250167E-2</v>
      </c>
    </row>
    <row r="1458" spans="1:5" x14ac:dyDescent="0.35">
      <c r="A1458" s="9">
        <v>43823</v>
      </c>
      <c r="B1458" s="10">
        <v>98.19</v>
      </c>
      <c r="C1458" s="11">
        <v>40328.32</v>
      </c>
      <c r="D1458" s="14">
        <f t="shared" si="44"/>
        <v>1.3835828600929308E-2</v>
      </c>
      <c r="E1458" s="14">
        <f t="shared" si="45"/>
        <v>7.9990921881439771E-3</v>
      </c>
    </row>
    <row r="1459" spans="1:5" x14ac:dyDescent="0.35">
      <c r="A1459" s="9">
        <v>43822</v>
      </c>
      <c r="B1459" s="10">
        <v>96.85</v>
      </c>
      <c r="C1459" s="11">
        <v>40008.29</v>
      </c>
      <c r="D1459" s="14">
        <f t="shared" si="44"/>
        <v>-3.1693661267746469E-2</v>
      </c>
      <c r="E1459" s="14">
        <f t="shared" si="45"/>
        <v>-2.0196904512748078E-2</v>
      </c>
    </row>
    <row r="1460" spans="1:5" x14ac:dyDescent="0.35">
      <c r="A1460" s="9">
        <v>43819</v>
      </c>
      <c r="B1460" s="10">
        <v>100.02</v>
      </c>
      <c r="C1460" s="11">
        <v>40832.99</v>
      </c>
      <c r="D1460" s="14">
        <f t="shared" si="44"/>
        <v>-9.9970008997351956E-5</v>
      </c>
      <c r="E1460" s="14">
        <f t="shared" si="45"/>
        <v>4.3689185463075438E-3</v>
      </c>
    </row>
    <row r="1461" spans="1:5" x14ac:dyDescent="0.35">
      <c r="A1461" s="9">
        <v>43818</v>
      </c>
      <c r="B1461" s="10">
        <v>100.03</v>
      </c>
      <c r="C1461" s="11">
        <v>40655.370000000003</v>
      </c>
      <c r="D1461" s="14">
        <f t="shared" si="44"/>
        <v>-1.0583580613254137E-2</v>
      </c>
      <c r="E1461" s="14">
        <f t="shared" si="45"/>
        <v>-2.2794601731432041E-2</v>
      </c>
    </row>
    <row r="1462" spans="1:5" x14ac:dyDescent="0.35">
      <c r="A1462" s="9">
        <v>43817</v>
      </c>
      <c r="B1462" s="10">
        <v>101.1</v>
      </c>
      <c r="C1462" s="11">
        <v>41603.71</v>
      </c>
      <c r="D1462" s="14">
        <f t="shared" si="44"/>
        <v>-9.0178396392864308E-3</v>
      </c>
      <c r="E1462" s="14">
        <f t="shared" si="45"/>
        <v>-3.9491331539006601E-3</v>
      </c>
    </row>
    <row r="1463" spans="1:5" x14ac:dyDescent="0.35">
      <c r="A1463" s="9">
        <v>43816</v>
      </c>
      <c r="B1463" s="10">
        <v>102.02</v>
      </c>
      <c r="C1463" s="11">
        <v>41768.660000000003</v>
      </c>
      <c r="D1463" s="14">
        <f t="shared" si="44"/>
        <v>-8.6483334952871492E-3</v>
      </c>
      <c r="E1463" s="14">
        <f t="shared" si="45"/>
        <v>2.9722741427038839E-3</v>
      </c>
    </row>
    <row r="1464" spans="1:5" x14ac:dyDescent="0.35">
      <c r="A1464" s="9">
        <v>43815</v>
      </c>
      <c r="B1464" s="10">
        <v>102.91</v>
      </c>
      <c r="C1464" s="11">
        <v>41644.879999999997</v>
      </c>
      <c r="D1464" s="14">
        <f t="shared" si="44"/>
        <v>2.9099999999999966E-2</v>
      </c>
      <c r="E1464" s="14">
        <f t="shared" si="45"/>
        <v>1.7799381620022609E-2</v>
      </c>
    </row>
    <row r="1465" spans="1:5" x14ac:dyDescent="0.35">
      <c r="A1465" s="9">
        <v>43812</v>
      </c>
      <c r="B1465" s="10">
        <v>100</v>
      </c>
      <c r="C1465" s="11">
        <v>40916.589999999997</v>
      </c>
      <c r="D1465" s="14">
        <f t="shared" si="44"/>
        <v>1.0917913465426589E-2</v>
      </c>
      <c r="E1465" s="14">
        <f t="shared" si="45"/>
        <v>9.9328210352081329E-3</v>
      </c>
    </row>
    <row r="1466" spans="1:5" x14ac:dyDescent="0.35">
      <c r="A1466" s="9">
        <v>43811</v>
      </c>
      <c r="B1466" s="10">
        <v>98.92</v>
      </c>
      <c r="C1466" s="11">
        <v>40514.17</v>
      </c>
      <c r="D1466" s="14">
        <f t="shared" si="44"/>
        <v>-2.0884885677521524E-2</v>
      </c>
      <c r="E1466" s="14">
        <f t="shared" si="45"/>
        <v>-4.2559574769401122E-4</v>
      </c>
    </row>
    <row r="1467" spans="1:5" x14ac:dyDescent="0.35">
      <c r="A1467" s="9">
        <v>43810</v>
      </c>
      <c r="B1467" s="10">
        <v>101.03</v>
      </c>
      <c r="C1467" s="11">
        <v>40531.42</v>
      </c>
      <c r="D1467" s="14">
        <f t="shared" si="44"/>
        <v>-1.9126213592232998E-2</v>
      </c>
      <c r="E1467" s="14">
        <f t="shared" si="45"/>
        <v>-3.2750844715059364E-3</v>
      </c>
    </row>
    <row r="1468" spans="1:5" x14ac:dyDescent="0.35">
      <c r="A1468" s="9">
        <v>43809</v>
      </c>
      <c r="B1468" s="10">
        <v>103</v>
      </c>
      <c r="C1468" s="11">
        <v>40664.6</v>
      </c>
      <c r="D1468" s="14">
        <f t="shared" si="44"/>
        <v>4.8780487804878049E-3</v>
      </c>
      <c r="E1468" s="14">
        <f t="shared" si="45"/>
        <v>5.4842889216373649E-3</v>
      </c>
    </row>
    <row r="1469" spans="1:5" x14ac:dyDescent="0.35">
      <c r="A1469" s="9">
        <v>43808</v>
      </c>
      <c r="B1469" s="10">
        <v>102.5</v>
      </c>
      <c r="C1469" s="11">
        <v>40442.800000000003</v>
      </c>
      <c r="D1469" s="14">
        <f t="shared" si="44"/>
        <v>-2.1105911565275463E-2</v>
      </c>
      <c r="E1469" s="14">
        <f t="shared" si="45"/>
        <v>-7.1061628071122287E-3</v>
      </c>
    </row>
    <row r="1470" spans="1:5" x14ac:dyDescent="0.35">
      <c r="A1470" s="9">
        <v>43805</v>
      </c>
      <c r="B1470" s="10">
        <v>104.71</v>
      </c>
      <c r="C1470" s="11">
        <v>40732.25</v>
      </c>
      <c r="D1470" s="14">
        <f t="shared" si="44"/>
        <v>1.7985611510791311E-2</v>
      </c>
      <c r="E1470" s="14">
        <f t="shared" si="45"/>
        <v>2.2428034674258682E-3</v>
      </c>
    </row>
    <row r="1471" spans="1:5" x14ac:dyDescent="0.35">
      <c r="A1471" s="9">
        <v>43804</v>
      </c>
      <c r="B1471" s="10">
        <v>102.86</v>
      </c>
      <c r="C1471" s="11">
        <v>40641.1</v>
      </c>
      <c r="D1471" s="14">
        <f t="shared" si="44"/>
        <v>4.9591836734693868E-2</v>
      </c>
      <c r="E1471" s="14">
        <f t="shared" si="45"/>
        <v>9.2022650812555139E-3</v>
      </c>
    </row>
    <row r="1472" spans="1:5" x14ac:dyDescent="0.35">
      <c r="A1472" s="9">
        <v>43803</v>
      </c>
      <c r="B1472" s="10">
        <v>98</v>
      </c>
      <c r="C1472" s="11">
        <v>40270.519999999997</v>
      </c>
      <c r="D1472" s="14">
        <f t="shared" si="44"/>
        <v>0</v>
      </c>
      <c r="E1472" s="14">
        <f t="shared" si="45"/>
        <v>1.2108705153444041E-2</v>
      </c>
    </row>
    <row r="1473" spans="1:5" x14ac:dyDescent="0.35">
      <c r="A1473" s="9">
        <v>43802</v>
      </c>
      <c r="B1473" s="10">
        <v>98</v>
      </c>
      <c r="C1473" s="11">
        <v>39788.730000000003</v>
      </c>
      <c r="D1473" s="14">
        <f t="shared" si="44"/>
        <v>1.020512297173703E-4</v>
      </c>
      <c r="E1473" s="14">
        <f t="shared" si="45"/>
        <v>-8.3612840324372145E-3</v>
      </c>
    </row>
    <row r="1474" spans="1:5" x14ac:dyDescent="0.35">
      <c r="A1474" s="9">
        <v>43801</v>
      </c>
      <c r="B1474" s="10">
        <v>97.99</v>
      </c>
      <c r="C1474" s="11">
        <v>40124.22</v>
      </c>
      <c r="D1474" s="14">
        <f t="shared" si="44"/>
        <v>4.9255808973123399E-2</v>
      </c>
      <c r="E1474" s="14">
        <f t="shared" si="45"/>
        <v>2.1293459904066538E-2</v>
      </c>
    </row>
    <row r="1475" spans="1:5" x14ac:dyDescent="0.35">
      <c r="A1475" s="9">
        <v>43798</v>
      </c>
      <c r="B1475" s="10">
        <v>93.39</v>
      </c>
      <c r="C1475" s="11">
        <v>39287.65</v>
      </c>
      <c r="D1475" s="14">
        <f t="shared" si="44"/>
        <v>2.6263736263736268E-2</v>
      </c>
      <c r="E1475" s="14">
        <f t="shared" si="45"/>
        <v>1.5020305495724716E-2</v>
      </c>
    </row>
    <row r="1476" spans="1:5" x14ac:dyDescent="0.35">
      <c r="A1476" s="9">
        <v>43797</v>
      </c>
      <c r="B1476" s="10">
        <v>91</v>
      </c>
      <c r="C1476" s="11">
        <v>38706.269999999997</v>
      </c>
      <c r="D1476" s="14">
        <f t="shared" si="44"/>
        <v>1.1001100110010376E-3</v>
      </c>
      <c r="E1476" s="14">
        <f t="shared" si="45"/>
        <v>1.5307144925650521E-2</v>
      </c>
    </row>
    <row r="1477" spans="1:5" x14ac:dyDescent="0.35">
      <c r="A1477" s="9">
        <v>43796</v>
      </c>
      <c r="B1477" s="10">
        <v>90.9</v>
      </c>
      <c r="C1477" s="11">
        <v>38122.720000000001</v>
      </c>
      <c r="D1477" s="14">
        <f t="shared" ref="D1477:D1540" si="46">(B1477-B1478)/B1478</f>
        <v>8.2076308784384336E-3</v>
      </c>
      <c r="E1477" s="14">
        <f t="shared" ref="E1477:E1540" si="47">(C1477-C1478)/C1478</f>
        <v>8.6696538303295857E-3</v>
      </c>
    </row>
    <row r="1478" spans="1:5" x14ac:dyDescent="0.35">
      <c r="A1478" s="9">
        <v>43795</v>
      </c>
      <c r="B1478" s="10">
        <v>90.16</v>
      </c>
      <c r="C1478" s="11">
        <v>37795.050000000003</v>
      </c>
      <c r="D1478" s="14">
        <f t="shared" si="46"/>
        <v>-3.8669760247487407E-3</v>
      </c>
      <c r="E1478" s="14">
        <f t="shared" si="47"/>
        <v>-1.0918741305151013E-2</v>
      </c>
    </row>
    <row r="1479" spans="1:5" x14ac:dyDescent="0.35">
      <c r="A1479" s="9">
        <v>43794</v>
      </c>
      <c r="B1479" s="10">
        <v>90.51</v>
      </c>
      <c r="C1479" s="11">
        <v>38212.28</v>
      </c>
      <c r="D1479" s="14">
        <f t="shared" si="46"/>
        <v>2.8808864265928544E-3</v>
      </c>
      <c r="E1479" s="14">
        <f t="shared" si="47"/>
        <v>7.5539626201589459E-3</v>
      </c>
    </row>
    <row r="1480" spans="1:5" x14ac:dyDescent="0.35">
      <c r="A1480" s="9">
        <v>43791</v>
      </c>
      <c r="B1480" s="10">
        <v>90.25</v>
      </c>
      <c r="C1480" s="11">
        <v>37925.79</v>
      </c>
      <c r="D1480" s="14">
        <f t="shared" si="46"/>
        <v>1.3475575519371173E-2</v>
      </c>
      <c r="E1480" s="14">
        <f t="shared" si="47"/>
        <v>2.2222395920791026E-2</v>
      </c>
    </row>
    <row r="1481" spans="1:5" x14ac:dyDescent="0.35">
      <c r="A1481" s="9">
        <v>43790</v>
      </c>
      <c r="B1481" s="10">
        <v>89.05</v>
      </c>
      <c r="C1481" s="11">
        <v>37101.31</v>
      </c>
      <c r="D1481" s="14">
        <f t="shared" si="46"/>
        <v>-1.1982691667591239E-2</v>
      </c>
      <c r="E1481" s="14">
        <f t="shared" si="47"/>
        <v>-2.4616906183552799E-2</v>
      </c>
    </row>
    <row r="1482" spans="1:5" x14ac:dyDescent="0.35">
      <c r="A1482" s="9">
        <v>43789</v>
      </c>
      <c r="B1482" s="10">
        <v>90.13</v>
      </c>
      <c r="C1482" s="11">
        <v>38037.68</v>
      </c>
      <c r="D1482" s="14">
        <f t="shared" si="46"/>
        <v>-2.0326086956521789E-2</v>
      </c>
      <c r="E1482" s="14">
        <f t="shared" si="47"/>
        <v>-1.3657425234743944E-2</v>
      </c>
    </row>
    <row r="1483" spans="1:5" x14ac:dyDescent="0.35">
      <c r="A1483" s="9">
        <v>43788</v>
      </c>
      <c r="B1483" s="10">
        <v>92</v>
      </c>
      <c r="C1483" s="11">
        <v>38564.370000000003</v>
      </c>
      <c r="D1483" s="14">
        <f t="shared" si="46"/>
        <v>-2.6019080659149488E-3</v>
      </c>
      <c r="E1483" s="14">
        <f t="shared" si="47"/>
        <v>3.9782294705032794E-3</v>
      </c>
    </row>
    <row r="1484" spans="1:5" x14ac:dyDescent="0.35">
      <c r="A1484" s="9">
        <v>43787</v>
      </c>
      <c r="B1484" s="10">
        <v>92.24</v>
      </c>
      <c r="C1484" s="11">
        <v>38411.56</v>
      </c>
      <c r="D1484" s="14">
        <f t="shared" si="46"/>
        <v>2.0692707756998895E-2</v>
      </c>
      <c r="E1484" s="14">
        <f t="shared" si="47"/>
        <v>2.2021935462241887E-2</v>
      </c>
    </row>
    <row r="1485" spans="1:5" x14ac:dyDescent="0.35">
      <c r="A1485" s="9">
        <v>43784</v>
      </c>
      <c r="B1485" s="10">
        <v>90.37</v>
      </c>
      <c r="C1485" s="11">
        <v>37583.89</v>
      </c>
      <c r="D1485" s="14">
        <f t="shared" si="46"/>
        <v>1.5393258426966342E-2</v>
      </c>
      <c r="E1485" s="14">
        <f t="shared" si="47"/>
        <v>9.1477101860205981E-3</v>
      </c>
    </row>
    <row r="1486" spans="1:5" x14ac:dyDescent="0.35">
      <c r="A1486" s="9">
        <v>43783</v>
      </c>
      <c r="B1486" s="10">
        <v>89</v>
      </c>
      <c r="C1486" s="11">
        <v>37243.199999999997</v>
      </c>
      <c r="D1486" s="14">
        <f t="shared" si="46"/>
        <v>4.4013091073242363E-3</v>
      </c>
      <c r="E1486" s="14">
        <f t="shared" si="47"/>
        <v>2.0512842589223861E-3</v>
      </c>
    </row>
    <row r="1487" spans="1:5" x14ac:dyDescent="0.35">
      <c r="A1487" s="9">
        <v>43782</v>
      </c>
      <c r="B1487" s="10">
        <v>88.61</v>
      </c>
      <c r="C1487" s="11">
        <v>37166.959999999999</v>
      </c>
      <c r="D1487" s="14">
        <f t="shared" si="46"/>
        <v>8.3067819754210747E-3</v>
      </c>
      <c r="E1487" s="14">
        <f t="shared" si="47"/>
        <v>1.0917826357058113E-2</v>
      </c>
    </row>
    <row r="1488" spans="1:5" x14ac:dyDescent="0.35">
      <c r="A1488" s="9">
        <v>43781</v>
      </c>
      <c r="B1488" s="10">
        <v>87.88</v>
      </c>
      <c r="C1488" s="11">
        <v>36765.56</v>
      </c>
      <c r="D1488" s="14">
        <f t="shared" si="46"/>
        <v>-7.9590676520758824E-4</v>
      </c>
      <c r="E1488" s="14">
        <f t="shared" si="47"/>
        <v>-1.0200227698210444E-3</v>
      </c>
    </row>
    <row r="1489" spans="1:5" x14ac:dyDescent="0.35">
      <c r="A1489" s="9">
        <v>43780</v>
      </c>
      <c r="B1489" s="10">
        <v>87.95</v>
      </c>
      <c r="C1489" s="11">
        <v>36803.1</v>
      </c>
      <c r="D1489" s="14">
        <f t="shared" si="46"/>
        <v>1.3832853025936632E-2</v>
      </c>
      <c r="E1489" s="14">
        <f t="shared" si="47"/>
        <v>2.2928910205524546E-2</v>
      </c>
    </row>
    <row r="1490" spans="1:5" x14ac:dyDescent="0.35">
      <c r="A1490" s="9">
        <v>43777</v>
      </c>
      <c r="B1490" s="10">
        <v>86.75</v>
      </c>
      <c r="C1490" s="11">
        <v>35978.160000000003</v>
      </c>
      <c r="D1490" s="14">
        <f t="shared" si="46"/>
        <v>-3.1027350034474378E-3</v>
      </c>
      <c r="E1490" s="14">
        <f t="shared" si="47"/>
        <v>6.14231237758181E-3</v>
      </c>
    </row>
    <row r="1491" spans="1:5" x14ac:dyDescent="0.35">
      <c r="A1491" s="9">
        <v>43776</v>
      </c>
      <c r="B1491" s="10">
        <v>87.02</v>
      </c>
      <c r="C1491" s="11">
        <v>35758.519999999997</v>
      </c>
      <c r="D1491" s="14">
        <f t="shared" si="46"/>
        <v>-2.640411725218169E-2</v>
      </c>
      <c r="E1491" s="14">
        <f t="shared" si="47"/>
        <v>2.9503555488363934E-3</v>
      </c>
    </row>
    <row r="1492" spans="1:5" x14ac:dyDescent="0.35">
      <c r="A1492" s="9">
        <v>43775</v>
      </c>
      <c r="B1492" s="10">
        <v>89.38</v>
      </c>
      <c r="C1492" s="11">
        <v>35653.33</v>
      </c>
      <c r="D1492" s="14">
        <f t="shared" si="46"/>
        <v>-1.6613488832654913E-2</v>
      </c>
      <c r="E1492" s="14">
        <f t="shared" si="47"/>
        <v>8.3437245728091667E-3</v>
      </c>
    </row>
    <row r="1493" spans="1:5" x14ac:dyDescent="0.35">
      <c r="A1493" s="9">
        <v>43774</v>
      </c>
      <c r="B1493" s="10">
        <v>90.89</v>
      </c>
      <c r="C1493" s="11">
        <v>35358.31</v>
      </c>
      <c r="D1493" s="14">
        <f t="shared" si="46"/>
        <v>-6.6666666666666602E-3</v>
      </c>
      <c r="E1493" s="14">
        <f t="shared" si="47"/>
        <v>2.2918316681529382E-3</v>
      </c>
    </row>
    <row r="1494" spans="1:5" x14ac:dyDescent="0.35">
      <c r="A1494" s="9">
        <v>43773</v>
      </c>
      <c r="B1494" s="10">
        <v>91.5</v>
      </c>
      <c r="C1494" s="11">
        <v>35277.46</v>
      </c>
      <c r="D1494" s="14">
        <f t="shared" si="46"/>
        <v>2.8089887640449437E-2</v>
      </c>
      <c r="E1494" s="14">
        <f t="shared" si="47"/>
        <v>2.6175467113624201E-2</v>
      </c>
    </row>
    <row r="1495" spans="1:5" x14ac:dyDescent="0.35">
      <c r="A1495" s="9">
        <v>43770</v>
      </c>
      <c r="B1495" s="10">
        <v>89</v>
      </c>
      <c r="C1495" s="11">
        <v>34377.61</v>
      </c>
      <c r="D1495" s="14">
        <f t="shared" si="46"/>
        <v>-8.7983071611538715E-3</v>
      </c>
      <c r="E1495" s="14">
        <f t="shared" si="47"/>
        <v>5.0851253432379288E-3</v>
      </c>
    </row>
    <row r="1496" spans="1:5" x14ac:dyDescent="0.35">
      <c r="A1496" s="9">
        <v>43769</v>
      </c>
      <c r="B1496" s="10">
        <v>89.79</v>
      </c>
      <c r="C1496" s="11">
        <v>34203.68</v>
      </c>
      <c r="D1496" s="14">
        <f t="shared" si="46"/>
        <v>7.5179533213644715E-3</v>
      </c>
      <c r="E1496" s="14">
        <f t="shared" si="47"/>
        <v>1.3099867570696744E-2</v>
      </c>
    </row>
    <row r="1497" spans="1:5" x14ac:dyDescent="0.35">
      <c r="A1497" s="9">
        <v>43768</v>
      </c>
      <c r="B1497" s="10">
        <v>89.12</v>
      </c>
      <c r="C1497" s="11">
        <v>33761.410000000003</v>
      </c>
      <c r="D1497" s="14">
        <f t="shared" si="46"/>
        <v>1.272727272727278E-2</v>
      </c>
      <c r="E1497" s="14">
        <f t="shared" si="47"/>
        <v>-1.0681260246686382E-3</v>
      </c>
    </row>
    <row r="1498" spans="1:5" x14ac:dyDescent="0.35">
      <c r="A1498" s="9">
        <v>43767</v>
      </c>
      <c r="B1498" s="10">
        <v>88</v>
      </c>
      <c r="C1498" s="11">
        <v>33797.51</v>
      </c>
      <c r="D1498" s="14">
        <f t="shared" si="46"/>
        <v>6.0592203041042771E-3</v>
      </c>
      <c r="E1498" s="14">
        <f t="shared" si="47"/>
        <v>-1.8924096594399281E-3</v>
      </c>
    </row>
    <row r="1499" spans="1:5" x14ac:dyDescent="0.35">
      <c r="A1499" s="9">
        <v>43766</v>
      </c>
      <c r="B1499" s="10">
        <v>87.47</v>
      </c>
      <c r="C1499" s="11">
        <v>33861.589999999997</v>
      </c>
      <c r="D1499" s="14">
        <f t="shared" si="46"/>
        <v>-4.8919226393629896E-3</v>
      </c>
      <c r="E1499" s="14">
        <f t="shared" si="47"/>
        <v>6.0649258737883781E-3</v>
      </c>
    </row>
    <row r="1500" spans="1:5" x14ac:dyDescent="0.35">
      <c r="A1500" s="9">
        <v>43763</v>
      </c>
      <c r="B1500" s="10">
        <v>87.9</v>
      </c>
      <c r="C1500" s="11">
        <v>33657.46</v>
      </c>
      <c r="D1500" s="14">
        <f t="shared" si="46"/>
        <v>-1.1363636363635717E-3</v>
      </c>
      <c r="E1500" s="14">
        <f t="shared" si="47"/>
        <v>-3.110553490146579E-3</v>
      </c>
    </row>
    <row r="1501" spans="1:5" x14ac:dyDescent="0.35">
      <c r="A1501" s="9">
        <v>43762</v>
      </c>
      <c r="B1501" s="10">
        <v>88</v>
      </c>
      <c r="C1501" s="11">
        <v>33762.480000000003</v>
      </c>
      <c r="D1501" s="14">
        <f t="shared" si="46"/>
        <v>6.7497997940739437E-3</v>
      </c>
      <c r="E1501" s="14">
        <f t="shared" si="47"/>
        <v>9.65290049040529E-3</v>
      </c>
    </row>
    <row r="1502" spans="1:5" x14ac:dyDescent="0.35">
      <c r="A1502" s="9">
        <v>43761</v>
      </c>
      <c r="B1502" s="10">
        <v>87.41</v>
      </c>
      <c r="C1502" s="11">
        <v>33439.69</v>
      </c>
      <c r="D1502" s="14">
        <f t="shared" si="46"/>
        <v>4.7126436781608806E-3</v>
      </c>
      <c r="E1502" s="14">
        <f t="shared" si="47"/>
        <v>7.2511307583130076E-3</v>
      </c>
    </row>
    <row r="1503" spans="1:5" x14ac:dyDescent="0.35">
      <c r="A1503" s="9">
        <v>43760</v>
      </c>
      <c r="B1503" s="10">
        <v>87</v>
      </c>
      <c r="C1503" s="11">
        <v>33198.959999999999</v>
      </c>
      <c r="D1503" s="14">
        <f t="shared" si="46"/>
        <v>3.5759603183758482E-3</v>
      </c>
      <c r="E1503" s="14">
        <f t="shared" si="47"/>
        <v>3.4526502105350692E-3</v>
      </c>
    </row>
    <row r="1504" spans="1:5" x14ac:dyDescent="0.35">
      <c r="A1504" s="9">
        <v>43759</v>
      </c>
      <c r="B1504" s="10">
        <v>86.69</v>
      </c>
      <c r="C1504" s="11">
        <v>33084.730000000003</v>
      </c>
      <c r="D1504" s="14">
        <f t="shared" si="46"/>
        <v>-2.0720617013929641E-3</v>
      </c>
      <c r="E1504" s="14">
        <f t="shared" si="47"/>
        <v>-2.318915032853407E-2</v>
      </c>
    </row>
    <row r="1505" spans="1:5" x14ac:dyDescent="0.35">
      <c r="A1505" s="9">
        <v>43756</v>
      </c>
      <c r="B1505" s="10">
        <v>86.87</v>
      </c>
      <c r="C1505" s="11">
        <v>33870.15</v>
      </c>
      <c r="D1505" s="14">
        <f t="shared" si="46"/>
        <v>-7.313449891440984E-3</v>
      </c>
      <c r="E1505" s="14">
        <f t="shared" si="47"/>
        <v>-8.3808869757288267E-4</v>
      </c>
    </row>
    <row r="1506" spans="1:5" x14ac:dyDescent="0.35">
      <c r="A1506" s="9">
        <v>43755</v>
      </c>
      <c r="B1506" s="10">
        <v>87.51</v>
      </c>
      <c r="C1506" s="11">
        <v>33898.559999999998</v>
      </c>
      <c r="D1506" s="14">
        <f t="shared" si="46"/>
        <v>-8.3852691218129737E-3</v>
      </c>
      <c r="E1506" s="14">
        <f t="shared" si="47"/>
        <v>-1.1158630020223945E-2</v>
      </c>
    </row>
    <row r="1507" spans="1:5" x14ac:dyDescent="0.35">
      <c r="A1507" s="9">
        <v>43754</v>
      </c>
      <c r="B1507" s="10">
        <v>88.25</v>
      </c>
      <c r="C1507" s="11">
        <v>34281.089999999997</v>
      </c>
      <c r="D1507" s="14">
        <f t="shared" si="46"/>
        <v>1.0208711433757193E-3</v>
      </c>
      <c r="E1507" s="14">
        <f t="shared" si="47"/>
        <v>5.7963479721730021E-3</v>
      </c>
    </row>
    <row r="1508" spans="1:5" x14ac:dyDescent="0.35">
      <c r="A1508" s="9">
        <v>43753</v>
      </c>
      <c r="B1508" s="10">
        <v>88.16</v>
      </c>
      <c r="C1508" s="11">
        <v>34083.53</v>
      </c>
      <c r="D1508" s="14">
        <f t="shared" si="46"/>
        <v>1.135589370883424E-3</v>
      </c>
      <c r="E1508" s="14">
        <f t="shared" si="47"/>
        <v>-3.0050084449133423E-3</v>
      </c>
    </row>
    <row r="1509" spans="1:5" x14ac:dyDescent="0.35">
      <c r="A1509" s="9">
        <v>43752</v>
      </c>
      <c r="B1509" s="10">
        <v>88.06</v>
      </c>
      <c r="C1509" s="11">
        <v>34186.26</v>
      </c>
      <c r="D1509" s="14">
        <f t="shared" si="46"/>
        <v>0</v>
      </c>
      <c r="E1509" s="14">
        <f t="shared" si="47"/>
        <v>-8.3951909301887874E-3</v>
      </c>
    </row>
    <row r="1510" spans="1:5" x14ac:dyDescent="0.35">
      <c r="A1510" s="9">
        <v>43749</v>
      </c>
      <c r="B1510" s="10">
        <v>88.06</v>
      </c>
      <c r="C1510" s="11">
        <v>34475.69</v>
      </c>
      <c r="D1510" s="14">
        <f t="shared" si="46"/>
        <v>6.4000000000000263E-3</v>
      </c>
      <c r="E1510" s="14">
        <f t="shared" si="47"/>
        <v>1.3165450500621708E-2</v>
      </c>
    </row>
    <row r="1511" spans="1:5" x14ac:dyDescent="0.35">
      <c r="A1511" s="9">
        <v>43748</v>
      </c>
      <c r="B1511" s="10">
        <v>87.5</v>
      </c>
      <c r="C1511" s="11">
        <v>34027.699999999997</v>
      </c>
      <c r="D1511" s="14">
        <f t="shared" si="46"/>
        <v>5.7471264367816091E-3</v>
      </c>
      <c r="E1511" s="14">
        <f t="shared" si="47"/>
        <v>1.5032928903517304E-2</v>
      </c>
    </row>
    <row r="1512" spans="1:5" x14ac:dyDescent="0.35">
      <c r="A1512" s="9">
        <v>43747</v>
      </c>
      <c r="B1512" s="10">
        <v>87</v>
      </c>
      <c r="C1512" s="11">
        <v>33523.74</v>
      </c>
      <c r="D1512" s="14">
        <f t="shared" si="46"/>
        <v>0</v>
      </c>
      <c r="E1512" s="14">
        <f t="shared" si="47"/>
        <v>1.4075495076861207E-3</v>
      </c>
    </row>
    <row r="1513" spans="1:5" x14ac:dyDescent="0.35">
      <c r="A1513" s="9">
        <v>43746</v>
      </c>
      <c r="B1513" s="10">
        <v>87</v>
      </c>
      <c r="C1513" s="11">
        <v>33476.620000000003</v>
      </c>
      <c r="D1513" s="14">
        <f t="shared" si="46"/>
        <v>-1.1812812358019153E-2</v>
      </c>
      <c r="E1513" s="14">
        <f t="shared" si="47"/>
        <v>-4.7626380852885944E-3</v>
      </c>
    </row>
    <row r="1514" spans="1:5" x14ac:dyDescent="0.35">
      <c r="A1514" s="9">
        <v>43745</v>
      </c>
      <c r="B1514" s="10">
        <v>88.04</v>
      </c>
      <c r="C1514" s="11">
        <v>33636.82</v>
      </c>
      <c r="D1514" s="14">
        <f t="shared" si="46"/>
        <v>1.1954022988505819E-2</v>
      </c>
      <c r="E1514" s="14">
        <f t="shared" si="47"/>
        <v>1.8269432197550835E-2</v>
      </c>
    </row>
    <row r="1515" spans="1:5" x14ac:dyDescent="0.35">
      <c r="A1515" s="9">
        <v>43742</v>
      </c>
      <c r="B1515" s="10">
        <v>87</v>
      </c>
      <c r="C1515" s="11">
        <v>33033.32</v>
      </c>
      <c r="D1515" s="14">
        <f t="shared" si="46"/>
        <v>1.2659684658763888E-3</v>
      </c>
      <c r="E1515" s="14">
        <f t="shared" si="47"/>
        <v>8.5817004938591908E-3</v>
      </c>
    </row>
    <row r="1516" spans="1:5" x14ac:dyDescent="0.35">
      <c r="A1516" s="9">
        <v>43741</v>
      </c>
      <c r="B1516" s="10">
        <v>86.89</v>
      </c>
      <c r="C1516" s="11">
        <v>32752.25</v>
      </c>
      <c r="D1516" s="14">
        <f t="shared" si="46"/>
        <v>-6.9005175388156721E-4</v>
      </c>
      <c r="E1516" s="14">
        <f t="shared" si="47"/>
        <v>1.2016679361067427E-2</v>
      </c>
    </row>
    <row r="1517" spans="1:5" x14ac:dyDescent="0.35">
      <c r="A1517" s="9">
        <v>43740</v>
      </c>
      <c r="B1517" s="10">
        <v>86.95</v>
      </c>
      <c r="C1517" s="11">
        <v>32363.35</v>
      </c>
      <c r="D1517" s="14">
        <f t="shared" si="46"/>
        <v>-1.4928801102434021E-3</v>
      </c>
      <c r="E1517" s="14">
        <f t="shared" si="47"/>
        <v>3.3803223878227425E-3</v>
      </c>
    </row>
    <row r="1518" spans="1:5" x14ac:dyDescent="0.35">
      <c r="A1518" s="9">
        <v>43739</v>
      </c>
      <c r="B1518" s="10">
        <v>87.08</v>
      </c>
      <c r="C1518" s="11">
        <v>32254.32</v>
      </c>
      <c r="D1518" s="14">
        <f t="shared" si="46"/>
        <v>3.5726633629134755E-3</v>
      </c>
      <c r="E1518" s="14">
        <f t="shared" si="47"/>
        <v>5.4699591787112437E-3</v>
      </c>
    </row>
    <row r="1519" spans="1:5" x14ac:dyDescent="0.35">
      <c r="A1519" s="9">
        <v>43738</v>
      </c>
      <c r="B1519" s="10">
        <v>86.77</v>
      </c>
      <c r="C1519" s="11">
        <v>32078.85</v>
      </c>
      <c r="D1519" s="14">
        <f t="shared" si="46"/>
        <v>-3.4455036177787664E-3</v>
      </c>
      <c r="E1519" s="14">
        <f t="shared" si="47"/>
        <v>2.5069525839843877E-4</v>
      </c>
    </row>
    <row r="1520" spans="1:5" x14ac:dyDescent="0.35">
      <c r="A1520" s="9">
        <v>43735</v>
      </c>
      <c r="B1520" s="10">
        <v>87.07</v>
      </c>
      <c r="C1520" s="11">
        <v>32070.81</v>
      </c>
      <c r="D1520" s="14">
        <f t="shared" si="46"/>
        <v>1.8958455236980577E-2</v>
      </c>
      <c r="E1520" s="14">
        <f t="shared" si="47"/>
        <v>2.0262207445530984E-2</v>
      </c>
    </row>
    <row r="1521" spans="1:5" x14ac:dyDescent="0.35">
      <c r="A1521" s="9">
        <v>43734</v>
      </c>
      <c r="B1521" s="10">
        <v>85.45</v>
      </c>
      <c r="C1521" s="11">
        <v>31433.89</v>
      </c>
      <c r="D1521" s="14">
        <f t="shared" si="46"/>
        <v>-1.5552995391705004E-2</v>
      </c>
      <c r="E1521" s="14">
        <f t="shared" si="47"/>
        <v>-4.1602764562630725E-3</v>
      </c>
    </row>
    <row r="1522" spans="1:5" x14ac:dyDescent="0.35">
      <c r="A1522" s="9">
        <v>43733</v>
      </c>
      <c r="B1522" s="10">
        <v>86.8</v>
      </c>
      <c r="C1522" s="11">
        <v>31565.21</v>
      </c>
      <c r="D1522" s="14">
        <f t="shared" si="46"/>
        <v>2.843601895734587E-2</v>
      </c>
      <c r="E1522" s="14">
        <f t="shared" si="47"/>
        <v>-8.295202775812506E-3</v>
      </c>
    </row>
    <row r="1523" spans="1:5" x14ac:dyDescent="0.35">
      <c r="A1523" s="9">
        <v>43732</v>
      </c>
      <c r="B1523" s="10">
        <v>84.4</v>
      </c>
      <c r="C1523" s="11">
        <v>31829.24</v>
      </c>
      <c r="D1523" s="14">
        <f t="shared" si="46"/>
        <v>3.5671819262783756E-3</v>
      </c>
      <c r="E1523" s="14">
        <f t="shared" si="47"/>
        <v>2.4575441376880592E-3</v>
      </c>
    </row>
    <row r="1524" spans="1:5" x14ac:dyDescent="0.35">
      <c r="A1524" s="9">
        <v>43731</v>
      </c>
      <c r="B1524" s="10">
        <v>84.1</v>
      </c>
      <c r="C1524" s="11">
        <v>31751.21</v>
      </c>
      <c r="D1524" s="14">
        <f t="shared" si="46"/>
        <v>-3.9085633068815882E-3</v>
      </c>
      <c r="E1524" s="14">
        <f t="shared" si="47"/>
        <v>-1.1207650936903421E-2</v>
      </c>
    </row>
    <row r="1525" spans="1:5" x14ac:dyDescent="0.35">
      <c r="A1525" s="9">
        <v>43728</v>
      </c>
      <c r="B1525" s="10">
        <v>84.43</v>
      </c>
      <c r="C1525" s="11">
        <v>32111.1</v>
      </c>
      <c r="D1525" s="14">
        <f t="shared" si="46"/>
        <v>-1.4192785334120679E-3</v>
      </c>
      <c r="E1525" s="14">
        <f t="shared" si="47"/>
        <v>-2.2660306990765389E-3</v>
      </c>
    </row>
    <row r="1526" spans="1:5" x14ac:dyDescent="0.35">
      <c r="A1526" s="9">
        <v>43727</v>
      </c>
      <c r="B1526" s="10">
        <v>84.55</v>
      </c>
      <c r="C1526" s="11">
        <v>32184.03</v>
      </c>
      <c r="D1526" s="14">
        <f t="shared" si="46"/>
        <v>9.6727967518509955E-3</v>
      </c>
      <c r="E1526" s="14">
        <f t="shared" si="47"/>
        <v>1.9919208935883309E-2</v>
      </c>
    </row>
    <row r="1527" spans="1:5" x14ac:dyDescent="0.35">
      <c r="A1527" s="9">
        <v>43726</v>
      </c>
      <c r="B1527" s="10">
        <v>83.74</v>
      </c>
      <c r="C1527" s="11">
        <v>31555.47</v>
      </c>
      <c r="D1527" s="14">
        <f t="shared" si="46"/>
        <v>-2.0928329241201991E-2</v>
      </c>
      <c r="E1527" s="14">
        <f t="shared" si="47"/>
        <v>-1.1076839955723889E-2</v>
      </c>
    </row>
    <row r="1528" spans="1:5" x14ac:dyDescent="0.35">
      <c r="A1528" s="9">
        <v>43725</v>
      </c>
      <c r="B1528" s="10">
        <v>85.53</v>
      </c>
      <c r="C1528" s="11">
        <v>31908.92</v>
      </c>
      <c r="D1528" s="14">
        <f t="shared" si="46"/>
        <v>-5.1180644410840723E-3</v>
      </c>
      <c r="E1528" s="14">
        <f t="shared" si="47"/>
        <v>-6.1481025602481228E-4</v>
      </c>
    </row>
    <row r="1529" spans="1:5" x14ac:dyDescent="0.35">
      <c r="A1529" s="9">
        <v>43724</v>
      </c>
      <c r="B1529" s="10">
        <v>85.97</v>
      </c>
      <c r="C1529" s="11">
        <v>31928.55</v>
      </c>
      <c r="D1529" s="14">
        <f t="shared" si="46"/>
        <v>-8.1357508135759392E-4</v>
      </c>
      <c r="E1529" s="14">
        <f t="shared" si="47"/>
        <v>1.4206524442597781E-2</v>
      </c>
    </row>
    <row r="1530" spans="1:5" x14ac:dyDescent="0.35">
      <c r="A1530" s="9">
        <v>43721</v>
      </c>
      <c r="B1530" s="10">
        <v>86.04</v>
      </c>
      <c r="C1530" s="11">
        <v>31481.31</v>
      </c>
      <c r="D1530" s="14">
        <f t="shared" si="46"/>
        <v>-6.5812261863525366E-3</v>
      </c>
      <c r="E1530" s="14">
        <f t="shared" si="47"/>
        <v>-2.0699529997042243E-3</v>
      </c>
    </row>
    <row r="1531" spans="1:5" x14ac:dyDescent="0.35">
      <c r="A1531" s="9">
        <v>43720</v>
      </c>
      <c r="B1531" s="10">
        <v>86.61</v>
      </c>
      <c r="C1531" s="11">
        <v>31546.61</v>
      </c>
      <c r="D1531" s="14">
        <f t="shared" si="46"/>
        <v>3.1271716469770212E-3</v>
      </c>
      <c r="E1531" s="14">
        <f t="shared" si="47"/>
        <v>1.9117533515771168E-2</v>
      </c>
    </row>
    <row r="1532" spans="1:5" x14ac:dyDescent="0.35">
      <c r="A1532" s="9">
        <v>43719</v>
      </c>
      <c r="B1532" s="10">
        <v>86.34</v>
      </c>
      <c r="C1532" s="11">
        <v>30954.83</v>
      </c>
      <c r="D1532" s="14">
        <f t="shared" si="46"/>
        <v>-7.5862068965516852E-3</v>
      </c>
      <c r="E1532" s="14">
        <f t="shared" si="47"/>
        <v>1.6005080873857821E-2</v>
      </c>
    </row>
    <row r="1533" spans="1:5" x14ac:dyDescent="0.35">
      <c r="A1533" s="9">
        <v>43714</v>
      </c>
      <c r="B1533" s="10">
        <v>87</v>
      </c>
      <c r="C1533" s="11">
        <v>30467.200000000001</v>
      </c>
      <c r="D1533" s="14">
        <f t="shared" si="46"/>
        <v>2.4131842260152997E-2</v>
      </c>
      <c r="E1533" s="14">
        <f t="shared" si="47"/>
        <v>8.354523301021332E-3</v>
      </c>
    </row>
    <row r="1534" spans="1:5" x14ac:dyDescent="0.35">
      <c r="A1534" s="9">
        <v>43713</v>
      </c>
      <c r="B1534" s="10">
        <v>84.95</v>
      </c>
      <c r="C1534" s="11">
        <v>30214.77</v>
      </c>
      <c r="D1534" s="14">
        <f t="shared" si="46"/>
        <v>1.9073896353167027E-2</v>
      </c>
      <c r="E1534" s="14">
        <f t="shared" si="47"/>
        <v>-9.9058579792245228E-4</v>
      </c>
    </row>
    <row r="1535" spans="1:5" x14ac:dyDescent="0.35">
      <c r="A1535" s="9">
        <v>43712</v>
      </c>
      <c r="B1535" s="10">
        <v>83.36</v>
      </c>
      <c r="C1535" s="11">
        <v>30244.73</v>
      </c>
      <c r="D1535" s="14">
        <f t="shared" si="46"/>
        <v>2.4050024050024394E-3</v>
      </c>
      <c r="E1535" s="14">
        <f t="shared" si="47"/>
        <v>1.4594252605193992E-2</v>
      </c>
    </row>
    <row r="1536" spans="1:5" x14ac:dyDescent="0.35">
      <c r="A1536" s="9">
        <v>43711</v>
      </c>
      <c r="B1536" s="10">
        <v>83.16</v>
      </c>
      <c r="C1536" s="11">
        <v>29809.68</v>
      </c>
      <c r="D1536" s="14">
        <f t="shared" si="46"/>
        <v>-1.5741507870753915E-2</v>
      </c>
      <c r="E1536" s="14">
        <f t="shared" si="47"/>
        <v>-8.2379349568773696E-3</v>
      </c>
    </row>
    <row r="1537" spans="1:5" x14ac:dyDescent="0.35">
      <c r="A1537" s="9">
        <v>43710</v>
      </c>
      <c r="B1537" s="10">
        <v>84.49</v>
      </c>
      <c r="C1537" s="11">
        <v>30057.29</v>
      </c>
      <c r="D1537" s="14">
        <f t="shared" si="46"/>
        <v>1.7584005781042921E-2</v>
      </c>
      <c r="E1537" s="14">
        <f t="shared" si="47"/>
        <v>1.2980872280106777E-2</v>
      </c>
    </row>
    <row r="1538" spans="1:5" x14ac:dyDescent="0.35">
      <c r="A1538" s="9">
        <v>43707</v>
      </c>
      <c r="B1538" s="10">
        <v>83.03</v>
      </c>
      <c r="C1538" s="11">
        <v>29672.12</v>
      </c>
      <c r="D1538" s="14">
        <f t="shared" si="46"/>
        <v>4.7192642787996196E-3</v>
      </c>
      <c r="E1538" s="14">
        <f t="shared" si="47"/>
        <v>-1.6142466451097789E-2</v>
      </c>
    </row>
    <row r="1539" spans="1:5" x14ac:dyDescent="0.35">
      <c r="A1539" s="9">
        <v>43706</v>
      </c>
      <c r="B1539" s="10">
        <v>82.64</v>
      </c>
      <c r="C1539" s="11">
        <v>30158.959999999999</v>
      </c>
      <c r="D1539" s="14">
        <f t="shared" si="46"/>
        <v>-1.9575275833432264E-2</v>
      </c>
      <c r="E1539" s="14">
        <f t="shared" si="47"/>
        <v>-1.5626167882651806E-2</v>
      </c>
    </row>
    <row r="1540" spans="1:5" x14ac:dyDescent="0.35">
      <c r="A1540" s="9">
        <v>43705</v>
      </c>
      <c r="B1540" s="10">
        <v>84.29</v>
      </c>
      <c r="C1540" s="11">
        <v>30637.71</v>
      </c>
      <c r="D1540" s="14">
        <f t="shared" si="46"/>
        <v>2.2592152199763611E-3</v>
      </c>
      <c r="E1540" s="14">
        <f t="shared" si="47"/>
        <v>1.7283066616315132E-3</v>
      </c>
    </row>
    <row r="1541" spans="1:5" x14ac:dyDescent="0.35">
      <c r="A1541" s="9">
        <v>43704</v>
      </c>
      <c r="B1541" s="10">
        <v>84.1</v>
      </c>
      <c r="C1541" s="11">
        <v>30584.85</v>
      </c>
      <c r="D1541" s="14">
        <f t="shared" ref="D1541:D1604" si="48">(B1541-B1542)/B1542</f>
        <v>-1.0588235294117714E-2</v>
      </c>
      <c r="E1541" s="14">
        <f t="shared" ref="E1541:E1604" si="49">(C1541-C1542)/C1542</f>
        <v>2.1051355477939493E-3</v>
      </c>
    </row>
    <row r="1542" spans="1:5" x14ac:dyDescent="0.35">
      <c r="A1542" s="9">
        <v>43703</v>
      </c>
      <c r="B1542" s="10">
        <v>85</v>
      </c>
      <c r="C1542" s="11">
        <v>30520.6</v>
      </c>
      <c r="D1542" s="14">
        <f t="shared" si="48"/>
        <v>-8.9774979596595091E-3</v>
      </c>
      <c r="E1542" s="14">
        <f t="shared" si="49"/>
        <v>-2.6456450891084241E-2</v>
      </c>
    </row>
    <row r="1543" spans="1:5" x14ac:dyDescent="0.35">
      <c r="A1543" s="9">
        <v>43700</v>
      </c>
      <c r="B1543" s="10">
        <v>85.77</v>
      </c>
      <c r="C1543" s="11">
        <v>31350.01</v>
      </c>
      <c r="D1543" s="14">
        <f t="shared" si="48"/>
        <v>-1.4477766287487133E-2</v>
      </c>
      <c r="E1543" s="14">
        <f t="shared" si="49"/>
        <v>-1.6761775724530369E-2</v>
      </c>
    </row>
    <row r="1544" spans="1:5" x14ac:dyDescent="0.35">
      <c r="A1544" s="9">
        <v>43699</v>
      </c>
      <c r="B1544" s="10">
        <v>87.03</v>
      </c>
      <c r="C1544" s="11">
        <v>31884.45</v>
      </c>
      <c r="D1544" s="14">
        <f t="shared" si="48"/>
        <v>4.5982296815733135E-4</v>
      </c>
      <c r="E1544" s="14">
        <f t="shared" si="49"/>
        <v>2.9435552219289559E-2</v>
      </c>
    </row>
    <row r="1545" spans="1:5" x14ac:dyDescent="0.35">
      <c r="A1545" s="9">
        <v>43698</v>
      </c>
      <c r="B1545" s="10">
        <v>86.99</v>
      </c>
      <c r="C1545" s="11">
        <v>30972.75</v>
      </c>
      <c r="D1545" s="14">
        <f t="shared" si="48"/>
        <v>6.9452482926263956E-3</v>
      </c>
      <c r="E1545" s="14">
        <f t="shared" si="49"/>
        <v>1.8196719048022888E-2</v>
      </c>
    </row>
    <row r="1546" spans="1:5" x14ac:dyDescent="0.35">
      <c r="A1546" s="9">
        <v>43697</v>
      </c>
      <c r="B1546" s="10">
        <v>86.39</v>
      </c>
      <c r="C1546" s="11">
        <v>30419.22</v>
      </c>
      <c r="D1546" s="14">
        <f t="shared" si="48"/>
        <v>4.5348837209302391E-3</v>
      </c>
      <c r="E1546" s="14">
        <f t="shared" si="49"/>
        <v>2.8982742278879842E-2</v>
      </c>
    </row>
    <row r="1547" spans="1:5" x14ac:dyDescent="0.35">
      <c r="A1547" s="9">
        <v>43696</v>
      </c>
      <c r="B1547" s="10">
        <v>86</v>
      </c>
      <c r="C1547" s="11">
        <v>29562.42</v>
      </c>
      <c r="D1547" s="14">
        <f t="shared" si="48"/>
        <v>-3.4871556433803484E-4</v>
      </c>
      <c r="E1547" s="14">
        <f t="shared" si="49"/>
        <v>2.7735103841071387E-2</v>
      </c>
    </row>
    <row r="1548" spans="1:5" x14ac:dyDescent="0.35">
      <c r="A1548" s="9">
        <v>43693</v>
      </c>
      <c r="B1548" s="10">
        <v>86.03</v>
      </c>
      <c r="C1548" s="11">
        <v>28764.63</v>
      </c>
      <c r="D1548" s="14">
        <f t="shared" si="48"/>
        <v>1.1625203441066167E-4</v>
      </c>
      <c r="E1548" s="14">
        <f t="shared" si="49"/>
        <v>-2.2577675747143852E-2</v>
      </c>
    </row>
    <row r="1549" spans="1:5" x14ac:dyDescent="0.35">
      <c r="A1549" s="9">
        <v>43686</v>
      </c>
      <c r="B1549" s="10">
        <v>86.02</v>
      </c>
      <c r="C1549" s="11">
        <v>29429.07</v>
      </c>
      <c r="D1549" s="14">
        <f t="shared" si="48"/>
        <v>-2.2500000000000044E-2</v>
      </c>
      <c r="E1549" s="14">
        <f t="shared" si="49"/>
        <v>-1.0387726402398545E-2</v>
      </c>
    </row>
    <row r="1550" spans="1:5" x14ac:dyDescent="0.35">
      <c r="A1550" s="9">
        <v>43685</v>
      </c>
      <c r="B1550" s="10">
        <v>88</v>
      </c>
      <c r="C1550" s="11">
        <v>29737.98</v>
      </c>
      <c r="D1550" s="14">
        <f t="shared" si="48"/>
        <v>-6.4355876707688072E-3</v>
      </c>
      <c r="E1550" s="14">
        <f t="shared" si="49"/>
        <v>-1.7817550685411129E-2</v>
      </c>
    </row>
    <row r="1551" spans="1:5" x14ac:dyDescent="0.35">
      <c r="A1551" s="9">
        <v>43684</v>
      </c>
      <c r="B1551" s="10">
        <v>88.57</v>
      </c>
      <c r="C1551" s="11">
        <v>30277.45</v>
      </c>
      <c r="D1551" s="14">
        <f t="shared" si="48"/>
        <v>-1.0501619930734129E-2</v>
      </c>
      <c r="E1551" s="14">
        <f t="shared" si="49"/>
        <v>-2.3329173208191875E-2</v>
      </c>
    </row>
    <row r="1552" spans="1:5" x14ac:dyDescent="0.35">
      <c r="A1552" s="9">
        <v>43683</v>
      </c>
      <c r="B1552" s="10">
        <v>89.51</v>
      </c>
      <c r="C1552" s="11">
        <v>31000.67</v>
      </c>
      <c r="D1552" s="14">
        <f t="shared" si="48"/>
        <v>1.1173184357547616E-4</v>
      </c>
      <c r="E1552" s="14">
        <f t="shared" si="49"/>
        <v>-5.7769524835796712E-3</v>
      </c>
    </row>
    <row r="1553" spans="1:5" x14ac:dyDescent="0.35">
      <c r="A1553" s="9">
        <v>43682</v>
      </c>
      <c r="B1553" s="10">
        <v>89.5</v>
      </c>
      <c r="C1553" s="11">
        <v>31180.799999999999</v>
      </c>
      <c r="D1553" s="14">
        <f t="shared" si="48"/>
        <v>5.6179775280898875E-3</v>
      </c>
      <c r="E1553" s="14">
        <f t="shared" si="49"/>
        <v>-1.5335176927223533E-2</v>
      </c>
    </row>
    <row r="1554" spans="1:5" x14ac:dyDescent="0.35">
      <c r="A1554" s="9">
        <v>43679</v>
      </c>
      <c r="B1554" s="10">
        <v>89</v>
      </c>
      <c r="C1554" s="11">
        <v>31666.41</v>
      </c>
      <c r="D1554" s="14">
        <f t="shared" si="48"/>
        <v>0</v>
      </c>
      <c r="E1554" s="14">
        <f t="shared" si="49"/>
        <v>-5.4241465920373006E-3</v>
      </c>
    </row>
    <row r="1555" spans="1:5" x14ac:dyDescent="0.35">
      <c r="A1555" s="9">
        <v>43678</v>
      </c>
      <c r="B1555" s="10">
        <v>89</v>
      </c>
      <c r="C1555" s="11">
        <v>31839.11</v>
      </c>
      <c r="D1555" s="14">
        <f t="shared" si="48"/>
        <v>-7.9143908148477746E-3</v>
      </c>
      <c r="E1555" s="14">
        <f t="shared" si="49"/>
        <v>-3.1112939626431499E-3</v>
      </c>
    </row>
    <row r="1556" spans="1:5" x14ac:dyDescent="0.35">
      <c r="A1556" s="9">
        <v>43677</v>
      </c>
      <c r="B1556" s="10">
        <v>89.71</v>
      </c>
      <c r="C1556" s="11">
        <v>31938.48</v>
      </c>
      <c r="D1556" s="14">
        <f t="shared" si="48"/>
        <v>-4.3285238623751452E-3</v>
      </c>
      <c r="E1556" s="14">
        <f t="shared" si="49"/>
        <v>8.8558638352498695E-3</v>
      </c>
    </row>
    <row r="1557" spans="1:5" x14ac:dyDescent="0.35">
      <c r="A1557" s="9">
        <v>43676</v>
      </c>
      <c r="B1557" s="10">
        <v>90.1</v>
      </c>
      <c r="C1557" s="11">
        <v>31658.12</v>
      </c>
      <c r="D1557" s="14">
        <f t="shared" si="48"/>
        <v>-7.7092511013216172E-3</v>
      </c>
      <c r="E1557" s="14">
        <f t="shared" si="49"/>
        <v>-2.3983566010582448E-3</v>
      </c>
    </row>
    <row r="1558" spans="1:5" x14ac:dyDescent="0.35">
      <c r="A1558" s="9">
        <v>43675</v>
      </c>
      <c r="B1558" s="10">
        <v>90.8</v>
      </c>
      <c r="C1558" s="11">
        <v>31734.23</v>
      </c>
      <c r="D1558" s="14">
        <f t="shared" si="48"/>
        <v>-1.3472403302911875E-2</v>
      </c>
      <c r="E1558" s="14">
        <f t="shared" si="49"/>
        <v>-1.1495402181771541E-2</v>
      </c>
    </row>
    <row r="1559" spans="1:5" x14ac:dyDescent="0.35">
      <c r="A1559" s="9">
        <v>43672</v>
      </c>
      <c r="B1559" s="10">
        <v>92.04</v>
      </c>
      <c r="C1559" s="11">
        <v>32103.27</v>
      </c>
      <c r="D1559" s="14">
        <f t="shared" si="48"/>
        <v>-9.0439276485786962E-3</v>
      </c>
      <c r="E1559" s="14">
        <f t="shared" si="49"/>
        <v>-1.0575287242960729E-2</v>
      </c>
    </row>
    <row r="1560" spans="1:5" x14ac:dyDescent="0.35">
      <c r="A1560" s="9">
        <v>43671</v>
      </c>
      <c r="B1560" s="10">
        <v>92.88</v>
      </c>
      <c r="C1560" s="11">
        <v>32446.400000000001</v>
      </c>
      <c r="D1560" s="14">
        <f t="shared" si="48"/>
        <v>-8.0102531239987194E-3</v>
      </c>
      <c r="E1560" s="14">
        <f t="shared" si="49"/>
        <v>1.3888288777645409E-3</v>
      </c>
    </row>
    <row r="1561" spans="1:5" x14ac:dyDescent="0.35">
      <c r="A1561" s="9">
        <v>43670</v>
      </c>
      <c r="B1561" s="10">
        <v>93.63</v>
      </c>
      <c r="C1561" s="11">
        <v>32401.4</v>
      </c>
      <c r="D1561" s="14">
        <f t="shared" si="48"/>
        <v>-1.4628499263312993E-2</v>
      </c>
      <c r="E1561" s="14">
        <f t="shared" si="49"/>
        <v>-9.6124573143072899E-3</v>
      </c>
    </row>
    <row r="1562" spans="1:5" x14ac:dyDescent="0.35">
      <c r="A1562" s="9">
        <v>43669</v>
      </c>
      <c r="B1562" s="10">
        <v>95.02</v>
      </c>
      <c r="C1562" s="11">
        <v>32715.88</v>
      </c>
      <c r="D1562" s="14">
        <f t="shared" si="48"/>
        <v>-3.878813292798035E-3</v>
      </c>
      <c r="E1562" s="14">
        <f t="shared" si="49"/>
        <v>4.0304377381305484E-3</v>
      </c>
    </row>
    <row r="1563" spans="1:5" x14ac:dyDescent="0.35">
      <c r="A1563" s="9">
        <v>43668</v>
      </c>
      <c r="B1563" s="10">
        <v>95.39</v>
      </c>
      <c r="C1563" s="11">
        <v>32584.55</v>
      </c>
      <c r="D1563" s="14">
        <f t="shared" si="48"/>
        <v>-1.3751033912324217E-2</v>
      </c>
      <c r="E1563" s="14">
        <f t="shared" si="49"/>
        <v>3.8750698193430878E-3</v>
      </c>
    </row>
    <row r="1564" spans="1:5" x14ac:dyDescent="0.35">
      <c r="A1564" s="9">
        <v>43665</v>
      </c>
      <c r="B1564" s="10">
        <v>96.72</v>
      </c>
      <c r="C1564" s="11">
        <v>32458.77</v>
      </c>
      <c r="D1564" s="14">
        <f t="shared" si="48"/>
        <v>-5.4498714652956417E-3</v>
      </c>
      <c r="E1564" s="14">
        <f t="shared" si="49"/>
        <v>4.6187596604594051E-3</v>
      </c>
    </row>
    <row r="1565" spans="1:5" x14ac:dyDescent="0.35">
      <c r="A1565" s="9">
        <v>43664</v>
      </c>
      <c r="B1565" s="10">
        <v>97.25</v>
      </c>
      <c r="C1565" s="11">
        <v>32309.54</v>
      </c>
      <c r="D1565" s="14">
        <f t="shared" si="48"/>
        <v>-1.9459568461383411E-2</v>
      </c>
      <c r="E1565" s="14">
        <f t="shared" si="49"/>
        <v>-2.0388399850948872E-2</v>
      </c>
    </row>
    <row r="1566" spans="1:5" x14ac:dyDescent="0.35">
      <c r="A1566" s="9">
        <v>43663</v>
      </c>
      <c r="B1566" s="10">
        <v>99.18</v>
      </c>
      <c r="C1566" s="11">
        <v>32981.99</v>
      </c>
      <c r="D1566" s="14">
        <f t="shared" si="48"/>
        <v>1.3592233009708866E-2</v>
      </c>
      <c r="E1566" s="14">
        <f t="shared" si="49"/>
        <v>3.023775916671519E-4</v>
      </c>
    </row>
    <row r="1567" spans="1:5" x14ac:dyDescent="0.35">
      <c r="A1567" s="9">
        <v>43662</v>
      </c>
      <c r="B1567" s="10">
        <v>97.85</v>
      </c>
      <c r="C1567" s="11">
        <v>32972.019999999997</v>
      </c>
      <c r="D1567" s="14">
        <f t="shared" si="48"/>
        <v>-1.2613521695257316E-2</v>
      </c>
      <c r="E1567" s="14">
        <f t="shared" si="49"/>
        <v>4.14765909094304E-4</v>
      </c>
    </row>
    <row r="1568" spans="1:5" x14ac:dyDescent="0.35">
      <c r="A1568" s="9">
        <v>43661</v>
      </c>
      <c r="B1568" s="10">
        <v>99.1</v>
      </c>
      <c r="C1568" s="11">
        <v>32958.35</v>
      </c>
      <c r="D1568" s="14">
        <f t="shared" si="48"/>
        <v>-1.4910536779324057E-2</v>
      </c>
      <c r="E1568" s="14">
        <f t="shared" si="49"/>
        <v>-2.1208410782808145E-2</v>
      </c>
    </row>
    <row r="1569" spans="1:5" x14ac:dyDescent="0.35">
      <c r="A1569" s="9">
        <v>43658</v>
      </c>
      <c r="B1569" s="10">
        <v>100.6</v>
      </c>
      <c r="C1569" s="11">
        <v>33672.49</v>
      </c>
      <c r="D1569" s="14">
        <f t="shared" si="48"/>
        <v>-1.3628787135993732E-2</v>
      </c>
      <c r="E1569" s="14">
        <f t="shared" si="49"/>
        <v>-5.9898923702746973E-3</v>
      </c>
    </row>
    <row r="1570" spans="1:5" x14ac:dyDescent="0.35">
      <c r="A1570" s="9">
        <v>43657</v>
      </c>
      <c r="B1570" s="10">
        <v>101.99</v>
      </c>
      <c r="C1570" s="11">
        <v>33875.4</v>
      </c>
      <c r="D1570" s="14">
        <f t="shared" si="48"/>
        <v>-4.0039062500001055E-3</v>
      </c>
      <c r="E1570" s="14">
        <f t="shared" si="49"/>
        <v>1.0446202059393689E-3</v>
      </c>
    </row>
    <row r="1571" spans="1:5" x14ac:dyDescent="0.35">
      <c r="A1571" s="9">
        <v>43656</v>
      </c>
      <c r="B1571" s="10">
        <v>102.4</v>
      </c>
      <c r="C1571" s="11">
        <v>33840.050000000003</v>
      </c>
      <c r="D1571" s="14">
        <f t="shared" si="48"/>
        <v>-9.7560975609750557E-4</v>
      </c>
      <c r="E1571" s="14">
        <f t="shared" si="49"/>
        <v>-4.5871315747651747E-4</v>
      </c>
    </row>
    <row r="1572" spans="1:5" x14ac:dyDescent="0.35">
      <c r="A1572" s="9">
        <v>43655</v>
      </c>
      <c r="B1572" s="10">
        <v>102.5</v>
      </c>
      <c r="C1572" s="11">
        <v>33855.58</v>
      </c>
      <c r="D1572" s="14">
        <f t="shared" si="48"/>
        <v>9.9517193812198763E-3</v>
      </c>
      <c r="E1572" s="14">
        <f t="shared" si="49"/>
        <v>3.345910876077462E-3</v>
      </c>
    </row>
    <row r="1573" spans="1:5" x14ac:dyDescent="0.35">
      <c r="A1573" s="9">
        <v>43654</v>
      </c>
      <c r="B1573" s="10">
        <v>101.49</v>
      </c>
      <c r="C1573" s="11">
        <v>33742.68</v>
      </c>
      <c r="D1573" s="14">
        <f t="shared" si="48"/>
        <v>-5.4875061244488224E-3</v>
      </c>
      <c r="E1573" s="14">
        <f t="shared" si="49"/>
        <v>-1.3083935019634283E-2</v>
      </c>
    </row>
    <row r="1574" spans="1:5" x14ac:dyDescent="0.35">
      <c r="A1574" s="9">
        <v>43651</v>
      </c>
      <c r="B1574" s="10">
        <v>102.05</v>
      </c>
      <c r="C1574" s="11">
        <v>34190.019999999997</v>
      </c>
      <c r="D1574" s="14">
        <f t="shared" si="48"/>
        <v>-2.1666187326239143E-2</v>
      </c>
      <c r="E1574" s="14">
        <f t="shared" si="49"/>
        <v>-1.1009348400462757E-2</v>
      </c>
    </row>
    <row r="1575" spans="1:5" x14ac:dyDescent="0.35">
      <c r="A1575" s="9">
        <v>43650</v>
      </c>
      <c r="B1575" s="10">
        <v>104.31</v>
      </c>
      <c r="C1575" s="11">
        <v>34570.620000000003</v>
      </c>
      <c r="D1575" s="14">
        <f t="shared" si="48"/>
        <v>-1.6271056661562183E-3</v>
      </c>
      <c r="E1575" s="14">
        <f t="shared" si="49"/>
        <v>-9.3398917658049363E-3</v>
      </c>
    </row>
    <row r="1576" spans="1:5" x14ac:dyDescent="0.35">
      <c r="A1576" s="9">
        <v>43649</v>
      </c>
      <c r="B1576" s="10">
        <v>104.48</v>
      </c>
      <c r="C1576" s="11">
        <v>34896.550000000003</v>
      </c>
      <c r="D1576" s="14">
        <f t="shared" si="48"/>
        <v>4.615384615384654E-3</v>
      </c>
      <c r="E1576" s="14">
        <f t="shared" si="49"/>
        <v>1.7181278166537559E-2</v>
      </c>
    </row>
    <row r="1577" spans="1:5" x14ac:dyDescent="0.35">
      <c r="A1577" s="9">
        <v>43648</v>
      </c>
      <c r="B1577" s="10">
        <v>104</v>
      </c>
      <c r="C1577" s="11">
        <v>34307.11</v>
      </c>
      <c r="D1577" s="14">
        <f t="shared" si="48"/>
        <v>0</v>
      </c>
      <c r="E1577" s="14">
        <f t="shared" si="49"/>
        <v>9.141574987653044E-3</v>
      </c>
    </row>
    <row r="1578" spans="1:5" x14ac:dyDescent="0.35">
      <c r="A1578" s="9">
        <v>43647</v>
      </c>
      <c r="B1578" s="10">
        <v>104</v>
      </c>
      <c r="C1578" s="11">
        <v>33996.33</v>
      </c>
      <c r="D1578" s="14">
        <f t="shared" si="48"/>
        <v>-9.7124357265282422E-3</v>
      </c>
      <c r="E1578" s="14">
        <f t="shared" si="49"/>
        <v>2.7948549890595069E-3</v>
      </c>
    </row>
    <row r="1579" spans="1:5" x14ac:dyDescent="0.35">
      <c r="A1579" s="9">
        <v>43644</v>
      </c>
      <c r="B1579" s="10">
        <v>105.02</v>
      </c>
      <c r="C1579" s="11">
        <v>33901.58</v>
      </c>
      <c r="D1579" s="14">
        <f t="shared" si="48"/>
        <v>2.5185474424053087E-2</v>
      </c>
      <c r="E1579" s="14">
        <f t="shared" si="49"/>
        <v>3.7649795318469865E-3</v>
      </c>
    </row>
    <row r="1580" spans="1:5" x14ac:dyDescent="0.35">
      <c r="A1580" s="9">
        <v>43643</v>
      </c>
      <c r="B1580" s="10">
        <v>102.44</v>
      </c>
      <c r="C1580" s="11">
        <v>33774.42</v>
      </c>
      <c r="D1580" s="14">
        <f t="shared" si="48"/>
        <v>-1.8585936003065701E-2</v>
      </c>
      <c r="E1580" s="14">
        <f t="shared" si="49"/>
        <v>-9.2154083364037499E-3</v>
      </c>
    </row>
    <row r="1581" spans="1:5" x14ac:dyDescent="0.35">
      <c r="A1581" s="9">
        <v>43642</v>
      </c>
      <c r="B1581" s="10">
        <v>104.38</v>
      </c>
      <c r="C1581" s="11">
        <v>34088.559999999998</v>
      </c>
      <c r="D1581" s="14">
        <f t="shared" si="48"/>
        <v>-5.1467784979032241E-3</v>
      </c>
      <c r="E1581" s="14">
        <f t="shared" si="49"/>
        <v>-2.9850292273145367E-3</v>
      </c>
    </row>
    <row r="1582" spans="1:5" x14ac:dyDescent="0.35">
      <c r="A1582" s="9">
        <v>43641</v>
      </c>
      <c r="B1582" s="10">
        <v>104.92</v>
      </c>
      <c r="C1582" s="11">
        <v>34190.620000000003</v>
      </c>
      <c r="D1582" s="14">
        <f t="shared" si="48"/>
        <v>-1.3325718636969404E-3</v>
      </c>
      <c r="E1582" s="14">
        <f t="shared" si="49"/>
        <v>-8.1611281056045426E-3</v>
      </c>
    </row>
    <row r="1583" spans="1:5" x14ac:dyDescent="0.35">
      <c r="A1583" s="9">
        <v>43640</v>
      </c>
      <c r="B1583" s="10">
        <v>105.06</v>
      </c>
      <c r="C1583" s="11">
        <v>34471.949999999997</v>
      </c>
      <c r="D1583" s="14">
        <f t="shared" si="48"/>
        <v>-1.2358589219507127E-3</v>
      </c>
      <c r="E1583" s="14">
        <f t="shared" si="49"/>
        <v>-1.8599155877894191E-2</v>
      </c>
    </row>
    <row r="1584" spans="1:5" x14ac:dyDescent="0.35">
      <c r="A1584" s="9">
        <v>43637</v>
      </c>
      <c r="B1584" s="10">
        <v>105.19</v>
      </c>
      <c r="C1584" s="11">
        <v>35125.25</v>
      </c>
      <c r="D1584" s="14">
        <f t="shared" si="48"/>
        <v>1.1928811928811879E-2</v>
      </c>
      <c r="E1584" s="14">
        <f t="shared" si="49"/>
        <v>3.6958604591221232E-3</v>
      </c>
    </row>
    <row r="1585" spans="1:5" x14ac:dyDescent="0.35">
      <c r="A1585" s="9">
        <v>43636</v>
      </c>
      <c r="B1585" s="10">
        <v>103.95</v>
      </c>
      <c r="C1585" s="11">
        <v>34995.910000000003</v>
      </c>
      <c r="D1585" s="14">
        <f t="shared" si="48"/>
        <v>1.2072826404439773E-2</v>
      </c>
      <c r="E1585" s="14">
        <f t="shared" si="49"/>
        <v>9.8046174817031113E-3</v>
      </c>
    </row>
    <row r="1586" spans="1:5" x14ac:dyDescent="0.35">
      <c r="A1586" s="9">
        <v>43635</v>
      </c>
      <c r="B1586" s="10">
        <v>102.71</v>
      </c>
      <c r="C1586" s="11">
        <v>34656.120000000003</v>
      </c>
      <c r="D1586" s="14">
        <f t="shared" si="48"/>
        <v>-8.5907335907335972E-3</v>
      </c>
      <c r="E1586" s="14">
        <f t="shared" si="49"/>
        <v>-7.381410149207866E-4</v>
      </c>
    </row>
    <row r="1587" spans="1:5" x14ac:dyDescent="0.35">
      <c r="A1587" s="9">
        <v>43634</v>
      </c>
      <c r="B1587" s="10">
        <v>103.6</v>
      </c>
      <c r="C1587" s="11">
        <v>34681.72</v>
      </c>
      <c r="D1587" s="14">
        <f t="shared" si="48"/>
        <v>-1.3615157574026534E-2</v>
      </c>
      <c r="E1587" s="14">
        <f t="shared" si="49"/>
        <v>-1.3850336747152692E-2</v>
      </c>
    </row>
    <row r="1588" spans="1:5" x14ac:dyDescent="0.35">
      <c r="A1588" s="9">
        <v>43633</v>
      </c>
      <c r="B1588" s="10">
        <v>105.03</v>
      </c>
      <c r="C1588" s="11">
        <v>35168.82</v>
      </c>
      <c r="D1588" s="14">
        <f t="shared" si="48"/>
        <v>-1.5097524381095269E-2</v>
      </c>
      <c r="E1588" s="14">
        <f t="shared" si="49"/>
        <v>-1.1360598432235657E-2</v>
      </c>
    </row>
    <row r="1589" spans="1:5" x14ac:dyDescent="0.35">
      <c r="A1589" s="9">
        <v>43630</v>
      </c>
      <c r="B1589" s="10">
        <v>106.64</v>
      </c>
      <c r="C1589" s="11">
        <v>35572.949999999997</v>
      </c>
      <c r="D1589" s="14">
        <f t="shared" si="48"/>
        <v>-7.5383899488134223E-3</v>
      </c>
      <c r="E1589" s="14">
        <f t="shared" si="49"/>
        <v>4.798453919391662E-3</v>
      </c>
    </row>
    <row r="1590" spans="1:5" x14ac:dyDescent="0.35">
      <c r="A1590" s="9">
        <v>43629</v>
      </c>
      <c r="B1590" s="10">
        <v>107.45</v>
      </c>
      <c r="C1590" s="11">
        <v>35403.07</v>
      </c>
      <c r="D1590" s="14">
        <f t="shared" si="48"/>
        <v>4.3913339162537604E-2</v>
      </c>
      <c r="E1590" s="14">
        <f t="shared" si="49"/>
        <v>1.3313324515791274E-2</v>
      </c>
    </row>
    <row r="1591" spans="1:5" x14ac:dyDescent="0.35">
      <c r="A1591" s="9">
        <v>43628</v>
      </c>
      <c r="B1591" s="10">
        <v>102.93</v>
      </c>
      <c r="C1591" s="11">
        <v>34937.93</v>
      </c>
      <c r="D1591" s="14">
        <f t="shared" si="48"/>
        <v>-5.4111508358294334E-3</v>
      </c>
      <c r="E1591" s="14">
        <f t="shared" si="49"/>
        <v>8.0231160838838533E-3</v>
      </c>
    </row>
    <row r="1592" spans="1:5" x14ac:dyDescent="0.35">
      <c r="A1592" s="9">
        <v>43627</v>
      </c>
      <c r="B1592" s="10">
        <v>103.49</v>
      </c>
      <c r="C1592" s="11">
        <v>34659.85</v>
      </c>
      <c r="D1592" s="14">
        <f t="shared" si="48"/>
        <v>-2.090823084200575E-2</v>
      </c>
      <c r="E1592" s="14">
        <f t="shared" si="49"/>
        <v>2.6701342733284721E-3</v>
      </c>
    </row>
    <row r="1593" spans="1:5" x14ac:dyDescent="0.35">
      <c r="A1593" s="9">
        <v>43626</v>
      </c>
      <c r="B1593" s="10">
        <v>105.7</v>
      </c>
      <c r="C1593" s="11">
        <v>34567.550000000003</v>
      </c>
      <c r="D1593" s="14">
        <f t="shared" si="48"/>
        <v>-2.2653721682847922E-2</v>
      </c>
      <c r="E1593" s="14">
        <f t="shared" si="49"/>
        <v>-2.6411275615549061E-2</v>
      </c>
    </row>
    <row r="1594" spans="1:5" x14ac:dyDescent="0.35">
      <c r="A1594" s="9">
        <v>43619</v>
      </c>
      <c r="B1594" s="10">
        <v>108.15</v>
      </c>
      <c r="C1594" s="11">
        <v>35505.29</v>
      </c>
      <c r="D1594" s="14">
        <f t="shared" si="48"/>
        <v>-1.2148337595907912E-2</v>
      </c>
      <c r="E1594" s="14">
        <f t="shared" si="49"/>
        <v>-1.3050805855989708E-2</v>
      </c>
    </row>
    <row r="1595" spans="1:5" x14ac:dyDescent="0.35">
      <c r="A1595" s="9">
        <v>43615</v>
      </c>
      <c r="B1595" s="10">
        <v>109.48</v>
      </c>
      <c r="C1595" s="11">
        <v>35974.79</v>
      </c>
      <c r="D1595" s="14">
        <f t="shared" si="48"/>
        <v>-6.1728395061727724E-3</v>
      </c>
      <c r="E1595" s="14">
        <f t="shared" si="49"/>
        <v>4.271480387759367E-4</v>
      </c>
    </row>
    <row r="1596" spans="1:5" x14ac:dyDescent="0.35">
      <c r="A1596" s="9">
        <v>43614</v>
      </c>
      <c r="B1596" s="10">
        <v>110.16</v>
      </c>
      <c r="C1596" s="11">
        <v>35959.43</v>
      </c>
      <c r="D1596" s="14">
        <f t="shared" si="48"/>
        <v>2.2461481343976256E-2</v>
      </c>
      <c r="E1596" s="14">
        <f t="shared" si="49"/>
        <v>2.8903313601882544E-2</v>
      </c>
    </row>
    <row r="1597" spans="1:5" x14ac:dyDescent="0.35">
      <c r="A1597" s="9">
        <v>43613</v>
      </c>
      <c r="B1597" s="10">
        <v>107.74</v>
      </c>
      <c r="C1597" s="11">
        <v>34949.279999999999</v>
      </c>
      <c r="D1597" s="14">
        <f t="shared" si="48"/>
        <v>1.1548211435545861E-2</v>
      </c>
      <c r="E1597" s="14">
        <f t="shared" si="49"/>
        <v>-2.0956445810994023E-2</v>
      </c>
    </row>
    <row r="1598" spans="1:5" x14ac:dyDescent="0.35">
      <c r="A1598" s="9">
        <v>43612</v>
      </c>
      <c r="B1598" s="10">
        <v>106.51</v>
      </c>
      <c r="C1598" s="11">
        <v>35697.370000000003</v>
      </c>
      <c r="D1598" s="14">
        <f t="shared" si="48"/>
        <v>-1.2607768610364322E-2</v>
      </c>
      <c r="E1598" s="14">
        <f t="shared" si="49"/>
        <v>-1.8037290698093712E-4</v>
      </c>
    </row>
    <row r="1599" spans="1:5" x14ac:dyDescent="0.35">
      <c r="A1599" s="9">
        <v>43609</v>
      </c>
      <c r="B1599" s="10">
        <v>107.87</v>
      </c>
      <c r="C1599" s="11">
        <v>35703.81</v>
      </c>
      <c r="D1599" s="14">
        <f t="shared" si="48"/>
        <v>-2.3535801575088208E-2</v>
      </c>
      <c r="E1599" s="14">
        <f t="shared" si="49"/>
        <v>3.4419726744411867E-3</v>
      </c>
    </row>
    <row r="1600" spans="1:5" x14ac:dyDescent="0.35">
      <c r="A1600" s="9">
        <v>43608</v>
      </c>
      <c r="B1600" s="10">
        <v>110.47</v>
      </c>
      <c r="C1600" s="11">
        <v>35581.339999999997</v>
      </c>
      <c r="D1600" s="14">
        <f t="shared" si="48"/>
        <v>2.9159679523010951E-2</v>
      </c>
      <c r="E1600" s="14">
        <f t="shared" si="49"/>
        <v>2.7259756434855682E-2</v>
      </c>
    </row>
    <row r="1601" spans="1:5" x14ac:dyDescent="0.35">
      <c r="A1601" s="9">
        <v>43607</v>
      </c>
      <c r="B1601" s="10">
        <v>107.34</v>
      </c>
      <c r="C1601" s="11">
        <v>34637.14</v>
      </c>
      <c r="D1601" s="14">
        <f t="shared" si="48"/>
        <v>2.7177033492822997E-2</v>
      </c>
      <c r="E1601" s="14">
        <f t="shared" si="49"/>
        <v>3.573459800670415E-2</v>
      </c>
    </row>
    <row r="1602" spans="1:5" x14ac:dyDescent="0.35">
      <c r="A1602" s="9">
        <v>43606</v>
      </c>
      <c r="B1602" s="10">
        <v>104.5</v>
      </c>
      <c r="C1602" s="11">
        <v>33442.1</v>
      </c>
      <c r="D1602" s="14">
        <f t="shared" si="48"/>
        <v>2.3980815347721821E-3</v>
      </c>
      <c r="E1602" s="14">
        <f t="shared" si="49"/>
        <v>5.7611094436360328E-3</v>
      </c>
    </row>
    <row r="1603" spans="1:5" x14ac:dyDescent="0.35">
      <c r="A1603" s="9">
        <v>43605</v>
      </c>
      <c r="B1603" s="10">
        <v>104.25</v>
      </c>
      <c r="C1603" s="11">
        <v>33250.54</v>
      </c>
      <c r="D1603" s="14">
        <f t="shared" si="48"/>
        <v>-1.6231008776068687E-2</v>
      </c>
      <c r="E1603" s="14">
        <f t="shared" si="49"/>
        <v>2.5302548164388848E-3</v>
      </c>
    </row>
    <row r="1604" spans="1:5" x14ac:dyDescent="0.35">
      <c r="A1604" s="9">
        <v>43602</v>
      </c>
      <c r="B1604" s="10">
        <v>105.97</v>
      </c>
      <c r="C1604" s="11">
        <v>33166.620000000003</v>
      </c>
      <c r="D1604" s="14">
        <f t="shared" si="48"/>
        <v>-2.8301886792453905E-4</v>
      </c>
      <c r="E1604" s="14">
        <f t="shared" si="49"/>
        <v>-2.3681880373682115E-2</v>
      </c>
    </row>
    <row r="1605" spans="1:5" x14ac:dyDescent="0.35">
      <c r="A1605" s="9">
        <v>43601</v>
      </c>
      <c r="B1605" s="10">
        <v>106</v>
      </c>
      <c r="C1605" s="11">
        <v>33971.120000000003</v>
      </c>
      <c r="D1605" s="14">
        <f t="shared" ref="D1605:D1668" si="50">(B1605-B1606)/B1606</f>
        <v>-1.9154251873785447E-2</v>
      </c>
      <c r="E1605" s="14">
        <f t="shared" ref="E1605:E1668" si="51">(C1605-C1606)/C1606</f>
        <v>2.538874767633969E-3</v>
      </c>
    </row>
    <row r="1606" spans="1:5" x14ac:dyDescent="0.35">
      <c r="A1606" s="9">
        <v>43599</v>
      </c>
      <c r="B1606" s="10">
        <v>108.07</v>
      </c>
      <c r="C1606" s="11">
        <v>33885.089999999997</v>
      </c>
      <c r="D1606" s="14">
        <f t="shared" si="50"/>
        <v>2.4748719893798593E-2</v>
      </c>
      <c r="E1606" s="14">
        <f t="shared" si="51"/>
        <v>-4.5102739261332391E-4</v>
      </c>
    </row>
    <row r="1607" spans="1:5" x14ac:dyDescent="0.35">
      <c r="A1607" s="9">
        <v>43598</v>
      </c>
      <c r="B1607" s="10">
        <v>105.46</v>
      </c>
      <c r="C1607" s="11">
        <v>33900.379999999997</v>
      </c>
      <c r="D1607" s="14">
        <f t="shared" si="50"/>
        <v>-1.1065266316579208E-2</v>
      </c>
      <c r="E1607" s="14">
        <f t="shared" si="51"/>
        <v>-2.3508973967156323E-2</v>
      </c>
    </row>
    <row r="1608" spans="1:5" x14ac:dyDescent="0.35">
      <c r="A1608" s="9">
        <v>43595</v>
      </c>
      <c r="B1608" s="10">
        <v>106.64</v>
      </c>
      <c r="C1608" s="11">
        <v>34716.53</v>
      </c>
      <c r="D1608" s="14">
        <f t="shared" si="50"/>
        <v>4.0390243902439033E-2</v>
      </c>
      <c r="E1608" s="14">
        <f t="shared" si="51"/>
        <v>-4.9046023176116411E-3</v>
      </c>
    </row>
    <row r="1609" spans="1:5" x14ac:dyDescent="0.35">
      <c r="A1609" s="9">
        <v>43594</v>
      </c>
      <c r="B1609" s="10">
        <v>102.5</v>
      </c>
      <c r="C1609" s="11">
        <v>34887.64</v>
      </c>
      <c r="D1609" s="14">
        <f t="shared" si="50"/>
        <v>-9.7465886939565615E-4</v>
      </c>
      <c r="E1609" s="14">
        <f t="shared" si="51"/>
        <v>-4.2069323188819712E-3</v>
      </c>
    </row>
    <row r="1610" spans="1:5" x14ac:dyDescent="0.35">
      <c r="A1610" s="9">
        <v>43593</v>
      </c>
      <c r="B1610" s="10">
        <v>102.6</v>
      </c>
      <c r="C1610" s="11">
        <v>35035.03</v>
      </c>
      <c r="D1610" s="14">
        <f t="shared" si="50"/>
        <v>-3.0978466188137526E-2</v>
      </c>
      <c r="E1610" s="14">
        <f t="shared" si="51"/>
        <v>-1.6727821176243392E-2</v>
      </c>
    </row>
    <row r="1611" spans="1:5" x14ac:dyDescent="0.35">
      <c r="A1611" s="9">
        <v>43592</v>
      </c>
      <c r="B1611" s="10">
        <v>105.88</v>
      </c>
      <c r="C1611" s="11">
        <v>35631.06</v>
      </c>
      <c r="D1611" s="14">
        <f t="shared" si="50"/>
        <v>-2.3556016206539151E-3</v>
      </c>
      <c r="E1611" s="14">
        <f t="shared" si="51"/>
        <v>7.2011508360242404E-4</v>
      </c>
    </row>
    <row r="1612" spans="1:5" x14ac:dyDescent="0.35">
      <c r="A1612" s="9">
        <v>43591</v>
      </c>
      <c r="B1612" s="10">
        <v>106.13</v>
      </c>
      <c r="C1612" s="11">
        <v>35605.42</v>
      </c>
      <c r="D1612" s="14">
        <f t="shared" si="50"/>
        <v>1.8848364904340797E-4</v>
      </c>
      <c r="E1612" s="14">
        <f t="shared" si="51"/>
        <v>-1.4326902979961462E-2</v>
      </c>
    </row>
    <row r="1613" spans="1:5" x14ac:dyDescent="0.35">
      <c r="A1613" s="9">
        <v>43588</v>
      </c>
      <c r="B1613" s="10">
        <v>106.11</v>
      </c>
      <c r="C1613" s="11">
        <v>36122.949999999997</v>
      </c>
      <c r="D1613" s="14">
        <f t="shared" si="50"/>
        <v>-7.5757575757575968E-3</v>
      </c>
      <c r="E1613" s="14">
        <f t="shared" si="51"/>
        <v>-1.1619905312601674E-2</v>
      </c>
    </row>
    <row r="1614" spans="1:5" x14ac:dyDescent="0.35">
      <c r="A1614" s="9">
        <v>43587</v>
      </c>
      <c r="B1614" s="10">
        <v>106.92</v>
      </c>
      <c r="C1614" s="11">
        <v>36547.629999999997</v>
      </c>
      <c r="D1614" s="14">
        <f t="shared" si="50"/>
        <v>-9.1743119266054583E-3</v>
      </c>
      <c r="E1614" s="14">
        <f t="shared" si="51"/>
        <v>-6.437776407633362E-3</v>
      </c>
    </row>
    <row r="1615" spans="1:5" x14ac:dyDescent="0.35">
      <c r="A1615" s="9">
        <v>43585</v>
      </c>
      <c r="B1615" s="10">
        <v>107.91</v>
      </c>
      <c r="C1615" s="11">
        <v>36784.44</v>
      </c>
      <c r="D1615" s="14">
        <f t="shared" si="50"/>
        <v>2.2359071530080526E-2</v>
      </c>
      <c r="E1615" s="14">
        <f t="shared" si="51"/>
        <v>-6.5313087167568999E-3</v>
      </c>
    </row>
    <row r="1616" spans="1:5" x14ac:dyDescent="0.35">
      <c r="A1616" s="9">
        <v>43584</v>
      </c>
      <c r="B1616" s="10">
        <v>105.55</v>
      </c>
      <c r="C1616" s="11">
        <v>37026.269999999997</v>
      </c>
      <c r="D1616" s="14">
        <f t="shared" si="50"/>
        <v>-8.4546735556599879E-3</v>
      </c>
      <c r="E1616" s="14">
        <f t="shared" si="51"/>
        <v>-2.8106175413668065E-3</v>
      </c>
    </row>
    <row r="1617" spans="1:5" x14ac:dyDescent="0.35">
      <c r="A1617" s="9">
        <v>43581</v>
      </c>
      <c r="B1617" s="10">
        <v>106.45</v>
      </c>
      <c r="C1617" s="11">
        <v>37130.629999999997</v>
      </c>
      <c r="D1617" s="14">
        <f t="shared" si="50"/>
        <v>1.2844909609895419E-2</v>
      </c>
      <c r="E1617" s="14">
        <f t="shared" si="51"/>
        <v>9.0933723013052921E-3</v>
      </c>
    </row>
    <row r="1618" spans="1:5" x14ac:dyDescent="0.35">
      <c r="A1618" s="9">
        <v>43580</v>
      </c>
      <c r="B1618" s="10">
        <v>105.1</v>
      </c>
      <c r="C1618" s="11">
        <v>36796.03</v>
      </c>
      <c r="D1618" s="14">
        <f t="shared" si="50"/>
        <v>7.6701821668264348E-3</v>
      </c>
      <c r="E1618" s="14">
        <f t="shared" si="51"/>
        <v>7.9930419060793966E-3</v>
      </c>
    </row>
    <row r="1619" spans="1:5" x14ac:dyDescent="0.35">
      <c r="A1619" s="9">
        <v>43579</v>
      </c>
      <c r="B1619" s="10">
        <v>104.3</v>
      </c>
      <c r="C1619" s="11">
        <v>36504.25</v>
      </c>
      <c r="D1619" s="14">
        <f t="shared" si="50"/>
        <v>8.313998453209584E-3</v>
      </c>
      <c r="E1619" s="14">
        <f t="shared" si="51"/>
        <v>2.7529919077640902E-3</v>
      </c>
    </row>
    <row r="1620" spans="1:5" x14ac:dyDescent="0.35">
      <c r="A1620" s="9">
        <v>43578</v>
      </c>
      <c r="B1620" s="10">
        <v>103.44</v>
      </c>
      <c r="C1620" s="11">
        <v>36404.03</v>
      </c>
      <c r="D1620" s="14">
        <f t="shared" si="50"/>
        <v>-1.7103762827822094E-2</v>
      </c>
      <c r="E1620" s="14">
        <f t="shared" si="51"/>
        <v>-1.3486103210991243E-2</v>
      </c>
    </row>
    <row r="1621" spans="1:5" x14ac:dyDescent="0.35">
      <c r="A1621" s="9">
        <v>43577</v>
      </c>
      <c r="B1621" s="10">
        <v>105.24</v>
      </c>
      <c r="C1621" s="11">
        <v>36901.69</v>
      </c>
      <c r="D1621" s="14">
        <f t="shared" si="50"/>
        <v>-1.2850576868961679E-2</v>
      </c>
      <c r="E1621" s="14">
        <f t="shared" si="51"/>
        <v>-1.0478791026713941E-2</v>
      </c>
    </row>
    <row r="1622" spans="1:5" x14ac:dyDescent="0.35">
      <c r="A1622" s="9">
        <v>43574</v>
      </c>
      <c r="B1622" s="10">
        <v>106.61</v>
      </c>
      <c r="C1622" s="11">
        <v>37292.47</v>
      </c>
      <c r="D1622" s="14">
        <f t="shared" si="50"/>
        <v>3.7661237171641624E-3</v>
      </c>
      <c r="E1622" s="14">
        <f t="shared" si="51"/>
        <v>1.3055846675500792E-2</v>
      </c>
    </row>
    <row r="1623" spans="1:5" x14ac:dyDescent="0.35">
      <c r="A1623" s="9">
        <v>43573</v>
      </c>
      <c r="B1623" s="10">
        <v>106.21</v>
      </c>
      <c r="C1623" s="11">
        <v>36811.86</v>
      </c>
      <c r="D1623" s="14">
        <f t="shared" si="50"/>
        <v>1.7044910466340962E-2</v>
      </c>
      <c r="E1623" s="14">
        <f t="shared" si="51"/>
        <v>1.6132205176400147E-3</v>
      </c>
    </row>
    <row r="1624" spans="1:5" x14ac:dyDescent="0.35">
      <c r="A1624" s="9">
        <v>43572</v>
      </c>
      <c r="B1624" s="10">
        <v>104.43</v>
      </c>
      <c r="C1624" s="11">
        <v>36752.57</v>
      </c>
      <c r="D1624" s="14">
        <f t="shared" si="50"/>
        <v>-2.4018691588784984E-2</v>
      </c>
      <c r="E1624" s="14">
        <f t="shared" si="51"/>
        <v>-1.6836467867513531E-2</v>
      </c>
    </row>
    <row r="1625" spans="1:5" x14ac:dyDescent="0.35">
      <c r="A1625" s="9">
        <v>43571</v>
      </c>
      <c r="B1625" s="10">
        <v>107</v>
      </c>
      <c r="C1625" s="11">
        <v>37381.949999999997</v>
      </c>
      <c r="D1625" s="14">
        <f t="shared" si="50"/>
        <v>-9.6260644205850253E-3</v>
      </c>
      <c r="E1625" s="14">
        <f t="shared" si="51"/>
        <v>-3.2564456987081046E-3</v>
      </c>
    </row>
    <row r="1626" spans="1:5" x14ac:dyDescent="0.35">
      <c r="A1626" s="9">
        <v>43570</v>
      </c>
      <c r="B1626" s="10">
        <v>108.04</v>
      </c>
      <c r="C1626" s="11">
        <v>37504.080000000002</v>
      </c>
      <c r="D1626" s="14">
        <f t="shared" si="50"/>
        <v>-4.3313980278315255E-3</v>
      </c>
      <c r="E1626" s="14">
        <f t="shared" si="51"/>
        <v>4.4515126331523226E-3</v>
      </c>
    </row>
    <row r="1627" spans="1:5" x14ac:dyDescent="0.35">
      <c r="A1627" s="9">
        <v>43567</v>
      </c>
      <c r="B1627" s="10">
        <v>108.51</v>
      </c>
      <c r="C1627" s="11">
        <v>37337.870000000003</v>
      </c>
      <c r="D1627" s="14">
        <f t="shared" si="50"/>
        <v>1.4112149532710328E-2</v>
      </c>
      <c r="E1627" s="14">
        <f t="shared" si="51"/>
        <v>1.4956925750061793E-2</v>
      </c>
    </row>
    <row r="1628" spans="1:5" x14ac:dyDescent="0.35">
      <c r="A1628" s="9">
        <v>43566</v>
      </c>
      <c r="B1628" s="10">
        <v>107</v>
      </c>
      <c r="C1628" s="11">
        <v>36787.64</v>
      </c>
      <c r="D1628" s="14">
        <f t="shared" si="50"/>
        <v>1.1724659606656532E-2</v>
      </c>
      <c r="E1628" s="14">
        <f t="shared" si="51"/>
        <v>5.6950211212236784E-3</v>
      </c>
    </row>
    <row r="1629" spans="1:5" x14ac:dyDescent="0.35">
      <c r="A1629" s="9">
        <v>43565</v>
      </c>
      <c r="B1629" s="10">
        <v>105.76</v>
      </c>
      <c r="C1629" s="11">
        <v>36579.32</v>
      </c>
      <c r="D1629" s="14">
        <f t="shared" si="50"/>
        <v>1.1359333585763398E-3</v>
      </c>
      <c r="E1629" s="14">
        <f t="shared" si="51"/>
        <v>-1.483033786453373E-2</v>
      </c>
    </row>
    <row r="1630" spans="1:5" x14ac:dyDescent="0.35">
      <c r="A1630" s="9">
        <v>43564</v>
      </c>
      <c r="B1630" s="10">
        <v>105.64</v>
      </c>
      <c r="C1630" s="11">
        <v>37129.97</v>
      </c>
      <c r="D1630" s="14">
        <f t="shared" si="50"/>
        <v>5.4249547920434699E-3</v>
      </c>
      <c r="E1630" s="14">
        <f t="shared" si="51"/>
        <v>5.6351364271241024E-3</v>
      </c>
    </row>
    <row r="1631" spans="1:5" x14ac:dyDescent="0.35">
      <c r="A1631" s="9">
        <v>43563</v>
      </c>
      <c r="B1631" s="10">
        <v>105.07</v>
      </c>
      <c r="C1631" s="11">
        <v>36921.910000000003</v>
      </c>
      <c r="D1631" s="14">
        <f t="shared" si="50"/>
        <v>-2.8838155097513675E-2</v>
      </c>
      <c r="E1631" s="14">
        <f t="shared" si="51"/>
        <v>-1.5988034692356105E-2</v>
      </c>
    </row>
    <row r="1632" spans="1:5" x14ac:dyDescent="0.35">
      <c r="A1632" s="9">
        <v>43560</v>
      </c>
      <c r="B1632" s="10">
        <v>108.19</v>
      </c>
      <c r="C1632" s="11">
        <v>37521.81</v>
      </c>
      <c r="D1632" s="14">
        <f t="shared" si="50"/>
        <v>4.6236360273716625E-4</v>
      </c>
      <c r="E1632" s="14">
        <f t="shared" si="51"/>
        <v>1.5193472884041256E-4</v>
      </c>
    </row>
    <row r="1633" spans="1:5" x14ac:dyDescent="0.35">
      <c r="A1633" s="9">
        <v>43559</v>
      </c>
      <c r="B1633" s="10">
        <v>108.14</v>
      </c>
      <c r="C1633" s="11">
        <v>37516.11</v>
      </c>
      <c r="D1633" s="14">
        <f t="shared" si="50"/>
        <v>4.6257748172816315E-4</v>
      </c>
      <c r="E1633" s="14">
        <f t="shared" si="51"/>
        <v>-1.3325951797342707E-2</v>
      </c>
    </row>
    <row r="1634" spans="1:5" x14ac:dyDescent="0.35">
      <c r="A1634" s="9">
        <v>43558</v>
      </c>
      <c r="B1634" s="10">
        <v>108.09</v>
      </c>
      <c r="C1634" s="11">
        <v>38022.800000000003</v>
      </c>
      <c r="D1634" s="14">
        <f t="shared" si="50"/>
        <v>8.3333333333336494E-4</v>
      </c>
      <c r="E1634" s="14">
        <f t="shared" si="51"/>
        <v>-3.4782809877886638E-4</v>
      </c>
    </row>
    <row r="1635" spans="1:5" x14ac:dyDescent="0.35">
      <c r="A1635" s="9">
        <v>43557</v>
      </c>
      <c r="B1635" s="10">
        <v>108</v>
      </c>
      <c r="C1635" s="11">
        <v>38036.03</v>
      </c>
      <c r="D1635" s="14">
        <f t="shared" si="50"/>
        <v>-9.1743119266055051E-3</v>
      </c>
      <c r="E1635" s="14">
        <f t="shared" si="51"/>
        <v>-8.3123777045145449E-3</v>
      </c>
    </row>
    <row r="1636" spans="1:5" x14ac:dyDescent="0.35">
      <c r="A1636" s="9">
        <v>43556</v>
      </c>
      <c r="B1636" s="10">
        <v>109</v>
      </c>
      <c r="C1636" s="11">
        <v>38354.85</v>
      </c>
      <c r="D1636" s="14">
        <f t="shared" si="50"/>
        <v>8.8855979266937585E-3</v>
      </c>
      <c r="E1636" s="14">
        <f t="shared" si="51"/>
        <v>-7.6195350295761325E-3</v>
      </c>
    </row>
    <row r="1637" spans="1:5" x14ac:dyDescent="0.35">
      <c r="A1637" s="9">
        <v>43553</v>
      </c>
      <c r="B1637" s="10">
        <v>108.04</v>
      </c>
      <c r="C1637" s="11">
        <v>38649.339999999997</v>
      </c>
      <c r="D1637" s="14">
        <f t="shared" si="50"/>
        <v>3.7037037037042825E-4</v>
      </c>
      <c r="E1637" s="14">
        <f t="shared" si="51"/>
        <v>2.5001977799364102E-3</v>
      </c>
    </row>
    <row r="1638" spans="1:5" x14ac:dyDescent="0.35">
      <c r="A1638" s="9">
        <v>43552</v>
      </c>
      <c r="B1638" s="10">
        <v>108</v>
      </c>
      <c r="C1638" s="11">
        <v>38552.949999999997</v>
      </c>
      <c r="D1638" s="14">
        <f t="shared" si="50"/>
        <v>0</v>
      </c>
      <c r="E1638" s="14">
        <f t="shared" si="51"/>
        <v>-1.0575128814287611E-2</v>
      </c>
    </row>
    <row r="1639" spans="1:5" x14ac:dyDescent="0.35">
      <c r="A1639" s="9">
        <v>43551</v>
      </c>
      <c r="B1639" s="10">
        <v>108</v>
      </c>
      <c r="C1639" s="11">
        <v>38965.01</v>
      </c>
      <c r="D1639" s="14">
        <f t="shared" si="50"/>
        <v>0</v>
      </c>
      <c r="E1639" s="14">
        <f t="shared" si="51"/>
        <v>1.658999304184584E-2</v>
      </c>
    </row>
    <row r="1640" spans="1:5" x14ac:dyDescent="0.35">
      <c r="A1640" s="9">
        <v>43550</v>
      </c>
      <c r="B1640" s="10">
        <v>108</v>
      </c>
      <c r="C1640" s="11">
        <v>38329.129999999997</v>
      </c>
      <c r="D1640" s="14">
        <f t="shared" si="50"/>
        <v>0</v>
      </c>
      <c r="E1640" s="14">
        <f t="shared" si="51"/>
        <v>5.2577247666189654E-3</v>
      </c>
    </row>
    <row r="1641" spans="1:5" x14ac:dyDescent="0.35">
      <c r="A1641" s="9">
        <v>43549</v>
      </c>
      <c r="B1641" s="10">
        <v>108</v>
      </c>
      <c r="C1641" s="11">
        <v>38128.660000000003</v>
      </c>
      <c r="D1641" s="14">
        <f t="shared" si="50"/>
        <v>-8.1733859858572917E-3</v>
      </c>
      <c r="E1641" s="14">
        <f t="shared" si="51"/>
        <v>-1.046432472651857E-2</v>
      </c>
    </row>
    <row r="1642" spans="1:5" x14ac:dyDescent="0.35">
      <c r="A1642" s="9">
        <v>43546</v>
      </c>
      <c r="B1642" s="10">
        <v>108.89</v>
      </c>
      <c r="C1642" s="11">
        <v>38531.870000000003</v>
      </c>
      <c r="D1642" s="14">
        <f t="shared" si="50"/>
        <v>1.293023255813954E-2</v>
      </c>
      <c r="E1642" s="14">
        <f t="shared" si="51"/>
        <v>3.8338182052177414E-3</v>
      </c>
    </row>
    <row r="1643" spans="1:5" x14ac:dyDescent="0.35">
      <c r="A1643" s="9">
        <v>43545</v>
      </c>
      <c r="B1643" s="10">
        <v>107.5</v>
      </c>
      <c r="C1643" s="11">
        <v>38384.71</v>
      </c>
      <c r="D1643" s="14">
        <f t="shared" si="50"/>
        <v>-4.6296296296296294E-3</v>
      </c>
      <c r="E1643" s="14">
        <f t="shared" si="51"/>
        <v>-4.2298177637300561E-3</v>
      </c>
    </row>
    <row r="1644" spans="1:5" x14ac:dyDescent="0.35">
      <c r="A1644" s="9">
        <v>43544</v>
      </c>
      <c r="B1644" s="10">
        <v>108</v>
      </c>
      <c r="C1644" s="11">
        <v>38547.760000000002</v>
      </c>
      <c r="D1644" s="14">
        <f t="shared" si="50"/>
        <v>-9.7194205024757219E-3</v>
      </c>
      <c r="E1644" s="14">
        <f t="shared" si="51"/>
        <v>-1.6732979612492209E-3</v>
      </c>
    </row>
    <row r="1645" spans="1:5" x14ac:dyDescent="0.35">
      <c r="A1645" s="9">
        <v>43543</v>
      </c>
      <c r="B1645" s="10">
        <v>109.06</v>
      </c>
      <c r="C1645" s="11">
        <v>38612.370000000003</v>
      </c>
      <c r="D1645" s="14">
        <f t="shared" si="50"/>
        <v>-7.6433121019108584E-3</v>
      </c>
      <c r="E1645" s="14">
        <f t="shared" si="51"/>
        <v>-6.1664858520613375E-3</v>
      </c>
    </row>
    <row r="1646" spans="1:5" x14ac:dyDescent="0.35">
      <c r="A1646" s="9">
        <v>43542</v>
      </c>
      <c r="B1646" s="10">
        <v>109.9</v>
      </c>
      <c r="C1646" s="11">
        <v>38851.949999999997</v>
      </c>
      <c r="D1646" s="14">
        <f t="shared" si="50"/>
        <v>-4.5475216007273447E-4</v>
      </c>
      <c r="E1646" s="14">
        <f t="shared" si="51"/>
        <v>1.4227183317909675E-2</v>
      </c>
    </row>
    <row r="1647" spans="1:5" x14ac:dyDescent="0.35">
      <c r="A1647" s="9">
        <v>43539</v>
      </c>
      <c r="B1647" s="10">
        <v>109.95</v>
      </c>
      <c r="C1647" s="11">
        <v>38306.949999999997</v>
      </c>
      <c r="D1647" s="14">
        <f t="shared" si="50"/>
        <v>1.317729450792487E-2</v>
      </c>
      <c r="E1647" s="14">
        <f t="shared" si="51"/>
        <v>-1.2926512956789833E-2</v>
      </c>
    </row>
    <row r="1648" spans="1:5" x14ac:dyDescent="0.35">
      <c r="A1648" s="9">
        <v>43538</v>
      </c>
      <c r="B1648" s="10">
        <v>108.52</v>
      </c>
      <c r="C1648" s="11">
        <v>38808.61</v>
      </c>
      <c r="D1648" s="14">
        <f t="shared" si="50"/>
        <v>-4.6776116665138501E-3</v>
      </c>
      <c r="E1648" s="14">
        <f t="shared" si="51"/>
        <v>-3.0907605218021585E-3</v>
      </c>
    </row>
    <row r="1649" spans="1:5" x14ac:dyDescent="0.35">
      <c r="A1649" s="9">
        <v>43537</v>
      </c>
      <c r="B1649" s="10">
        <v>109.03</v>
      </c>
      <c r="C1649" s="11">
        <v>38928.93</v>
      </c>
      <c r="D1649" s="14">
        <f t="shared" si="50"/>
        <v>-1.3738779996336846E-3</v>
      </c>
      <c r="E1649" s="14">
        <f t="shared" si="51"/>
        <v>8.3400841566944289E-4</v>
      </c>
    </row>
    <row r="1650" spans="1:5" x14ac:dyDescent="0.35">
      <c r="A1650" s="9">
        <v>43536</v>
      </c>
      <c r="B1650" s="10">
        <v>109.18</v>
      </c>
      <c r="C1650" s="11">
        <v>38896.49</v>
      </c>
      <c r="D1650" s="14">
        <f t="shared" si="50"/>
        <v>-8.3560399636692789E-3</v>
      </c>
      <c r="E1650" s="14">
        <f t="shared" si="51"/>
        <v>-7.095859096072491E-4</v>
      </c>
    </row>
    <row r="1651" spans="1:5" x14ac:dyDescent="0.35">
      <c r="A1651" s="9">
        <v>43535</v>
      </c>
      <c r="B1651" s="10">
        <v>110.1</v>
      </c>
      <c r="C1651" s="11">
        <v>38924.11</v>
      </c>
      <c r="D1651" s="14">
        <f t="shared" si="50"/>
        <v>9.0909090909085737E-4</v>
      </c>
      <c r="E1651" s="14">
        <f t="shared" si="51"/>
        <v>-6.7059937771876102E-4</v>
      </c>
    </row>
    <row r="1652" spans="1:5" x14ac:dyDescent="0.35">
      <c r="A1652" s="9">
        <v>43532</v>
      </c>
      <c r="B1652" s="10">
        <v>110</v>
      </c>
      <c r="C1652" s="11">
        <v>38950.230000000003</v>
      </c>
      <c r="D1652" s="14">
        <f t="shared" si="50"/>
        <v>-4.5433893684686195E-4</v>
      </c>
      <c r="E1652" s="14">
        <f t="shared" si="51"/>
        <v>-8.7511865649040274E-3</v>
      </c>
    </row>
    <row r="1653" spans="1:5" x14ac:dyDescent="0.35">
      <c r="A1653" s="9">
        <v>43531</v>
      </c>
      <c r="B1653" s="10">
        <v>110.05</v>
      </c>
      <c r="C1653" s="11">
        <v>39294.1</v>
      </c>
      <c r="D1653" s="14">
        <f t="shared" si="50"/>
        <v>-4.5228403437358664E-3</v>
      </c>
      <c r="E1653" s="14">
        <f t="shared" si="51"/>
        <v>-6.9247702063025517E-3</v>
      </c>
    </row>
    <row r="1654" spans="1:5" x14ac:dyDescent="0.35">
      <c r="A1654" s="9">
        <v>43530</v>
      </c>
      <c r="B1654" s="10">
        <v>110.55</v>
      </c>
      <c r="C1654" s="11">
        <v>39568.1</v>
      </c>
      <c r="D1654" s="14">
        <f t="shared" si="50"/>
        <v>-1.733333333333336E-2</v>
      </c>
      <c r="E1654" s="14">
        <f t="shared" si="51"/>
        <v>-3.0338755473562368E-3</v>
      </c>
    </row>
    <row r="1655" spans="1:5" x14ac:dyDescent="0.35">
      <c r="A1655" s="9">
        <v>43529</v>
      </c>
      <c r="B1655" s="10">
        <v>112.5</v>
      </c>
      <c r="C1655" s="11">
        <v>39688.51</v>
      </c>
      <c r="D1655" s="14">
        <f t="shared" si="50"/>
        <v>-1.8631887143997316E-3</v>
      </c>
      <c r="E1655" s="14">
        <f t="shared" si="51"/>
        <v>-1.5403874339805978E-3</v>
      </c>
    </row>
    <row r="1656" spans="1:5" x14ac:dyDescent="0.35">
      <c r="A1656" s="9">
        <v>43528</v>
      </c>
      <c r="B1656" s="10">
        <v>112.71</v>
      </c>
      <c r="C1656" s="11">
        <v>39749.74</v>
      </c>
      <c r="D1656" s="14">
        <f t="shared" si="50"/>
        <v>9.9462365591397803E-3</v>
      </c>
      <c r="E1656" s="14">
        <f t="shared" si="51"/>
        <v>5.3296731506427683E-3</v>
      </c>
    </row>
    <row r="1657" spans="1:5" x14ac:dyDescent="0.35">
      <c r="A1657" s="9">
        <v>43525</v>
      </c>
      <c r="B1657" s="10">
        <v>111.6</v>
      </c>
      <c r="C1657" s="11">
        <v>39539.01</v>
      </c>
      <c r="D1657" s="14">
        <f t="shared" si="50"/>
        <v>5.3148365012160095E-3</v>
      </c>
      <c r="E1657" s="14">
        <f t="shared" si="51"/>
        <v>1.2403404464518994E-2</v>
      </c>
    </row>
    <row r="1658" spans="1:5" x14ac:dyDescent="0.35">
      <c r="A1658" s="9">
        <v>43524</v>
      </c>
      <c r="B1658" s="10">
        <v>111.01</v>
      </c>
      <c r="C1658" s="11">
        <v>39054.6</v>
      </c>
      <c r="D1658" s="14">
        <f t="shared" si="50"/>
        <v>1.9375573921028462E-2</v>
      </c>
      <c r="E1658" s="14">
        <f t="shared" si="51"/>
        <v>9.353446348651288E-3</v>
      </c>
    </row>
    <row r="1659" spans="1:5" x14ac:dyDescent="0.35">
      <c r="A1659" s="9">
        <v>43523</v>
      </c>
      <c r="B1659" s="10">
        <v>108.9</v>
      </c>
      <c r="C1659" s="11">
        <v>38692.69</v>
      </c>
      <c r="D1659" s="14">
        <f t="shared" si="50"/>
        <v>3.5941387890517052E-3</v>
      </c>
      <c r="E1659" s="14">
        <f t="shared" si="51"/>
        <v>-3.3223712426589565E-3</v>
      </c>
    </row>
    <row r="1660" spans="1:5" x14ac:dyDescent="0.35">
      <c r="A1660" s="9">
        <v>43522</v>
      </c>
      <c r="B1660" s="10">
        <v>108.51</v>
      </c>
      <c r="C1660" s="11">
        <v>38821.67</v>
      </c>
      <c r="D1660" s="14">
        <f t="shared" si="50"/>
        <v>-1.9074308443319466E-2</v>
      </c>
      <c r="E1660" s="14">
        <f t="shared" si="51"/>
        <v>-1.9822863705945434E-2</v>
      </c>
    </row>
    <row r="1661" spans="1:5" x14ac:dyDescent="0.35">
      <c r="A1661" s="9">
        <v>43521</v>
      </c>
      <c r="B1661" s="10">
        <v>110.62</v>
      </c>
      <c r="C1661" s="11">
        <v>39606.79</v>
      </c>
      <c r="D1661" s="14">
        <f t="shared" si="50"/>
        <v>-1.653627311522048E-2</v>
      </c>
      <c r="E1661" s="14">
        <f t="shared" si="51"/>
        <v>-1.0229375004529338E-2</v>
      </c>
    </row>
    <row r="1662" spans="1:5" x14ac:dyDescent="0.35">
      <c r="A1662" s="9">
        <v>43518</v>
      </c>
      <c r="B1662" s="10">
        <v>112.48</v>
      </c>
      <c r="C1662" s="11">
        <v>40016.129999999997</v>
      </c>
      <c r="D1662" s="14">
        <f t="shared" si="50"/>
        <v>4.1960539237567967E-3</v>
      </c>
      <c r="E1662" s="14">
        <f t="shared" si="51"/>
        <v>-1.3620921615814081E-3</v>
      </c>
    </row>
    <row r="1663" spans="1:5" x14ac:dyDescent="0.35">
      <c r="A1663" s="9">
        <v>43517</v>
      </c>
      <c r="B1663" s="10">
        <v>112.01</v>
      </c>
      <c r="C1663" s="11">
        <v>40070.71</v>
      </c>
      <c r="D1663" s="14">
        <f t="shared" si="50"/>
        <v>9.5538530869761357E-3</v>
      </c>
      <c r="E1663" s="14">
        <f t="shared" si="51"/>
        <v>-5.1805663344370806E-3</v>
      </c>
    </row>
    <row r="1664" spans="1:5" x14ac:dyDescent="0.35">
      <c r="A1664" s="9">
        <v>43516</v>
      </c>
      <c r="B1664" s="10">
        <v>110.95</v>
      </c>
      <c r="C1664" s="11">
        <v>40279.379999999997</v>
      </c>
      <c r="D1664" s="14">
        <f t="shared" si="50"/>
        <v>8.6363636363636625E-3</v>
      </c>
      <c r="E1664" s="14">
        <f t="shared" si="51"/>
        <v>8.0664072716041917E-3</v>
      </c>
    </row>
    <row r="1665" spans="1:5" x14ac:dyDescent="0.35">
      <c r="A1665" s="9">
        <v>43515</v>
      </c>
      <c r="B1665" s="10">
        <v>110</v>
      </c>
      <c r="C1665" s="11">
        <v>39957.07</v>
      </c>
      <c r="D1665" s="14">
        <f t="shared" si="50"/>
        <v>-4.9751243781094275E-3</v>
      </c>
      <c r="E1665" s="14">
        <f t="shared" si="51"/>
        <v>-6.5242033273934606E-3</v>
      </c>
    </row>
    <row r="1666" spans="1:5" x14ac:dyDescent="0.35">
      <c r="A1666" s="9">
        <v>43514</v>
      </c>
      <c r="B1666" s="10">
        <v>110.55</v>
      </c>
      <c r="C1666" s="11">
        <v>40219.47</v>
      </c>
      <c r="D1666" s="14">
        <f t="shared" si="50"/>
        <v>-8.6979913916786136E-3</v>
      </c>
      <c r="E1666" s="14">
        <f t="shared" si="51"/>
        <v>-6.5997030627610795E-3</v>
      </c>
    </row>
    <row r="1667" spans="1:5" x14ac:dyDescent="0.35">
      <c r="A1667" s="9">
        <v>43511</v>
      </c>
      <c r="B1667" s="10">
        <v>111.52</v>
      </c>
      <c r="C1667" s="11">
        <v>40486.67</v>
      </c>
      <c r="D1667" s="14">
        <f t="shared" si="50"/>
        <v>9.1394443941723909E-3</v>
      </c>
      <c r="E1667" s="14">
        <f t="shared" si="51"/>
        <v>-5.0139506820811989E-4</v>
      </c>
    </row>
    <row r="1668" spans="1:5" x14ac:dyDescent="0.35">
      <c r="A1668" s="9">
        <v>43510</v>
      </c>
      <c r="B1668" s="10">
        <v>110.51</v>
      </c>
      <c r="C1668" s="11">
        <v>40506.980000000003</v>
      </c>
      <c r="D1668" s="14">
        <f t="shared" si="50"/>
        <v>4.8190580105473826E-3</v>
      </c>
      <c r="E1668" s="14">
        <f t="shared" si="51"/>
        <v>-9.1579270083860223E-4</v>
      </c>
    </row>
    <row r="1669" spans="1:5" x14ac:dyDescent="0.35">
      <c r="A1669" s="9">
        <v>43509</v>
      </c>
      <c r="B1669" s="10">
        <v>109.98</v>
      </c>
      <c r="C1669" s="11">
        <v>40544.11</v>
      </c>
      <c r="D1669" s="14">
        <f t="shared" ref="D1669:D1698" si="52">(B1669-B1670)/B1670</f>
        <v>-1.1948611984547644E-2</v>
      </c>
      <c r="E1669" s="14">
        <f t="shared" ref="E1669:E1698" si="53">(C1669-C1670)/C1670</f>
        <v>-1.2850931169062351E-3</v>
      </c>
    </row>
    <row r="1670" spans="1:5" x14ac:dyDescent="0.35">
      <c r="A1670" s="9">
        <v>43508</v>
      </c>
      <c r="B1670" s="10">
        <v>111.31</v>
      </c>
      <c r="C1670" s="11">
        <v>40596.28</v>
      </c>
      <c r="D1670" s="14">
        <f t="shared" si="52"/>
        <v>1.190909090909093E-2</v>
      </c>
      <c r="E1670" s="14">
        <f t="shared" si="53"/>
        <v>6.6891448383979485E-3</v>
      </c>
    </row>
    <row r="1671" spans="1:5" x14ac:dyDescent="0.35">
      <c r="A1671" s="9">
        <v>43507</v>
      </c>
      <c r="B1671" s="10">
        <v>110</v>
      </c>
      <c r="C1671" s="11">
        <v>40326.53</v>
      </c>
      <c r="D1671" s="14">
        <f t="shared" si="52"/>
        <v>-1.034637876743145E-2</v>
      </c>
      <c r="E1671" s="14">
        <f t="shared" si="53"/>
        <v>-1.3716222743709233E-2</v>
      </c>
    </row>
    <row r="1672" spans="1:5" x14ac:dyDescent="0.35">
      <c r="A1672" s="9">
        <v>43504</v>
      </c>
      <c r="B1672" s="10">
        <v>111.15</v>
      </c>
      <c r="C1672" s="11">
        <v>40887.35</v>
      </c>
      <c r="D1672" s="14">
        <f t="shared" si="52"/>
        <v>-1.4627659574468009E-2</v>
      </c>
      <c r="E1672" s="14">
        <f t="shared" si="53"/>
        <v>-1.0775958531672861E-2</v>
      </c>
    </row>
    <row r="1673" spans="1:5" x14ac:dyDescent="0.35">
      <c r="A1673" s="9">
        <v>43503</v>
      </c>
      <c r="B1673" s="10">
        <v>112.8</v>
      </c>
      <c r="C1673" s="11">
        <v>41332.75</v>
      </c>
      <c r="D1673" s="14">
        <f t="shared" si="52"/>
        <v>-8.8644623703617724E-5</v>
      </c>
      <c r="E1673" s="14">
        <f t="shared" si="53"/>
        <v>-4.1664177047575244E-3</v>
      </c>
    </row>
    <row r="1674" spans="1:5" x14ac:dyDescent="0.35">
      <c r="A1674" s="9">
        <v>43502</v>
      </c>
      <c r="B1674" s="10">
        <v>112.81</v>
      </c>
      <c r="C1674" s="11">
        <v>41505.68</v>
      </c>
      <c r="D1674" s="14">
        <f t="shared" si="52"/>
        <v>2.7555555555555757E-3</v>
      </c>
      <c r="E1674" s="14">
        <f t="shared" si="53"/>
        <v>-2.6123175180508265E-3</v>
      </c>
    </row>
    <row r="1675" spans="1:5" x14ac:dyDescent="0.35">
      <c r="A1675" s="9">
        <v>43500</v>
      </c>
      <c r="B1675" s="10">
        <v>112.5</v>
      </c>
      <c r="C1675" s="11">
        <v>41614.39</v>
      </c>
      <c r="D1675" s="14">
        <f t="shared" si="52"/>
        <v>7.1161714997329919E-4</v>
      </c>
      <c r="E1675" s="14">
        <f t="shared" si="53"/>
        <v>1.2202552446676474E-2</v>
      </c>
    </row>
    <row r="1676" spans="1:5" x14ac:dyDescent="0.35">
      <c r="A1676" s="9">
        <v>43497</v>
      </c>
      <c r="B1676" s="10">
        <v>112.42</v>
      </c>
      <c r="C1676" s="11">
        <v>41112.71</v>
      </c>
      <c r="D1676" s="14">
        <f t="shared" si="52"/>
        <v>1.7375565610859744E-2</v>
      </c>
      <c r="E1676" s="14">
        <f t="shared" si="53"/>
        <v>7.6763157997937811E-3</v>
      </c>
    </row>
    <row r="1677" spans="1:5" x14ac:dyDescent="0.35">
      <c r="A1677" s="9">
        <v>43496</v>
      </c>
      <c r="B1677" s="10">
        <v>110.5</v>
      </c>
      <c r="C1677" s="11">
        <v>40799.519999999997</v>
      </c>
      <c r="D1677" s="14">
        <f t="shared" si="52"/>
        <v>4.5454545454545452E-3</v>
      </c>
      <c r="E1677" s="14">
        <f t="shared" si="53"/>
        <v>4.7380853406987292E-3</v>
      </c>
    </row>
    <row r="1678" spans="1:5" x14ac:dyDescent="0.35">
      <c r="A1678" s="9">
        <v>43495</v>
      </c>
      <c r="B1678" s="10">
        <v>110</v>
      </c>
      <c r="C1678" s="11">
        <v>40607.120000000003</v>
      </c>
      <c r="D1678" s="14">
        <f t="shared" si="52"/>
        <v>2.7280167318360584E-4</v>
      </c>
      <c r="E1678" s="14">
        <f t="shared" si="53"/>
        <v>-4.2511407555896342E-4</v>
      </c>
    </row>
    <row r="1679" spans="1:5" x14ac:dyDescent="0.35">
      <c r="A1679" s="9">
        <v>43494</v>
      </c>
      <c r="B1679" s="10">
        <v>109.97</v>
      </c>
      <c r="C1679" s="11">
        <v>40624.39</v>
      </c>
      <c r="D1679" s="14">
        <f t="shared" si="52"/>
        <v>4.2005296319970204E-3</v>
      </c>
      <c r="E1679" s="14">
        <f t="shared" si="53"/>
        <v>5.0544172464732987E-3</v>
      </c>
    </row>
    <row r="1680" spans="1:5" x14ac:dyDescent="0.35">
      <c r="A1680" s="9">
        <v>43493</v>
      </c>
      <c r="B1680" s="10">
        <v>109.51</v>
      </c>
      <c r="C1680" s="11">
        <v>40420.089999999997</v>
      </c>
      <c r="D1680" s="14">
        <f t="shared" si="52"/>
        <v>4.4945881489635766E-3</v>
      </c>
      <c r="E1680" s="14">
        <f t="shared" si="53"/>
        <v>3.8572171510684442E-3</v>
      </c>
    </row>
    <row r="1681" spans="1:5" x14ac:dyDescent="0.35">
      <c r="A1681" s="9">
        <v>43490</v>
      </c>
      <c r="B1681" s="10">
        <v>109.02</v>
      </c>
      <c r="C1681" s="11">
        <v>40264.78</v>
      </c>
      <c r="D1681" s="14">
        <f t="shared" si="52"/>
        <v>4.7926267281105626E-3</v>
      </c>
      <c r="E1681" s="14">
        <f t="shared" si="53"/>
        <v>-6.0512554741783283E-4</v>
      </c>
    </row>
    <row r="1682" spans="1:5" x14ac:dyDescent="0.35">
      <c r="A1682" s="9">
        <v>43489</v>
      </c>
      <c r="B1682" s="10">
        <v>108.5</v>
      </c>
      <c r="C1682" s="11">
        <v>40289.160000000003</v>
      </c>
      <c r="D1682" s="14">
        <f t="shared" si="52"/>
        <v>0</v>
      </c>
      <c r="E1682" s="14">
        <f t="shared" si="53"/>
        <v>5.7743987757706656E-3</v>
      </c>
    </row>
    <row r="1683" spans="1:5" x14ac:dyDescent="0.35">
      <c r="A1683" s="9">
        <v>43488</v>
      </c>
      <c r="B1683" s="10">
        <v>108.5</v>
      </c>
      <c r="C1683" s="11">
        <v>40057.85</v>
      </c>
      <c r="D1683" s="14">
        <f t="shared" si="52"/>
        <v>-1.4724829744155769E-3</v>
      </c>
      <c r="E1683" s="14">
        <f t="shared" si="53"/>
        <v>3.9005358349825593E-3</v>
      </c>
    </row>
    <row r="1684" spans="1:5" x14ac:dyDescent="0.35">
      <c r="A1684" s="9">
        <v>43487</v>
      </c>
      <c r="B1684" s="10">
        <v>108.66</v>
      </c>
      <c r="C1684" s="11">
        <v>39902.21</v>
      </c>
      <c r="D1684" s="14">
        <f t="shared" si="52"/>
        <v>-3.6798528058883394E-4</v>
      </c>
      <c r="E1684" s="14">
        <f t="shared" si="53"/>
        <v>9.0643861220111883E-3</v>
      </c>
    </row>
    <row r="1685" spans="1:5" x14ac:dyDescent="0.35">
      <c r="A1685" s="9">
        <v>43486</v>
      </c>
      <c r="B1685" s="10">
        <v>108.7</v>
      </c>
      <c r="C1685" s="11">
        <v>39543.769999999997</v>
      </c>
      <c r="D1685" s="14">
        <f t="shared" si="52"/>
        <v>6.4814814814815082E-3</v>
      </c>
      <c r="E1685" s="14">
        <f t="shared" si="53"/>
        <v>6.0364061923599607E-3</v>
      </c>
    </row>
    <row r="1686" spans="1:5" x14ac:dyDescent="0.35">
      <c r="A1686" s="9">
        <v>43483</v>
      </c>
      <c r="B1686" s="10">
        <v>108</v>
      </c>
      <c r="C1686" s="11">
        <v>39306.5</v>
      </c>
      <c r="D1686" s="14">
        <f t="shared" si="52"/>
        <v>6.1486864169927012E-3</v>
      </c>
      <c r="E1686" s="14">
        <f t="shared" si="53"/>
        <v>1.5954075908377224E-3</v>
      </c>
    </row>
    <row r="1687" spans="1:5" x14ac:dyDescent="0.35">
      <c r="A1687" s="9">
        <v>43482</v>
      </c>
      <c r="B1687" s="10">
        <v>107.34</v>
      </c>
      <c r="C1687" s="11">
        <v>39243.89</v>
      </c>
      <c r="D1687" s="14">
        <f t="shared" si="52"/>
        <v>-9.9612617598228946E-3</v>
      </c>
      <c r="E1687" s="14">
        <f t="shared" si="53"/>
        <v>-7.1425042918691847E-4</v>
      </c>
    </row>
    <row r="1688" spans="1:5" x14ac:dyDescent="0.35">
      <c r="A1688" s="9">
        <v>43481</v>
      </c>
      <c r="B1688" s="10">
        <v>108.42</v>
      </c>
      <c r="C1688" s="11">
        <v>39271.94</v>
      </c>
      <c r="D1688" s="14">
        <f t="shared" si="52"/>
        <v>-1.4453231524406902E-2</v>
      </c>
      <c r="E1688" s="14">
        <f t="shared" si="53"/>
        <v>-8.6390804098633381E-3</v>
      </c>
    </row>
    <row r="1689" spans="1:5" x14ac:dyDescent="0.35">
      <c r="A1689" s="9">
        <v>43480</v>
      </c>
      <c r="B1689" s="10">
        <v>110.01</v>
      </c>
      <c r="C1689" s="11">
        <v>39614.17</v>
      </c>
      <c r="D1689" s="14">
        <f t="shared" si="52"/>
        <v>1.818347122466609E-4</v>
      </c>
      <c r="E1689" s="14">
        <f t="shared" si="53"/>
        <v>5.1156294124586037E-3</v>
      </c>
    </row>
    <row r="1690" spans="1:5" x14ac:dyDescent="0.35">
      <c r="A1690" s="9">
        <v>43479</v>
      </c>
      <c r="B1690" s="10">
        <v>109.99</v>
      </c>
      <c r="C1690" s="11">
        <v>39412.550000000003</v>
      </c>
      <c r="D1690" s="14">
        <f t="shared" si="52"/>
        <v>8.4349500320894995E-3</v>
      </c>
      <c r="E1690" s="14">
        <f t="shared" si="53"/>
        <v>9.3080297922512167E-3</v>
      </c>
    </row>
    <row r="1691" spans="1:5" x14ac:dyDescent="0.35">
      <c r="A1691" s="9">
        <v>43476</v>
      </c>
      <c r="B1691" s="10">
        <v>109.07</v>
      </c>
      <c r="C1691" s="11">
        <v>39049.08</v>
      </c>
      <c r="D1691" s="14">
        <f t="shared" si="52"/>
        <v>-9.6249886497775574E-3</v>
      </c>
      <c r="E1691" s="14">
        <f t="shared" si="53"/>
        <v>-1.0539704499429804E-3</v>
      </c>
    </row>
    <row r="1692" spans="1:5" x14ac:dyDescent="0.35">
      <c r="A1692" s="9">
        <v>43475</v>
      </c>
      <c r="B1692" s="10">
        <v>110.13</v>
      </c>
      <c r="C1692" s="11">
        <v>39090.28</v>
      </c>
      <c r="D1692" s="14">
        <f t="shared" si="52"/>
        <v>5.7534246575342051E-3</v>
      </c>
      <c r="E1692" s="14">
        <f t="shared" si="53"/>
        <v>4.3315179787927118E-3</v>
      </c>
    </row>
    <row r="1693" spans="1:5" x14ac:dyDescent="0.35">
      <c r="A1693" s="9">
        <v>43474</v>
      </c>
      <c r="B1693" s="10">
        <v>109.5</v>
      </c>
      <c r="C1693" s="11">
        <v>38921.69</v>
      </c>
      <c r="D1693" s="14">
        <f t="shared" si="52"/>
        <v>-2.1884769986601185E-2</v>
      </c>
      <c r="E1693" s="14">
        <f t="shared" si="53"/>
        <v>-3.3495934959348996E-3</v>
      </c>
    </row>
    <row r="1694" spans="1:5" x14ac:dyDescent="0.35">
      <c r="A1694" s="9">
        <v>43473</v>
      </c>
      <c r="B1694" s="10">
        <v>111.95</v>
      </c>
      <c r="C1694" s="11">
        <v>39052.5</v>
      </c>
      <c r="D1694" s="14">
        <f t="shared" si="52"/>
        <v>4.7567761622689022E-3</v>
      </c>
      <c r="E1694" s="14">
        <f t="shared" si="53"/>
        <v>1.2709271207186236E-2</v>
      </c>
    </row>
    <row r="1695" spans="1:5" x14ac:dyDescent="0.35">
      <c r="A1695" s="9">
        <v>43472</v>
      </c>
      <c r="B1695" s="10">
        <v>111.42</v>
      </c>
      <c r="C1695" s="11">
        <v>38562.400000000001</v>
      </c>
      <c r="D1695" s="14">
        <f t="shared" si="52"/>
        <v>4.1308411214953288E-2</v>
      </c>
      <c r="E1695" s="14">
        <f t="shared" si="53"/>
        <v>2.7030035829292545E-2</v>
      </c>
    </row>
    <row r="1696" spans="1:5" x14ac:dyDescent="0.35">
      <c r="A1696" s="9">
        <v>43469</v>
      </c>
      <c r="B1696" s="10">
        <v>107</v>
      </c>
      <c r="C1696" s="11">
        <v>37547.49</v>
      </c>
      <c r="D1696" s="14">
        <f t="shared" si="52"/>
        <v>4.5061960195268867E-3</v>
      </c>
      <c r="E1696" s="14">
        <f t="shared" si="53"/>
        <v>1.4596980822273301E-4</v>
      </c>
    </row>
    <row r="1697" spans="1:5" x14ac:dyDescent="0.35">
      <c r="A1697" s="9">
        <v>43468</v>
      </c>
      <c r="B1697" s="10">
        <v>106.52</v>
      </c>
      <c r="C1697" s="11">
        <v>37542.01</v>
      </c>
      <c r="D1697" s="14">
        <f t="shared" si="52"/>
        <v>1.4476190476190438E-2</v>
      </c>
      <c r="E1697" s="14">
        <f t="shared" si="53"/>
        <v>-6.700312870003452E-3</v>
      </c>
    </row>
    <row r="1698" spans="1:5" x14ac:dyDescent="0.35">
      <c r="A1698" s="9">
        <v>43467</v>
      </c>
      <c r="B1698" s="10">
        <v>105</v>
      </c>
      <c r="C1698" s="11">
        <v>37795.25</v>
      </c>
      <c r="D1698" s="14">
        <f t="shared" si="52"/>
        <v>-2.2255331036409354E-2</v>
      </c>
      <c r="E1698" s="14">
        <f t="shared" si="53"/>
        <v>-5.277167768193136E-3</v>
      </c>
    </row>
    <row r="1699" spans="1:5" x14ac:dyDescent="0.35">
      <c r="A1699" s="12">
        <v>43466</v>
      </c>
      <c r="B1699" s="13">
        <v>107.39</v>
      </c>
      <c r="C1699" s="11">
        <v>37995.760000000002</v>
      </c>
      <c r="D1699" s="14">
        <v>0</v>
      </c>
      <c r="E1699" s="14">
        <v>0</v>
      </c>
    </row>
    <row r="1700" spans="1:5" x14ac:dyDescent="0.35">
      <c r="A1700" s="2"/>
      <c r="B1700" s="2"/>
      <c r="C1700" s="2"/>
      <c r="D1700" s="2"/>
      <c r="E1700" s="2"/>
    </row>
    <row r="1701" spans="1:5" x14ac:dyDescent="0.35">
      <c r="A1701" s="85" t="s">
        <v>10</v>
      </c>
      <c r="B1701" s="85"/>
      <c r="C1701" s="85"/>
      <c r="D1701" s="85"/>
      <c r="E1701" s="85"/>
    </row>
    <row r="1702" spans="1:5" x14ac:dyDescent="0.35">
      <c r="A1702" s="53" t="s">
        <v>1</v>
      </c>
      <c r="B1702" s="85" t="s">
        <v>19</v>
      </c>
      <c r="C1702" s="85"/>
      <c r="D1702" s="85" t="s">
        <v>2</v>
      </c>
      <c r="E1702" s="85"/>
    </row>
    <row r="1703" spans="1:5" x14ac:dyDescent="0.35">
      <c r="A1703" s="54" t="s">
        <v>7</v>
      </c>
      <c r="B1703" s="86">
        <f>AVERAGE(D4:D1699)</f>
        <v>4.7806971248734036E-4</v>
      </c>
      <c r="C1703" s="86"/>
      <c r="D1703" s="86">
        <f>AVERAGE(E4:E1699)</f>
        <v>9.690856957346646E-4</v>
      </c>
      <c r="E1703" s="86"/>
    </row>
    <row r="1704" spans="1:5" x14ac:dyDescent="0.35">
      <c r="A1704" s="54" t="s">
        <v>8</v>
      </c>
      <c r="B1704" s="86">
        <f>STDEV(D4:D1699)</f>
        <v>1.8214187542105294E-2</v>
      </c>
      <c r="C1704" s="86"/>
      <c r="D1704" s="86">
        <f>STDEV(E4:E1699)</f>
        <v>1.1944428019330945E-2</v>
      </c>
      <c r="E1704" s="86"/>
    </row>
    <row r="1705" spans="1:5" x14ac:dyDescent="0.35">
      <c r="A1705" s="54" t="s">
        <v>9</v>
      </c>
      <c r="B1705" s="86">
        <f>B1704/ABS(B1703)</f>
        <v>38.099438358767856</v>
      </c>
      <c r="C1705" s="85"/>
      <c r="D1705" s="85">
        <f>D1704/ABS(D1703)</f>
        <v>12.32546107315707</v>
      </c>
      <c r="E1705" s="85"/>
    </row>
    <row r="1706" spans="1:5" x14ac:dyDescent="0.35">
      <c r="A1706" s="55"/>
      <c r="B1706" s="55"/>
      <c r="C1706" s="55"/>
      <c r="D1706" s="55"/>
      <c r="E1706" s="55"/>
    </row>
    <row r="1707" spans="1:5" x14ac:dyDescent="0.35">
      <c r="A1707" s="55" t="s">
        <v>20</v>
      </c>
      <c r="B1707" s="55">
        <f>SLOPE(D4:D1699,E4:E1699)</f>
        <v>0.56470357415118699</v>
      </c>
      <c r="C1707" s="55"/>
      <c r="D1707" s="55"/>
      <c r="E1707" s="55"/>
    </row>
  </sheetData>
  <mergeCells count="11">
    <mergeCell ref="A1:E1"/>
    <mergeCell ref="B1702:C1702"/>
    <mergeCell ref="B1703:C1703"/>
    <mergeCell ref="B1705:C1705"/>
    <mergeCell ref="A2:E2"/>
    <mergeCell ref="A1701:E1701"/>
    <mergeCell ref="B1704:C1704"/>
    <mergeCell ref="D1702:E1702"/>
    <mergeCell ref="D1703:E1703"/>
    <mergeCell ref="D1704:E1704"/>
    <mergeCell ref="D1705:E1705"/>
  </mergeCells>
  <conditionalFormatting sqref="A1:E1699">
    <cfRule type="expression" priority="2">
      <formula>MOD(ROW(),2)=0</formula>
    </cfRule>
  </conditionalFormatting>
  <conditionalFormatting sqref="A69:E1699">
    <cfRule type="expression" dxfId="11" priority="1">
      <formula>MOD(ROW(),2)=0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20"/>
  <sheetViews>
    <sheetView topLeftCell="A1704" zoomScale="63" zoomScaleNormal="96" workbookViewId="0">
      <selection activeCell="F1722" sqref="F1722"/>
    </sheetView>
  </sheetViews>
  <sheetFormatPr defaultRowHeight="14.5" x14ac:dyDescent="0.35"/>
  <cols>
    <col min="1" max="1" width="24.54296875" customWidth="1"/>
    <col min="2" max="2" width="23.6328125" customWidth="1"/>
    <col min="3" max="3" width="23.1796875" customWidth="1"/>
    <col min="4" max="4" width="23.6328125" customWidth="1"/>
    <col min="5" max="5" width="24" customWidth="1"/>
    <col min="7" max="7" width="10.36328125" customWidth="1"/>
  </cols>
  <sheetData>
    <row r="1" spans="1:5" ht="22.75" customHeight="1" x14ac:dyDescent="0.4">
      <c r="A1" s="92" t="s">
        <v>1063</v>
      </c>
      <c r="B1" s="93"/>
      <c r="C1" s="93"/>
      <c r="D1" s="93"/>
      <c r="E1" s="93"/>
    </row>
    <row r="2" spans="1:5" ht="22.25" customHeight="1" x14ac:dyDescent="0.35">
      <c r="A2" s="21"/>
      <c r="B2" s="21"/>
      <c r="C2" s="21"/>
      <c r="D2" s="21"/>
      <c r="E2" s="21"/>
    </row>
    <row r="3" spans="1:5" ht="17.399999999999999" customHeight="1" x14ac:dyDescent="0.35">
      <c r="A3" s="20" t="s">
        <v>0</v>
      </c>
      <c r="B3" s="20" t="s">
        <v>12</v>
      </c>
      <c r="C3" s="20" t="s">
        <v>13</v>
      </c>
      <c r="D3" s="20" t="s">
        <v>14</v>
      </c>
      <c r="E3" s="20" t="s">
        <v>6</v>
      </c>
    </row>
    <row r="4" spans="1:5" x14ac:dyDescent="0.35">
      <c r="A4" s="22" t="s">
        <v>21</v>
      </c>
      <c r="B4" s="22">
        <v>396.21</v>
      </c>
      <c r="C4" s="22">
        <v>174054.31</v>
      </c>
      <c r="D4" s="24">
        <f>(B4-B5)/B5</f>
        <v>7.9627556731454042E-3</v>
      </c>
      <c r="E4" s="24">
        <f>(C4-C5)/C5</f>
        <v>-2.3985973744904119E-3</v>
      </c>
    </row>
    <row r="5" spans="1:5" x14ac:dyDescent="0.35">
      <c r="A5" s="22" t="s">
        <v>22</v>
      </c>
      <c r="B5" s="22">
        <v>393.08</v>
      </c>
      <c r="C5" s="22">
        <v>174472.8</v>
      </c>
      <c r="D5" s="24">
        <f t="shared" ref="D5:D68" si="0">(B5-B6)/B6</f>
        <v>4.0101146841715236E-3</v>
      </c>
      <c r="E5" s="24">
        <f t="shared" ref="E5:E68" si="1">(C5-C6)/C6</f>
        <v>3.3149633856583288E-3</v>
      </c>
    </row>
    <row r="6" spans="1:5" x14ac:dyDescent="0.35">
      <c r="A6" s="22" t="s">
        <v>23</v>
      </c>
      <c r="B6" s="22">
        <v>391.51</v>
      </c>
      <c r="C6" s="22">
        <v>173896.34</v>
      </c>
      <c r="D6" s="24">
        <f t="shared" si="0"/>
        <v>-7.2017243565361527E-3</v>
      </c>
      <c r="E6" s="24">
        <f t="shared" si="1"/>
        <v>8.6751952848458692E-3</v>
      </c>
    </row>
    <row r="7" spans="1:5" x14ac:dyDescent="0.35">
      <c r="A7" s="22" t="s">
        <v>24</v>
      </c>
      <c r="B7" s="22">
        <v>394.35</v>
      </c>
      <c r="C7" s="22">
        <v>172400.73</v>
      </c>
      <c r="D7" s="24">
        <f t="shared" si="0"/>
        <v>2.3129320862139715E-3</v>
      </c>
      <c r="E7" s="24">
        <f t="shared" si="1"/>
        <v>9.1933968123439121E-3</v>
      </c>
    </row>
    <row r="8" spans="1:5" x14ac:dyDescent="0.35">
      <c r="A8" s="22" t="s">
        <v>25</v>
      </c>
      <c r="B8" s="22">
        <v>393.44</v>
      </c>
      <c r="C8" s="22">
        <v>170830.22</v>
      </c>
      <c r="D8" s="24">
        <f t="shared" si="0"/>
        <v>9.5453145848300586E-3</v>
      </c>
      <c r="E8" s="24">
        <f t="shared" si="1"/>
        <v>-1.4234213517178196E-3</v>
      </c>
    </row>
    <row r="9" spans="1:5" x14ac:dyDescent="0.35">
      <c r="A9" s="22" t="s">
        <v>26</v>
      </c>
      <c r="B9" s="22">
        <v>389.72</v>
      </c>
      <c r="C9" s="22">
        <v>171073.73</v>
      </c>
      <c r="D9" s="24">
        <f t="shared" si="0"/>
        <v>-1.3581037796283734E-3</v>
      </c>
      <c r="E9" s="24">
        <f t="shared" si="1"/>
        <v>-7.6201406052031704E-4</v>
      </c>
    </row>
    <row r="10" spans="1:5" x14ac:dyDescent="0.35">
      <c r="A10" s="22" t="s">
        <v>27</v>
      </c>
      <c r="B10" s="22">
        <v>390.25</v>
      </c>
      <c r="C10" s="22">
        <v>171204.19</v>
      </c>
      <c r="D10" s="24">
        <f t="shared" si="0"/>
        <v>-3.0655256099118371E-3</v>
      </c>
      <c r="E10" s="24">
        <f t="shared" si="1"/>
        <v>-1.1685225497023656E-3</v>
      </c>
    </row>
    <row r="11" spans="1:5" x14ac:dyDescent="0.35">
      <c r="A11" s="22" t="s">
        <v>28</v>
      </c>
      <c r="B11" s="22">
        <v>391.45</v>
      </c>
      <c r="C11" s="22">
        <v>171404.48</v>
      </c>
      <c r="D11" s="24">
        <f t="shared" si="0"/>
        <v>-7.6632267293423825E-5</v>
      </c>
      <c r="E11" s="24">
        <f t="shared" si="1"/>
        <v>-3.2343444134256814E-3</v>
      </c>
    </row>
    <row r="12" spans="1:5" x14ac:dyDescent="0.35">
      <c r="A12" s="22" t="s">
        <v>29</v>
      </c>
      <c r="B12" s="22">
        <v>391.48</v>
      </c>
      <c r="C12" s="22">
        <v>171960.66</v>
      </c>
      <c r="D12" s="24">
        <f t="shared" si="0"/>
        <v>1.0484056562764339E-3</v>
      </c>
      <c r="E12" s="24">
        <f t="shared" si="1"/>
        <v>9.6692071919456096E-3</v>
      </c>
    </row>
    <row r="13" spans="1:5" x14ac:dyDescent="0.35">
      <c r="A13" s="22" t="s">
        <v>30</v>
      </c>
      <c r="B13" s="22">
        <v>391.07</v>
      </c>
      <c r="C13" s="22">
        <v>170313.86</v>
      </c>
      <c r="D13" s="24">
        <f t="shared" si="0"/>
        <v>-1.9905576113309416E-3</v>
      </c>
      <c r="E13" s="24">
        <f t="shared" si="1"/>
        <v>-7.8288127767352331E-4</v>
      </c>
    </row>
    <row r="14" spans="1:5" x14ac:dyDescent="0.35">
      <c r="A14" s="22" t="s">
        <v>31</v>
      </c>
      <c r="B14" s="22">
        <v>391.85</v>
      </c>
      <c r="C14" s="22">
        <v>170447.3</v>
      </c>
      <c r="D14" s="24">
        <f t="shared" si="0"/>
        <v>4.5890375839614944E-3</v>
      </c>
      <c r="E14" s="24">
        <f t="shared" si="1"/>
        <v>-1.7221371227378686E-3</v>
      </c>
    </row>
    <row r="15" spans="1:5" x14ac:dyDescent="0.35">
      <c r="A15" s="22" t="s">
        <v>32</v>
      </c>
      <c r="B15" s="22">
        <v>390.06</v>
      </c>
      <c r="C15" s="22">
        <v>170741.34</v>
      </c>
      <c r="D15" s="24">
        <f t="shared" si="0"/>
        <v>-2.2509848058525489E-3</v>
      </c>
      <c r="E15" s="24">
        <f t="shared" si="1"/>
        <v>5.1618192450183552E-3</v>
      </c>
    </row>
    <row r="16" spans="1:5" x14ac:dyDescent="0.35">
      <c r="A16" s="23">
        <v>46003</v>
      </c>
      <c r="B16" s="22">
        <v>390.94</v>
      </c>
      <c r="C16" s="22">
        <v>169864.53</v>
      </c>
      <c r="D16" s="24">
        <f t="shared" si="0"/>
        <v>-2.6786397612184273E-3</v>
      </c>
      <c r="E16" s="24">
        <f t="shared" si="1"/>
        <v>7.6514451843274723E-3</v>
      </c>
    </row>
    <row r="17" spans="1:5" x14ac:dyDescent="0.35">
      <c r="A17" s="23">
        <v>45973</v>
      </c>
      <c r="B17" s="22">
        <v>391.99</v>
      </c>
      <c r="C17" s="22">
        <v>168574.69</v>
      </c>
      <c r="D17" s="24">
        <f t="shared" si="0"/>
        <v>-7.6526707820959944E-5</v>
      </c>
      <c r="E17" s="24">
        <f t="shared" si="1"/>
        <v>-5.1765144389679984E-3</v>
      </c>
    </row>
    <row r="18" spans="1:5" x14ac:dyDescent="0.35">
      <c r="A18" s="23">
        <v>45942</v>
      </c>
      <c r="B18" s="22">
        <v>392.02</v>
      </c>
      <c r="C18" s="22">
        <v>169451.86</v>
      </c>
      <c r="D18" s="24">
        <f t="shared" si="0"/>
        <v>-1.4381254085583616E-2</v>
      </c>
      <c r="E18" s="24">
        <f t="shared" si="1"/>
        <v>-2.6732541629312057E-5</v>
      </c>
    </row>
    <row r="19" spans="1:5" x14ac:dyDescent="0.35">
      <c r="A19" s="23">
        <v>45912</v>
      </c>
      <c r="B19" s="22">
        <v>397.74</v>
      </c>
      <c r="C19" s="22">
        <v>169456.39</v>
      </c>
      <c r="D19" s="24">
        <f t="shared" si="0"/>
        <v>-7.1640747859514353E-3</v>
      </c>
      <c r="E19" s="24">
        <f t="shared" si="1"/>
        <v>6.8515610958196829E-3</v>
      </c>
    </row>
    <row r="20" spans="1:5" x14ac:dyDescent="0.35">
      <c r="A20" s="23">
        <v>45881</v>
      </c>
      <c r="B20" s="22">
        <v>400.61</v>
      </c>
      <c r="C20" s="22">
        <v>168303.25</v>
      </c>
      <c r="D20" s="24">
        <f t="shared" si="0"/>
        <v>2.7758536647938616E-2</v>
      </c>
      <c r="E20" s="24">
        <f t="shared" si="1"/>
        <v>7.2877025055065369E-3</v>
      </c>
    </row>
    <row r="21" spans="1:5" x14ac:dyDescent="0.35">
      <c r="A21" s="23">
        <v>45789</v>
      </c>
      <c r="B21" s="22">
        <v>389.79</v>
      </c>
      <c r="C21" s="22">
        <v>167085.57999999999</v>
      </c>
      <c r="D21" s="24">
        <f t="shared" si="0"/>
        <v>1.0604096448016676E-2</v>
      </c>
      <c r="E21" s="24">
        <f t="shared" si="1"/>
        <v>4.8232672444147298E-3</v>
      </c>
    </row>
    <row r="22" spans="1:5" x14ac:dyDescent="0.35">
      <c r="A22" s="23">
        <v>45759</v>
      </c>
      <c r="B22" s="22">
        <v>385.7</v>
      </c>
      <c r="C22" s="22">
        <v>166283.54999999999</v>
      </c>
      <c r="D22" s="24">
        <f t="shared" si="0"/>
        <v>-2.0440373618981615E-3</v>
      </c>
      <c r="E22" s="24">
        <f t="shared" si="1"/>
        <v>8.3186203115893508E-4</v>
      </c>
    </row>
    <row r="23" spans="1:5" x14ac:dyDescent="0.35">
      <c r="A23" s="23">
        <v>45728</v>
      </c>
      <c r="B23" s="22">
        <v>386.49</v>
      </c>
      <c r="C23" s="22">
        <v>166145.34</v>
      </c>
      <c r="D23" s="24">
        <f t="shared" si="0"/>
        <v>-4.2766971531623555E-3</v>
      </c>
      <c r="E23" s="24">
        <f t="shared" si="1"/>
        <v>-8.9293703235246054E-3</v>
      </c>
    </row>
    <row r="24" spans="1:5" x14ac:dyDescent="0.35">
      <c r="A24" s="23">
        <v>45700</v>
      </c>
      <c r="B24" s="22">
        <v>388.15</v>
      </c>
      <c r="C24" s="22">
        <v>167642.28</v>
      </c>
      <c r="D24" s="24">
        <f t="shared" si="0"/>
        <v>6.5347612996913673E-3</v>
      </c>
      <c r="E24" s="24">
        <f t="shared" si="1"/>
        <v>-2.4985393799759688E-3</v>
      </c>
    </row>
    <row r="25" spans="1:5" x14ac:dyDescent="0.35">
      <c r="A25" s="23">
        <v>45669</v>
      </c>
      <c r="B25" s="22">
        <v>385.63</v>
      </c>
      <c r="C25" s="22">
        <v>168062.19</v>
      </c>
      <c r="D25" s="24">
        <f t="shared" si="0"/>
        <v>6.22745789979006E-4</v>
      </c>
      <c r="E25" s="24">
        <f t="shared" si="1"/>
        <v>8.3063901169741997E-3</v>
      </c>
    </row>
    <row r="26" spans="1:5" x14ac:dyDescent="0.35">
      <c r="A26" s="22" t="s">
        <v>33</v>
      </c>
      <c r="B26" s="22">
        <v>385.39</v>
      </c>
      <c r="C26" s="22">
        <v>166677.70000000001</v>
      </c>
      <c r="D26" s="24">
        <f t="shared" si="0"/>
        <v>1.5761313618512851E-2</v>
      </c>
      <c r="E26" s="24">
        <f t="shared" si="1"/>
        <v>7.8875484804652816E-3</v>
      </c>
    </row>
    <row r="27" spans="1:5" x14ac:dyDescent="0.35">
      <c r="A27" s="22" t="s">
        <v>34</v>
      </c>
      <c r="B27" s="22">
        <v>379.41</v>
      </c>
      <c r="C27" s="22">
        <v>165373.31</v>
      </c>
      <c r="D27" s="24">
        <f t="shared" si="0"/>
        <v>4.2083531840559837E-3</v>
      </c>
      <c r="E27" s="24">
        <f t="shared" si="1"/>
        <v>1.3388073291670676E-2</v>
      </c>
    </row>
    <row r="28" spans="1:5" x14ac:dyDescent="0.35">
      <c r="A28" s="22" t="s">
        <v>35</v>
      </c>
      <c r="B28" s="22">
        <v>377.82</v>
      </c>
      <c r="C28" s="22">
        <v>163188.53</v>
      </c>
      <c r="D28" s="24">
        <f t="shared" si="0"/>
        <v>-2.9819237366407059E-3</v>
      </c>
      <c r="E28" s="24">
        <f t="shared" si="1"/>
        <v>9.2524401876944943E-3</v>
      </c>
    </row>
    <row r="29" spans="1:5" x14ac:dyDescent="0.35">
      <c r="A29" s="22" t="s">
        <v>36</v>
      </c>
      <c r="B29" s="22">
        <v>378.95</v>
      </c>
      <c r="C29" s="22">
        <v>161692.48000000001</v>
      </c>
      <c r="D29" s="24">
        <f t="shared" si="0"/>
        <v>4.2239763457316233E-4</v>
      </c>
      <c r="E29" s="24">
        <f t="shared" si="1"/>
        <v>-1.8002385295987158E-3</v>
      </c>
    </row>
    <row r="30" spans="1:5" x14ac:dyDescent="0.35">
      <c r="A30" s="22" t="s">
        <v>37</v>
      </c>
      <c r="B30" s="22">
        <v>378.79</v>
      </c>
      <c r="C30" s="22">
        <v>161984.09</v>
      </c>
      <c r="D30" s="24">
        <f t="shared" si="0"/>
        <v>-8.169464009845263E-3</v>
      </c>
      <c r="E30" s="24">
        <f t="shared" si="1"/>
        <v>-7.3305280373738046E-4</v>
      </c>
    </row>
    <row r="31" spans="1:5" x14ac:dyDescent="0.35">
      <c r="A31" s="22" t="s">
        <v>38</v>
      </c>
      <c r="B31" s="22">
        <v>381.91</v>
      </c>
      <c r="C31" s="22">
        <v>162102.92000000001</v>
      </c>
      <c r="D31" s="24">
        <f t="shared" si="0"/>
        <v>-5.2872844715319391E-3</v>
      </c>
      <c r="E31" s="24">
        <f t="shared" si="1"/>
        <v>-5.118667381380732E-3</v>
      </c>
    </row>
    <row r="32" spans="1:5" x14ac:dyDescent="0.35">
      <c r="A32" s="22" t="s">
        <v>39</v>
      </c>
      <c r="B32" s="22">
        <v>383.94</v>
      </c>
      <c r="C32" s="22">
        <v>162936.94</v>
      </c>
      <c r="D32" s="24">
        <f t="shared" si="0"/>
        <v>-2.6237173658916505E-3</v>
      </c>
      <c r="E32" s="24">
        <f t="shared" si="1"/>
        <v>4.3806712451275069E-3</v>
      </c>
    </row>
    <row r="33" spans="1:5" x14ac:dyDescent="0.35">
      <c r="A33" s="22" t="s">
        <v>40</v>
      </c>
      <c r="B33" s="22">
        <v>384.95</v>
      </c>
      <c r="C33" s="22">
        <v>162226.28</v>
      </c>
      <c r="D33" s="24">
        <f t="shared" si="0"/>
        <v>-2.5910091980826532E-3</v>
      </c>
      <c r="E33" s="24">
        <f t="shared" si="1"/>
        <v>8.0227977570838278E-3</v>
      </c>
    </row>
    <row r="34" spans="1:5" x14ac:dyDescent="0.35">
      <c r="A34" s="22" t="s">
        <v>41</v>
      </c>
      <c r="B34" s="22">
        <v>385.95</v>
      </c>
      <c r="C34" s="22">
        <v>160935.13</v>
      </c>
      <c r="D34" s="24">
        <f t="shared" si="0"/>
        <v>-1.34551194141858E-3</v>
      </c>
      <c r="E34" s="24">
        <f t="shared" si="1"/>
        <v>-4.6513270469973386E-3</v>
      </c>
    </row>
    <row r="35" spans="1:5" x14ac:dyDescent="0.35">
      <c r="A35" s="22" t="s">
        <v>42</v>
      </c>
      <c r="B35" s="22">
        <v>386.47</v>
      </c>
      <c r="C35" s="22">
        <v>161687.19</v>
      </c>
      <c r="D35" s="24">
        <f t="shared" si="0"/>
        <v>-1.3780080128614022E-2</v>
      </c>
      <c r="E35" s="24">
        <f t="shared" si="1"/>
        <v>-1.5314768828196021E-3</v>
      </c>
    </row>
    <row r="36" spans="1:5" x14ac:dyDescent="0.35">
      <c r="A36" s="22" t="s">
        <v>43</v>
      </c>
      <c r="B36" s="22">
        <v>391.87</v>
      </c>
      <c r="C36" s="22">
        <v>161935.19</v>
      </c>
      <c r="D36" s="24">
        <f t="shared" si="0"/>
        <v>1.528616213695359E-2</v>
      </c>
      <c r="E36" s="24">
        <f t="shared" si="1"/>
        <v>7.952881129110077E-3</v>
      </c>
    </row>
    <row r="37" spans="1:5" x14ac:dyDescent="0.35">
      <c r="A37" s="22" t="s">
        <v>44</v>
      </c>
      <c r="B37" s="22">
        <v>385.97</v>
      </c>
      <c r="C37" s="22">
        <v>160657.5</v>
      </c>
      <c r="D37" s="24">
        <f t="shared" si="0"/>
        <v>6.7031820552948618E-3</v>
      </c>
      <c r="E37" s="24">
        <f t="shared" si="1"/>
        <v>1.5637174315093209E-2</v>
      </c>
    </row>
    <row r="38" spans="1:5" x14ac:dyDescent="0.35">
      <c r="A38" s="23">
        <v>46002</v>
      </c>
      <c r="B38" s="22">
        <v>383.4</v>
      </c>
      <c r="C38" s="22">
        <v>158183.95000000001</v>
      </c>
      <c r="D38" s="24">
        <f t="shared" si="0"/>
        <v>-7.9180251513740162E-3</v>
      </c>
      <c r="E38" s="24">
        <f t="shared" si="1"/>
        <v>1.985488105757641E-3</v>
      </c>
    </row>
    <row r="39" spans="1:5" x14ac:dyDescent="0.35">
      <c r="A39" s="23">
        <v>45972</v>
      </c>
      <c r="B39" s="22">
        <v>386.46</v>
      </c>
      <c r="C39" s="22">
        <v>157870.5</v>
      </c>
      <c r="D39" s="24">
        <f t="shared" si="0"/>
        <v>-3.8663779771110425E-3</v>
      </c>
      <c r="E39" s="24">
        <f t="shared" si="1"/>
        <v>-2.2706116768142038E-2</v>
      </c>
    </row>
    <row r="40" spans="1:5" x14ac:dyDescent="0.35">
      <c r="A40" s="23">
        <v>45941</v>
      </c>
      <c r="B40" s="22">
        <v>387.96</v>
      </c>
      <c r="C40" s="22">
        <v>161538.41</v>
      </c>
      <c r="D40" s="24">
        <f t="shared" si="0"/>
        <v>-6.4398135030009531E-4</v>
      </c>
      <c r="E40" s="24">
        <f t="shared" si="1"/>
        <v>1.2190391164620031E-2</v>
      </c>
    </row>
    <row r="41" spans="1:5" x14ac:dyDescent="0.35">
      <c r="A41" s="23">
        <v>45849</v>
      </c>
      <c r="B41" s="22">
        <v>388.21</v>
      </c>
      <c r="C41" s="22">
        <v>159592.91</v>
      </c>
      <c r="D41" s="24">
        <f t="shared" si="0"/>
        <v>-5.9660982229734231E-3</v>
      </c>
      <c r="E41" s="24">
        <f t="shared" si="1"/>
        <v>3.1182902484526097E-3</v>
      </c>
    </row>
    <row r="42" spans="1:5" x14ac:dyDescent="0.35">
      <c r="A42" s="23">
        <v>45819</v>
      </c>
      <c r="B42" s="22">
        <v>390.54</v>
      </c>
      <c r="C42" s="22">
        <v>159096.79999999999</v>
      </c>
      <c r="D42" s="24">
        <f t="shared" si="0"/>
        <v>-9.7206589583545338E-4</v>
      </c>
      <c r="E42" s="24">
        <f t="shared" si="1"/>
        <v>-3.0166403065482444E-3</v>
      </c>
    </row>
    <row r="43" spans="1:5" x14ac:dyDescent="0.35">
      <c r="A43" s="23">
        <v>45788</v>
      </c>
      <c r="B43" s="22">
        <v>390.92</v>
      </c>
      <c r="C43" s="22">
        <v>159578.19</v>
      </c>
      <c r="D43" s="24">
        <f t="shared" si="0"/>
        <v>3.3578340648299898E-2</v>
      </c>
      <c r="E43" s="24">
        <f t="shared" si="1"/>
        <v>-1.0562756100704918E-2</v>
      </c>
    </row>
    <row r="44" spans="1:5" x14ac:dyDescent="0.35">
      <c r="A44" s="23">
        <v>45758</v>
      </c>
      <c r="B44" s="22">
        <v>378.22</v>
      </c>
      <c r="C44" s="22">
        <v>161281.76999999999</v>
      </c>
      <c r="D44" s="24">
        <f t="shared" si="0"/>
        <v>4.8886763377438544E-3</v>
      </c>
      <c r="E44" s="24">
        <f t="shared" si="1"/>
        <v>-9.3449660313719585E-3</v>
      </c>
    </row>
    <row r="45" spans="1:5" x14ac:dyDescent="0.35">
      <c r="A45" s="23">
        <v>45727</v>
      </c>
      <c r="B45" s="22">
        <v>376.38</v>
      </c>
      <c r="C45" s="22">
        <v>162803.16</v>
      </c>
      <c r="D45" s="24">
        <f t="shared" si="0"/>
        <v>2.906356801093642E-2</v>
      </c>
      <c r="E45" s="24">
        <f t="shared" si="1"/>
        <v>7.2475249754487747E-3</v>
      </c>
    </row>
    <row r="46" spans="1:5" x14ac:dyDescent="0.35">
      <c r="A46" s="22" t="s">
        <v>45</v>
      </c>
      <c r="B46" s="22">
        <v>365.75</v>
      </c>
      <c r="C46" s="22">
        <v>161631.73000000001</v>
      </c>
      <c r="D46" s="24">
        <f t="shared" si="0"/>
        <v>2.7820710973724818E-2</v>
      </c>
      <c r="E46" s="24">
        <f t="shared" si="1"/>
        <v>3.1256045317357824E-2</v>
      </c>
    </row>
    <row r="47" spans="1:5" x14ac:dyDescent="0.35">
      <c r="A47" s="22" t="s">
        <v>46</v>
      </c>
      <c r="B47" s="22">
        <v>355.85</v>
      </c>
      <c r="C47" s="22">
        <v>156732.88</v>
      </c>
      <c r="D47" s="24">
        <f t="shared" si="0"/>
        <v>-5.9940825276060643E-2</v>
      </c>
      <c r="E47" s="24">
        <f t="shared" si="1"/>
        <v>-1.0930990087026081E-2</v>
      </c>
    </row>
    <row r="48" spans="1:5" x14ac:dyDescent="0.35">
      <c r="A48" s="22" t="s">
        <v>47</v>
      </c>
      <c r="B48" s="22">
        <v>378.54</v>
      </c>
      <c r="C48" s="22">
        <v>158465.06</v>
      </c>
      <c r="D48" s="24">
        <f t="shared" si="0"/>
        <v>-1.6728141721647872E-2</v>
      </c>
      <c r="E48" s="24">
        <f t="shared" si="1"/>
        <v>-1.0218360244153339E-2</v>
      </c>
    </row>
    <row r="49" spans="1:5" x14ac:dyDescent="0.35">
      <c r="A49" s="22" t="s">
        <v>48</v>
      </c>
      <c r="B49" s="22">
        <v>384.98</v>
      </c>
      <c r="C49" s="22">
        <v>160101.03</v>
      </c>
      <c r="D49" s="24">
        <f t="shared" si="0"/>
        <v>0</v>
      </c>
      <c r="E49" s="24">
        <f t="shared" si="1"/>
        <v>-1.2720347406736427E-2</v>
      </c>
    </row>
    <row r="50" spans="1:5" x14ac:dyDescent="0.35">
      <c r="A50" s="22" t="s">
        <v>49</v>
      </c>
      <c r="B50" s="22">
        <v>384.98</v>
      </c>
      <c r="C50" s="22">
        <v>162163.81</v>
      </c>
      <c r="D50" s="24">
        <f t="shared" si="0"/>
        <v>-1.8784248757486948E-2</v>
      </c>
      <c r="E50" s="24">
        <f t="shared" si="1"/>
        <v>-6.9827995164605267E-3</v>
      </c>
    </row>
    <row r="51" spans="1:5" x14ac:dyDescent="0.35">
      <c r="A51" s="22" t="s">
        <v>50</v>
      </c>
      <c r="B51" s="22">
        <v>392.35</v>
      </c>
      <c r="C51" s="22">
        <v>163304.13</v>
      </c>
      <c r="D51" s="24">
        <f t="shared" si="0"/>
        <v>7.110221263925352E-3</v>
      </c>
      <c r="E51" s="24">
        <f t="shared" si="1"/>
        <v>-7.8150361251302473E-3</v>
      </c>
    </row>
    <row r="52" spans="1:5" x14ac:dyDescent="0.35">
      <c r="A52" s="22" t="s">
        <v>51</v>
      </c>
      <c r="B52" s="22">
        <v>389.58</v>
      </c>
      <c r="C52" s="22">
        <v>164590.41</v>
      </c>
      <c r="D52" s="24">
        <f t="shared" si="0"/>
        <v>-2.4147086819297735E-2</v>
      </c>
      <c r="E52" s="24">
        <f t="shared" si="1"/>
        <v>-1.1785237732934443E-2</v>
      </c>
    </row>
    <row r="53" spans="1:5" x14ac:dyDescent="0.35">
      <c r="A53" s="22" t="s">
        <v>52</v>
      </c>
      <c r="B53" s="22">
        <v>399.22</v>
      </c>
      <c r="C53" s="22">
        <v>166553.28</v>
      </c>
      <c r="D53" s="24">
        <f t="shared" si="0"/>
        <v>5.313389237239086E-3</v>
      </c>
      <c r="E53" s="24">
        <f t="shared" si="1"/>
        <v>-4.7419482042174834E-3</v>
      </c>
    </row>
    <row r="54" spans="1:5" x14ac:dyDescent="0.35">
      <c r="A54" s="22" t="s">
        <v>53</v>
      </c>
      <c r="B54" s="22">
        <v>397.11</v>
      </c>
      <c r="C54" s="22">
        <v>167346.82999999999</v>
      </c>
      <c r="D54" s="24">
        <f t="shared" si="0"/>
        <v>1.9171542962734902E-2</v>
      </c>
      <c r="E54" s="24">
        <f t="shared" si="1"/>
        <v>6.6404034914931635E-3</v>
      </c>
    </row>
    <row r="55" spans="1:5" x14ac:dyDescent="0.35">
      <c r="A55" s="22" t="s">
        <v>54</v>
      </c>
      <c r="B55" s="22">
        <v>389.64</v>
      </c>
      <c r="C55" s="22">
        <v>166242.91</v>
      </c>
      <c r="D55" s="24">
        <f t="shared" si="0"/>
        <v>9.999435379142893E-2</v>
      </c>
      <c r="E55" s="24">
        <f t="shared" si="1"/>
        <v>1.4875442458778441E-2</v>
      </c>
    </row>
    <row r="56" spans="1:5" x14ac:dyDescent="0.35">
      <c r="A56" s="22" t="s">
        <v>55</v>
      </c>
      <c r="B56" s="22">
        <v>354.22</v>
      </c>
      <c r="C56" s="22">
        <v>163806.22</v>
      </c>
      <c r="D56" s="24">
        <f t="shared" si="0"/>
        <v>5.1645856980705165E-3</v>
      </c>
      <c r="E56" s="24">
        <f t="shared" si="1"/>
        <v>-3.8827637640174765E-3</v>
      </c>
    </row>
    <row r="57" spans="1:5" x14ac:dyDescent="0.35">
      <c r="A57" s="22" t="s">
        <v>56</v>
      </c>
      <c r="B57" s="22">
        <v>352.4</v>
      </c>
      <c r="C57" s="22">
        <v>164444.72</v>
      </c>
      <c r="D57" s="24">
        <f t="shared" si="0"/>
        <v>-7.8828828828829151E-3</v>
      </c>
      <c r="E57" s="24">
        <f t="shared" si="1"/>
        <v>-7.494037832198419E-3</v>
      </c>
    </row>
    <row r="58" spans="1:5" x14ac:dyDescent="0.35">
      <c r="A58" s="22" t="s">
        <v>57</v>
      </c>
      <c r="B58" s="22">
        <v>355.2</v>
      </c>
      <c r="C58" s="22">
        <v>165686.38</v>
      </c>
      <c r="D58" s="24">
        <f t="shared" si="0"/>
        <v>-2.4433397927373958E-3</v>
      </c>
      <c r="E58" s="24">
        <f t="shared" si="1"/>
        <v>1.2712415974230897E-3</v>
      </c>
    </row>
    <row r="59" spans="1:5" x14ac:dyDescent="0.35">
      <c r="A59" s="22" t="s">
        <v>58</v>
      </c>
      <c r="B59" s="22">
        <v>356.07</v>
      </c>
      <c r="C59" s="22">
        <v>165476.01999999999</v>
      </c>
      <c r="D59" s="24">
        <f t="shared" si="0"/>
        <v>1.0844570617459172E-2</v>
      </c>
      <c r="E59" s="24">
        <f t="shared" si="1"/>
        <v>4.4385560473259013E-2</v>
      </c>
    </row>
    <row r="60" spans="1:5" x14ac:dyDescent="0.35">
      <c r="A60" s="22" t="s">
        <v>59</v>
      </c>
      <c r="B60" s="22">
        <v>352.25</v>
      </c>
      <c r="C60" s="22">
        <v>158443.42000000001</v>
      </c>
      <c r="D60" s="24">
        <f t="shared" si="0"/>
        <v>-2.8570640633187209E-2</v>
      </c>
      <c r="E60" s="24">
        <f t="shared" si="1"/>
        <v>-2.8539679073078552E-2</v>
      </c>
    </row>
    <row r="61" spans="1:5" x14ac:dyDescent="0.35">
      <c r="A61" s="23">
        <v>45940</v>
      </c>
      <c r="B61" s="22">
        <v>362.61</v>
      </c>
      <c r="C61" s="22">
        <v>163098.19</v>
      </c>
      <c r="D61" s="24">
        <f t="shared" si="0"/>
        <v>6.3469286384463326E-4</v>
      </c>
      <c r="E61" s="24">
        <f t="shared" si="1"/>
        <v>-8.7073053369152893E-3</v>
      </c>
    </row>
    <row r="62" spans="1:5" x14ac:dyDescent="0.35">
      <c r="A62" s="23">
        <v>45910</v>
      </c>
      <c r="B62" s="22">
        <v>362.38</v>
      </c>
      <c r="C62" s="22">
        <v>164530.81</v>
      </c>
      <c r="D62" s="24">
        <f t="shared" si="0"/>
        <v>-7.4771986524609516E-3</v>
      </c>
      <c r="E62" s="24">
        <f t="shared" si="1"/>
        <v>-4.4530433375134584E-3</v>
      </c>
    </row>
    <row r="63" spans="1:5" x14ac:dyDescent="0.35">
      <c r="A63" s="23">
        <v>45879</v>
      </c>
      <c r="B63" s="22">
        <v>365.11</v>
      </c>
      <c r="C63" s="22">
        <v>165266.75</v>
      </c>
      <c r="D63" s="24">
        <f t="shared" si="0"/>
        <v>4.1529152915291273E-3</v>
      </c>
      <c r="E63" s="24">
        <f t="shared" si="1"/>
        <v>-5.4581424563145504E-3</v>
      </c>
    </row>
    <row r="64" spans="1:5" x14ac:dyDescent="0.35">
      <c r="A64" s="23">
        <v>45848</v>
      </c>
      <c r="B64" s="22">
        <v>363.6</v>
      </c>
      <c r="C64" s="22">
        <v>166173.75</v>
      </c>
      <c r="D64" s="24">
        <f t="shared" si="0"/>
        <v>1.442401584688786E-2</v>
      </c>
      <c r="E64" s="24">
        <f t="shared" si="1"/>
        <v>-9.4106546666006367E-3</v>
      </c>
    </row>
    <row r="65" spans="1:5" x14ac:dyDescent="0.35">
      <c r="A65" s="23">
        <v>45818</v>
      </c>
      <c r="B65" s="22">
        <v>358.43</v>
      </c>
      <c r="C65" s="22">
        <v>167752.41</v>
      </c>
      <c r="D65" s="24">
        <f t="shared" si="0"/>
        <v>-1.2235786920935866E-2</v>
      </c>
      <c r="E65" s="24">
        <f t="shared" si="1"/>
        <v>-7.3238035420544511E-3</v>
      </c>
    </row>
    <row r="66" spans="1:5" x14ac:dyDescent="0.35">
      <c r="A66" s="23">
        <v>45726</v>
      </c>
      <c r="B66" s="22">
        <v>362.87</v>
      </c>
      <c r="C66" s="22">
        <v>168990.06</v>
      </c>
      <c r="D66" s="24">
        <f t="shared" si="0"/>
        <v>-3.9526776646262732E-3</v>
      </c>
      <c r="E66" s="24">
        <f t="shared" si="1"/>
        <v>2.970093767788516E-3</v>
      </c>
    </row>
    <row r="67" spans="1:5" x14ac:dyDescent="0.35">
      <c r="A67" s="23">
        <v>45698</v>
      </c>
      <c r="B67" s="22">
        <v>364.31</v>
      </c>
      <c r="C67" s="22">
        <v>168489.63</v>
      </c>
      <c r="D67" s="24">
        <f t="shared" si="0"/>
        <v>-4.5358909200208346E-3</v>
      </c>
      <c r="E67" s="24">
        <f t="shared" si="1"/>
        <v>1.7201667178418062E-2</v>
      </c>
    </row>
    <row r="68" spans="1:5" x14ac:dyDescent="0.35">
      <c r="A68" s="23">
        <v>45667</v>
      </c>
      <c r="B68" s="22">
        <v>365.97</v>
      </c>
      <c r="C68" s="22">
        <v>165640.34</v>
      </c>
      <c r="D68" s="24">
        <f t="shared" si="0"/>
        <v>-6.9734628534215909E-3</v>
      </c>
      <c r="E68" s="24">
        <f t="shared" si="1"/>
        <v>8.8674129312198743E-4</v>
      </c>
    </row>
    <row r="69" spans="1:5" x14ac:dyDescent="0.35">
      <c r="A69" s="22" t="s">
        <v>60</v>
      </c>
      <c r="B69" s="22">
        <v>368.54</v>
      </c>
      <c r="C69" s="22">
        <v>165493.59</v>
      </c>
      <c r="D69" s="24">
        <f t="shared" ref="D69:D132" si="2">(B69-B70)/B70</f>
        <v>1.8967042689670463E-2</v>
      </c>
      <c r="E69" s="24">
        <f t="shared" ref="E69:E132" si="3">(C69-C70)/C70</f>
        <v>1.0045304880404442E-2</v>
      </c>
    </row>
    <row r="70" spans="1:5" x14ac:dyDescent="0.35">
      <c r="A70" s="22" t="s">
        <v>61</v>
      </c>
      <c r="B70" s="22">
        <v>361.68</v>
      </c>
      <c r="C70" s="22">
        <v>163847.69</v>
      </c>
      <c r="D70" s="24">
        <f t="shared" si="2"/>
        <v>-1.5863513917988584E-2</v>
      </c>
      <c r="E70" s="24">
        <f t="shared" si="3"/>
        <v>9.8033971041746795E-3</v>
      </c>
    </row>
    <row r="71" spans="1:5" x14ac:dyDescent="0.35">
      <c r="A71" s="22" t="s">
        <v>62</v>
      </c>
      <c r="B71" s="22">
        <v>367.51</v>
      </c>
      <c r="C71" s="22">
        <v>162257.01999999999</v>
      </c>
      <c r="D71" s="24">
        <f t="shared" si="2"/>
        <v>3.1663709567352752E-3</v>
      </c>
      <c r="E71" s="24">
        <f t="shared" si="3"/>
        <v>1.8689906566476656E-2</v>
      </c>
    </row>
    <row r="72" spans="1:5" x14ac:dyDescent="0.35">
      <c r="A72" s="22" t="s">
        <v>63</v>
      </c>
      <c r="B72" s="22">
        <v>366.35</v>
      </c>
      <c r="C72" s="22">
        <v>159280.09</v>
      </c>
      <c r="D72" s="24">
        <f t="shared" si="2"/>
        <v>1.1373988902078802E-2</v>
      </c>
      <c r="E72" s="24">
        <f t="shared" si="3"/>
        <v>6.5939195265016862E-3</v>
      </c>
    </row>
    <row r="73" spans="1:5" x14ac:dyDescent="0.35">
      <c r="A73" s="22" t="s">
        <v>64</v>
      </c>
      <c r="B73" s="22">
        <v>362.23</v>
      </c>
      <c r="C73" s="22">
        <v>158236.69</v>
      </c>
      <c r="D73" s="24">
        <f t="shared" si="2"/>
        <v>-2.5059205815937879E-3</v>
      </c>
      <c r="E73" s="24">
        <f t="shared" si="3"/>
        <v>1.8465918174190318E-3</v>
      </c>
    </row>
    <row r="74" spans="1:5" x14ac:dyDescent="0.35">
      <c r="A74" s="22" t="s">
        <v>65</v>
      </c>
      <c r="B74" s="22">
        <v>363.14</v>
      </c>
      <c r="C74" s="22">
        <v>157945.03</v>
      </c>
      <c r="D74" s="24">
        <f t="shared" si="2"/>
        <v>-8.2748450173417525E-3</v>
      </c>
      <c r="E74" s="24">
        <f t="shared" si="3"/>
        <v>2.4776798096609477E-3</v>
      </c>
    </row>
    <row r="75" spans="1:5" x14ac:dyDescent="0.35">
      <c r="A75" s="22" t="s">
        <v>66</v>
      </c>
      <c r="B75" s="22">
        <v>366.17</v>
      </c>
      <c r="C75" s="22">
        <v>157554.66</v>
      </c>
      <c r="D75" s="24">
        <f t="shared" si="2"/>
        <v>-1.5777873346951951E-2</v>
      </c>
      <c r="E75" s="24">
        <f t="shared" si="3"/>
        <v>-3.0544672405984023E-3</v>
      </c>
    </row>
    <row r="76" spans="1:5" x14ac:dyDescent="0.35">
      <c r="A76" s="22" t="s">
        <v>67</v>
      </c>
      <c r="B76" s="22">
        <v>372.04</v>
      </c>
      <c r="C76" s="22">
        <v>158037.38</v>
      </c>
      <c r="D76" s="24">
        <f t="shared" si="2"/>
        <v>-1.7067371202113553E-2</v>
      </c>
      <c r="E76" s="24">
        <f t="shared" si="3"/>
        <v>5.3123239394489718E-4</v>
      </c>
    </row>
    <row r="77" spans="1:5" x14ac:dyDescent="0.35">
      <c r="A77" s="22" t="s">
        <v>68</v>
      </c>
      <c r="B77" s="22">
        <v>378.5</v>
      </c>
      <c r="C77" s="22">
        <v>157953.47</v>
      </c>
      <c r="D77" s="24">
        <f t="shared" si="2"/>
        <v>8.5533853819712204E-3</v>
      </c>
      <c r="E77" s="24">
        <f t="shared" si="3"/>
        <v>1.1369476880230319E-2</v>
      </c>
    </row>
    <row r="78" spans="1:5" x14ac:dyDescent="0.35">
      <c r="A78" s="22" t="s">
        <v>69</v>
      </c>
      <c r="B78" s="22">
        <v>375.29</v>
      </c>
      <c r="C78" s="22">
        <v>156177.81</v>
      </c>
      <c r="D78" s="24">
        <f t="shared" si="2"/>
        <v>1.0963848930553291E-2</v>
      </c>
      <c r="E78" s="24">
        <f t="shared" si="3"/>
        <v>-2.0040857738496492E-5</v>
      </c>
    </row>
    <row r="79" spans="1:5" x14ac:dyDescent="0.35">
      <c r="A79" s="22" t="s">
        <v>70</v>
      </c>
      <c r="B79" s="22">
        <v>371.22</v>
      </c>
      <c r="C79" s="22">
        <v>156180.94</v>
      </c>
      <c r="D79" s="24">
        <f t="shared" si="2"/>
        <v>5.6643515882955811E-2</v>
      </c>
      <c r="E79" s="24">
        <f t="shared" si="3"/>
        <v>5.1254783938581069E-3</v>
      </c>
    </row>
    <row r="80" spans="1:5" x14ac:dyDescent="0.35">
      <c r="A80" s="22" t="s">
        <v>71</v>
      </c>
      <c r="B80" s="22">
        <v>351.32</v>
      </c>
      <c r="C80" s="22">
        <v>155384.51999999999</v>
      </c>
      <c r="D80" s="24">
        <f t="shared" si="2"/>
        <v>3.3020670998853301E-2</v>
      </c>
      <c r="E80" s="24">
        <f t="shared" si="3"/>
        <v>6.1177926477318572E-3</v>
      </c>
    </row>
    <row r="81" spans="1:5" x14ac:dyDescent="0.35">
      <c r="A81" s="23">
        <v>46000</v>
      </c>
      <c r="B81" s="22">
        <v>340.09</v>
      </c>
      <c r="C81" s="22">
        <v>154439.69</v>
      </c>
      <c r="D81" s="24">
        <f t="shared" si="2"/>
        <v>-9.4081323546546022E-3</v>
      </c>
      <c r="E81" s="24">
        <f t="shared" si="3"/>
        <v>-1.0897568707820628E-2</v>
      </c>
    </row>
    <row r="82" spans="1:5" x14ac:dyDescent="0.35">
      <c r="A82" s="23">
        <v>45970</v>
      </c>
      <c r="B82" s="22">
        <v>343.32</v>
      </c>
      <c r="C82" s="22">
        <v>156141.25</v>
      </c>
      <c r="D82" s="24">
        <f t="shared" si="2"/>
        <v>-1.5033279779664933E-2</v>
      </c>
      <c r="E82" s="24">
        <f t="shared" si="3"/>
        <v>-5.6014871915057649E-3</v>
      </c>
    </row>
    <row r="83" spans="1:5" x14ac:dyDescent="0.35">
      <c r="A83" s="23">
        <v>45939</v>
      </c>
      <c r="B83" s="22">
        <v>348.56</v>
      </c>
      <c r="C83" s="22">
        <v>157020.79999999999</v>
      </c>
      <c r="D83" s="24">
        <f t="shared" si="2"/>
        <v>5.6839493349491541E-3</v>
      </c>
      <c r="E83" s="24">
        <f t="shared" si="3"/>
        <v>2.9206674121360801E-3</v>
      </c>
    </row>
    <row r="84" spans="1:5" x14ac:dyDescent="0.35">
      <c r="A84" s="23">
        <v>45909</v>
      </c>
      <c r="B84" s="22">
        <v>346.59</v>
      </c>
      <c r="C84" s="22">
        <v>156563.53</v>
      </c>
      <c r="D84" s="24">
        <f t="shared" si="2"/>
        <v>-7.9246586260028798E-2</v>
      </c>
      <c r="E84" s="24">
        <f t="shared" si="3"/>
        <v>3.0509847341209299E-3</v>
      </c>
    </row>
    <row r="85" spans="1:5" x14ac:dyDescent="0.35">
      <c r="A85" s="23">
        <v>45878</v>
      </c>
      <c r="B85" s="22">
        <v>376.42</v>
      </c>
      <c r="C85" s="22">
        <v>156087.31</v>
      </c>
      <c r="D85" s="24">
        <f t="shared" si="2"/>
        <v>1.6664415935178978E-2</v>
      </c>
      <c r="E85" s="24">
        <f t="shared" si="3"/>
        <v>1.1732907502398736E-2</v>
      </c>
    </row>
    <row r="86" spans="1:5" x14ac:dyDescent="0.35">
      <c r="A86" s="23">
        <v>45786</v>
      </c>
      <c r="B86" s="22">
        <v>370.25</v>
      </c>
      <c r="C86" s="22">
        <v>154277.19</v>
      </c>
      <c r="D86" s="24">
        <f t="shared" si="2"/>
        <v>-1.0159069643095873E-2</v>
      </c>
      <c r="E86" s="24">
        <f t="shared" si="3"/>
        <v>1.0555545802947781E-2</v>
      </c>
    </row>
    <row r="87" spans="1:5" x14ac:dyDescent="0.35">
      <c r="A87" s="23">
        <v>45756</v>
      </c>
      <c r="B87" s="22">
        <v>374.05</v>
      </c>
      <c r="C87" s="22">
        <v>152665.72</v>
      </c>
      <c r="D87" s="24">
        <f t="shared" si="2"/>
        <v>-5.6357497939761398E-3</v>
      </c>
      <c r="E87" s="24">
        <f t="shared" si="3"/>
        <v>3.0475313445536712E-3</v>
      </c>
    </row>
    <row r="88" spans="1:5" x14ac:dyDescent="0.35">
      <c r="A88" s="23">
        <v>45725</v>
      </c>
      <c r="B88" s="22">
        <v>376.17</v>
      </c>
      <c r="C88" s="22">
        <v>152201.88</v>
      </c>
      <c r="D88" s="24">
        <f t="shared" si="2"/>
        <v>1.3470916291726162E-2</v>
      </c>
      <c r="E88" s="24">
        <f t="shared" si="3"/>
        <v>8.1231733788824124E-3</v>
      </c>
    </row>
    <row r="89" spans="1:5" x14ac:dyDescent="0.35">
      <c r="A89" s="23">
        <v>45697</v>
      </c>
      <c r="B89" s="22">
        <v>371.17</v>
      </c>
      <c r="C89" s="22">
        <v>150975.48000000001</v>
      </c>
      <c r="D89" s="24">
        <f t="shared" si="2"/>
        <v>-2.4238281763453221E-2</v>
      </c>
      <c r="E89" s="24">
        <f t="shared" si="3"/>
        <v>6.6969556073892744E-3</v>
      </c>
    </row>
    <row r="90" spans="1:5" x14ac:dyDescent="0.35">
      <c r="A90" s="23">
        <v>45666</v>
      </c>
      <c r="B90" s="22">
        <v>380.39</v>
      </c>
      <c r="C90" s="22">
        <v>149971.13</v>
      </c>
      <c r="D90" s="24">
        <f t="shared" si="2"/>
        <v>1.6325670800747942E-3</v>
      </c>
      <c r="E90" s="24">
        <f t="shared" si="3"/>
        <v>9.1062455649654154E-3</v>
      </c>
    </row>
    <row r="91" spans="1:5" x14ac:dyDescent="0.35">
      <c r="A91" s="22" t="s">
        <v>72</v>
      </c>
      <c r="B91" s="22">
        <v>379.77</v>
      </c>
      <c r="C91" s="22">
        <v>148617.78</v>
      </c>
      <c r="D91" s="24">
        <f t="shared" si="2"/>
        <v>2.405285155723327E-2</v>
      </c>
      <c r="E91" s="24">
        <f t="shared" si="3"/>
        <v>8.6482255887466875E-3</v>
      </c>
    </row>
    <row r="92" spans="1:5" x14ac:dyDescent="0.35">
      <c r="A92" s="22" t="s">
        <v>73</v>
      </c>
      <c r="B92" s="22">
        <v>370.85</v>
      </c>
      <c r="C92" s="22">
        <v>147343.51999999999</v>
      </c>
      <c r="D92" s="24">
        <f t="shared" si="2"/>
        <v>-1.917482147580005E-2</v>
      </c>
      <c r="E92" s="24">
        <f t="shared" si="3"/>
        <v>-1.0204480818648003E-3</v>
      </c>
    </row>
    <row r="93" spans="1:5" x14ac:dyDescent="0.35">
      <c r="A93" s="22" t="s">
        <v>74</v>
      </c>
      <c r="B93" s="22">
        <v>378.1</v>
      </c>
      <c r="C93" s="22">
        <v>147494.03</v>
      </c>
      <c r="D93" s="24">
        <f t="shared" si="2"/>
        <v>-1.0002094679514016E-2</v>
      </c>
      <c r="E93" s="24">
        <f t="shared" si="3"/>
        <v>-6.3396747372217784E-3</v>
      </c>
    </row>
    <row r="94" spans="1:5" x14ac:dyDescent="0.35">
      <c r="A94" s="22" t="s">
        <v>75</v>
      </c>
      <c r="B94" s="22">
        <v>381.92</v>
      </c>
      <c r="C94" s="22">
        <v>148435.06</v>
      </c>
      <c r="D94" s="24">
        <f t="shared" si="2"/>
        <v>4.7882136279926149E-3</v>
      </c>
      <c r="E94" s="24">
        <f t="shared" si="3"/>
        <v>-2.55518064639989E-3</v>
      </c>
    </row>
    <row r="95" spans="1:5" x14ac:dyDescent="0.35">
      <c r="A95" s="22" t="s">
        <v>76</v>
      </c>
      <c r="B95" s="22">
        <v>380.1</v>
      </c>
      <c r="C95" s="22">
        <v>148815.31</v>
      </c>
      <c r="D95" s="24">
        <f t="shared" si="2"/>
        <v>-2.4934585193166003E-2</v>
      </c>
      <c r="E95" s="24">
        <f t="shared" si="3"/>
        <v>-4.5336552746997084E-3</v>
      </c>
    </row>
    <row r="96" spans="1:5" x14ac:dyDescent="0.35">
      <c r="A96" s="22" t="s">
        <v>77</v>
      </c>
      <c r="B96" s="22">
        <v>389.82</v>
      </c>
      <c r="C96" s="22">
        <v>149493.06</v>
      </c>
      <c r="D96" s="24">
        <f t="shared" si="2"/>
        <v>-2.6097635861221519E-3</v>
      </c>
      <c r="E96" s="24">
        <f t="shared" si="3"/>
        <v>1.7274066646578129E-3</v>
      </c>
    </row>
    <row r="97" spans="1:5" x14ac:dyDescent="0.35">
      <c r="A97" s="22" t="s">
        <v>78</v>
      </c>
      <c r="B97" s="22">
        <v>390.84</v>
      </c>
      <c r="C97" s="22">
        <v>149235.26999999999</v>
      </c>
      <c r="D97" s="24">
        <f t="shared" si="2"/>
        <v>-3.885500688569745E-2</v>
      </c>
      <c r="E97" s="24">
        <f t="shared" si="3"/>
        <v>-9.0027292467678051E-3</v>
      </c>
    </row>
    <row r="98" spans="1:5" x14ac:dyDescent="0.35">
      <c r="A98" s="22" t="s">
        <v>79</v>
      </c>
      <c r="B98" s="22">
        <v>406.64</v>
      </c>
      <c r="C98" s="22">
        <v>150591</v>
      </c>
      <c r="D98" s="24">
        <f t="shared" si="2"/>
        <v>5.020661157024793E-2</v>
      </c>
      <c r="E98" s="24">
        <f t="shared" si="3"/>
        <v>5.4767035619438372E-3</v>
      </c>
    </row>
    <row r="99" spans="1:5" x14ac:dyDescent="0.35">
      <c r="A99" s="22" t="s">
        <v>80</v>
      </c>
      <c r="B99" s="22">
        <v>387.2</v>
      </c>
      <c r="C99" s="22">
        <v>149770.75</v>
      </c>
      <c r="D99" s="24">
        <f t="shared" si="2"/>
        <v>1.6032958093888619E-2</v>
      </c>
      <c r="E99" s="24">
        <f t="shared" si="3"/>
        <v>1.0623266068100613E-2</v>
      </c>
    </row>
    <row r="100" spans="1:5" x14ac:dyDescent="0.35">
      <c r="A100" s="22" t="s">
        <v>81</v>
      </c>
      <c r="B100" s="22">
        <v>381.09</v>
      </c>
      <c r="C100" s="22">
        <v>148196.42000000001</v>
      </c>
      <c r="D100" s="24">
        <f t="shared" si="2"/>
        <v>1.9066210289870562E-2</v>
      </c>
      <c r="E100" s="24">
        <f t="shared" si="3"/>
        <v>1.1637456692918279E-2</v>
      </c>
    </row>
    <row r="101" spans="1:5" x14ac:dyDescent="0.35">
      <c r="A101" s="22" t="s">
        <v>82</v>
      </c>
      <c r="B101" s="22">
        <v>373.96</v>
      </c>
      <c r="C101" s="22">
        <v>146491.63</v>
      </c>
      <c r="D101" s="24">
        <f t="shared" si="2"/>
        <v>-1.3610466343110427E-2</v>
      </c>
      <c r="E101" s="24">
        <f t="shared" si="3"/>
        <v>-2.5714991765123996E-4</v>
      </c>
    </row>
    <row r="102" spans="1:5" x14ac:dyDescent="0.35">
      <c r="A102" s="22" t="s">
        <v>83</v>
      </c>
      <c r="B102" s="22">
        <v>379.12</v>
      </c>
      <c r="C102" s="22">
        <v>146529.31</v>
      </c>
      <c r="D102" s="24">
        <f t="shared" si="2"/>
        <v>-1.8764396821699406E-2</v>
      </c>
      <c r="E102" s="24">
        <f t="shared" si="3"/>
        <v>-3.2379782743902244E-3</v>
      </c>
    </row>
    <row r="103" spans="1:5" x14ac:dyDescent="0.35">
      <c r="A103" s="23">
        <v>45999</v>
      </c>
      <c r="B103" s="22">
        <v>386.37</v>
      </c>
      <c r="C103" s="22">
        <v>147005.31</v>
      </c>
      <c r="D103" s="24">
        <f t="shared" si="2"/>
        <v>8.4851888249333235E-2</v>
      </c>
      <c r="E103" s="24">
        <f t="shared" si="3"/>
        <v>5.1364651319297128E-4</v>
      </c>
    </row>
    <row r="104" spans="1:5" x14ac:dyDescent="0.35">
      <c r="A104" s="23">
        <v>45969</v>
      </c>
      <c r="B104" s="22">
        <v>356.15</v>
      </c>
      <c r="C104" s="22">
        <v>146929.84</v>
      </c>
      <c r="D104" s="24">
        <f t="shared" si="2"/>
        <v>2.089663475319602E-2</v>
      </c>
      <c r="E104" s="24">
        <f t="shared" si="3"/>
        <v>1.0641148746619327E-2</v>
      </c>
    </row>
    <row r="105" spans="1:5" x14ac:dyDescent="0.35">
      <c r="A105" s="23">
        <v>45877</v>
      </c>
      <c r="B105" s="22">
        <v>348.86</v>
      </c>
      <c r="C105" s="22">
        <v>145382.79999999999</v>
      </c>
      <c r="D105" s="24">
        <f t="shared" si="2"/>
        <v>-2.2023281754997622E-3</v>
      </c>
      <c r="E105" s="24">
        <f t="shared" si="3"/>
        <v>-1.8149343680900674E-3</v>
      </c>
    </row>
    <row r="106" spans="1:5" x14ac:dyDescent="0.35">
      <c r="A106" s="23">
        <v>45846</v>
      </c>
      <c r="B106" s="22">
        <v>349.63</v>
      </c>
      <c r="C106" s="22">
        <v>145647.14000000001</v>
      </c>
      <c r="D106" s="24">
        <f t="shared" si="2"/>
        <v>-1.6899111461027981E-2</v>
      </c>
      <c r="E106" s="24">
        <f t="shared" si="3"/>
        <v>3.8503396203008093E-3</v>
      </c>
    </row>
    <row r="107" spans="1:5" x14ac:dyDescent="0.35">
      <c r="A107" s="23">
        <v>45816</v>
      </c>
      <c r="B107" s="22">
        <v>355.64</v>
      </c>
      <c r="C107" s="22">
        <v>145088.5</v>
      </c>
      <c r="D107" s="24">
        <f t="shared" si="2"/>
        <v>1.7800927250872789E-2</v>
      </c>
      <c r="E107" s="24">
        <f t="shared" si="3"/>
        <v>1.4341237316146475E-2</v>
      </c>
    </row>
    <row r="108" spans="1:5" x14ac:dyDescent="0.35">
      <c r="A108" s="23">
        <v>45785</v>
      </c>
      <c r="B108" s="22">
        <v>349.42</v>
      </c>
      <c r="C108" s="22">
        <v>143037.17000000001</v>
      </c>
      <c r="D108" s="24">
        <f t="shared" si="2"/>
        <v>3.7631783057079722E-3</v>
      </c>
      <c r="E108" s="24">
        <f t="shared" si="3"/>
        <v>6.9305988356712879E-3</v>
      </c>
    </row>
    <row r="109" spans="1:5" x14ac:dyDescent="0.35">
      <c r="A109" s="23">
        <v>45755</v>
      </c>
      <c r="B109" s="22">
        <v>348.11</v>
      </c>
      <c r="C109" s="22">
        <v>142052.66</v>
      </c>
      <c r="D109" s="24">
        <f t="shared" si="2"/>
        <v>2.908918910929149E-2</v>
      </c>
      <c r="E109" s="24">
        <f t="shared" si="3"/>
        <v>7.2157985203386635E-3</v>
      </c>
    </row>
    <row r="110" spans="1:5" x14ac:dyDescent="0.35">
      <c r="A110" s="23">
        <v>45665</v>
      </c>
      <c r="B110" s="22">
        <v>338.27</v>
      </c>
      <c r="C110" s="22">
        <v>141034.98000000001</v>
      </c>
      <c r="D110" s="24">
        <f t="shared" si="2"/>
        <v>2.6429178298337113E-2</v>
      </c>
      <c r="E110" s="24">
        <f t="shared" si="3"/>
        <v>1.1798228314399207E-2</v>
      </c>
    </row>
    <row r="111" spans="1:5" x14ac:dyDescent="0.35">
      <c r="A111" s="22" t="s">
        <v>84</v>
      </c>
      <c r="B111" s="22">
        <v>329.56</v>
      </c>
      <c r="C111" s="22">
        <v>139390.42000000001</v>
      </c>
      <c r="D111" s="24">
        <f t="shared" si="2"/>
        <v>-1.4473684210526243E-2</v>
      </c>
      <c r="E111" s="24">
        <f t="shared" si="3"/>
        <v>7.0670767941422297E-3</v>
      </c>
    </row>
    <row r="112" spans="1:5" x14ac:dyDescent="0.35">
      <c r="A112" s="22" t="s">
        <v>85</v>
      </c>
      <c r="B112" s="22">
        <v>334.4</v>
      </c>
      <c r="C112" s="22">
        <v>138412.25</v>
      </c>
      <c r="D112" s="24">
        <f t="shared" si="2"/>
        <v>-1.1411340389049883E-2</v>
      </c>
      <c r="E112" s="24">
        <f t="shared" si="3"/>
        <v>3.2431458427696334E-3</v>
      </c>
    </row>
    <row r="113" spans="1:5" x14ac:dyDescent="0.35">
      <c r="A113" s="22" t="s">
        <v>86</v>
      </c>
      <c r="B113" s="22">
        <v>338.26</v>
      </c>
      <c r="C113" s="22">
        <v>137964.81</v>
      </c>
      <c r="D113" s="24">
        <f t="shared" si="2"/>
        <v>-1.0819978944905804E-2</v>
      </c>
      <c r="E113" s="24">
        <f t="shared" si="3"/>
        <v>-1.0153891453339883E-2</v>
      </c>
    </row>
    <row r="114" spans="1:5" x14ac:dyDescent="0.35">
      <c r="A114" s="22" t="s">
        <v>87</v>
      </c>
      <c r="B114" s="22">
        <v>341.96</v>
      </c>
      <c r="C114" s="22">
        <v>139380.06</v>
      </c>
      <c r="D114" s="24">
        <f t="shared" si="2"/>
        <v>6.5936653714822558E-3</v>
      </c>
      <c r="E114" s="24">
        <f t="shared" si="3"/>
        <v>1.2410268714356885E-3</v>
      </c>
    </row>
    <row r="115" spans="1:5" x14ac:dyDescent="0.35">
      <c r="A115" s="22" t="s">
        <v>88</v>
      </c>
      <c r="B115" s="22">
        <v>339.72</v>
      </c>
      <c r="C115" s="22">
        <v>139207.29999999999</v>
      </c>
      <c r="D115" s="24">
        <f t="shared" si="2"/>
        <v>1.7397458201870429E-3</v>
      </c>
      <c r="E115" s="24">
        <f t="shared" si="3"/>
        <v>3.7105782158492985E-3</v>
      </c>
    </row>
    <row r="116" spans="1:5" x14ac:dyDescent="0.35">
      <c r="A116" s="22" t="s">
        <v>89</v>
      </c>
      <c r="B116" s="22">
        <v>339.13</v>
      </c>
      <c r="C116" s="22">
        <v>138692.67000000001</v>
      </c>
      <c r="D116" s="24">
        <f t="shared" si="2"/>
        <v>1.890750096014613E-3</v>
      </c>
      <c r="E116" s="24">
        <f t="shared" si="3"/>
        <v>-4.0335541379097452E-3</v>
      </c>
    </row>
    <row r="117" spans="1:5" x14ac:dyDescent="0.35">
      <c r="A117" s="22" t="s">
        <v>90</v>
      </c>
      <c r="B117" s="22">
        <v>338.49</v>
      </c>
      <c r="C117" s="22">
        <v>139254.35999999999</v>
      </c>
      <c r="D117" s="24">
        <f t="shared" si="2"/>
        <v>8.8707531269408132E-4</v>
      </c>
      <c r="E117" s="24">
        <f t="shared" si="3"/>
        <v>-1.185414134293848E-3</v>
      </c>
    </row>
    <row r="118" spans="1:5" x14ac:dyDescent="0.35">
      <c r="A118" s="22" t="s">
        <v>91</v>
      </c>
      <c r="B118" s="22">
        <v>338.19</v>
      </c>
      <c r="C118" s="22">
        <v>139419.63</v>
      </c>
      <c r="D118" s="24">
        <f t="shared" si="2"/>
        <v>-1.2439772229522531E-2</v>
      </c>
      <c r="E118" s="24">
        <f t="shared" si="3"/>
        <v>8.6967952991219896E-3</v>
      </c>
    </row>
    <row r="119" spans="1:5" x14ac:dyDescent="0.35">
      <c r="A119" s="22" t="s">
        <v>92</v>
      </c>
      <c r="B119" s="22">
        <v>342.45</v>
      </c>
      <c r="C119" s="22">
        <v>138217.57999999999</v>
      </c>
      <c r="D119" s="24">
        <f t="shared" si="2"/>
        <v>-4.5926227363892224E-3</v>
      </c>
      <c r="E119" s="24">
        <f t="shared" si="3"/>
        <v>-2.7401676337846471E-3</v>
      </c>
    </row>
    <row r="120" spans="1:5" x14ac:dyDescent="0.35">
      <c r="A120" s="22" t="s">
        <v>93</v>
      </c>
      <c r="B120" s="22">
        <v>344.03</v>
      </c>
      <c r="C120" s="22">
        <v>138597.35999999999</v>
      </c>
      <c r="D120" s="24">
        <f t="shared" si="2"/>
        <v>-2.7916701986380865E-2</v>
      </c>
      <c r="E120" s="24">
        <f t="shared" si="3"/>
        <v>-4.9139836513057659E-4</v>
      </c>
    </row>
    <row r="121" spans="1:5" x14ac:dyDescent="0.35">
      <c r="A121" s="22" t="s">
        <v>94</v>
      </c>
      <c r="B121" s="22">
        <v>353.91</v>
      </c>
      <c r="C121" s="22">
        <v>138665.5</v>
      </c>
      <c r="D121" s="24">
        <f t="shared" si="2"/>
        <v>-8.960824395844386E-3</v>
      </c>
      <c r="E121" s="24">
        <f t="shared" si="3"/>
        <v>1.675854599469408E-2</v>
      </c>
    </row>
    <row r="122" spans="1:5" x14ac:dyDescent="0.35">
      <c r="A122" s="22" t="s">
        <v>95</v>
      </c>
      <c r="B122" s="22">
        <v>357.11</v>
      </c>
      <c r="C122" s="22">
        <v>136379.97</v>
      </c>
      <c r="D122" s="24">
        <f t="shared" si="2"/>
        <v>7.7604695789592502E-3</v>
      </c>
      <c r="E122" s="24">
        <f t="shared" si="3"/>
        <v>3.23738699784049E-3</v>
      </c>
    </row>
    <row r="123" spans="1:5" x14ac:dyDescent="0.35">
      <c r="A123" s="22" t="s">
        <v>96</v>
      </c>
      <c r="B123" s="22">
        <v>354.36</v>
      </c>
      <c r="C123" s="22">
        <v>135939.88</v>
      </c>
      <c r="D123" s="24">
        <f t="shared" si="2"/>
        <v>-1.1548117154811677E-2</v>
      </c>
      <c r="E123" s="24">
        <f t="shared" si="3"/>
        <v>-4.1220475368407682E-3</v>
      </c>
    </row>
    <row r="124" spans="1:5" x14ac:dyDescent="0.35">
      <c r="A124" s="22" t="s">
        <v>97</v>
      </c>
      <c r="B124" s="22">
        <v>358.5</v>
      </c>
      <c r="C124" s="22">
        <v>136502.54999999999</v>
      </c>
      <c r="D124" s="24">
        <f t="shared" si="2"/>
        <v>-2.4702105664073083E-2</v>
      </c>
      <c r="E124" s="24">
        <f t="shared" si="3"/>
        <v>1.640196405399651E-2</v>
      </c>
    </row>
    <row r="125" spans="1:5" x14ac:dyDescent="0.35">
      <c r="A125" s="23">
        <v>45968</v>
      </c>
      <c r="B125" s="22">
        <v>367.58</v>
      </c>
      <c r="C125" s="22">
        <v>134299.76999999999</v>
      </c>
      <c r="D125" s="24">
        <f t="shared" si="2"/>
        <v>1.5919517992371873E-2</v>
      </c>
      <c r="E125" s="24">
        <f t="shared" si="3"/>
        <v>3.8677003257679078E-3</v>
      </c>
    </row>
    <row r="126" spans="1:5" x14ac:dyDescent="0.35">
      <c r="A126" s="23">
        <v>45937</v>
      </c>
      <c r="B126" s="22">
        <v>361.82</v>
      </c>
      <c r="C126" s="22">
        <v>133782.34</v>
      </c>
      <c r="D126" s="24">
        <f t="shared" si="2"/>
        <v>-7.2435932612632016E-3</v>
      </c>
      <c r="E126" s="24">
        <f t="shared" si="3"/>
        <v>9.0917744543584107E-3</v>
      </c>
    </row>
    <row r="127" spans="1:5" x14ac:dyDescent="0.35">
      <c r="A127" s="23">
        <v>45907</v>
      </c>
      <c r="B127" s="22">
        <v>364.46</v>
      </c>
      <c r="C127" s="22">
        <v>132576.98000000001</v>
      </c>
      <c r="D127" s="24">
        <f t="shared" si="2"/>
        <v>3.3167025739879771E-2</v>
      </c>
      <c r="E127" s="24">
        <f t="shared" si="3"/>
        <v>-6.193330159496125E-3</v>
      </c>
    </row>
    <row r="128" spans="1:5" x14ac:dyDescent="0.35">
      <c r="A128" s="23">
        <v>45876</v>
      </c>
      <c r="B128" s="22">
        <v>352.76</v>
      </c>
      <c r="C128" s="22">
        <v>133403.19</v>
      </c>
      <c r="D128" s="24">
        <f t="shared" si="2"/>
        <v>-1.2098129270751634E-2</v>
      </c>
      <c r="E128" s="24">
        <f t="shared" si="3"/>
        <v>2.4765659724783139E-4</v>
      </c>
    </row>
    <row r="129" spans="1:5" x14ac:dyDescent="0.35">
      <c r="A129" s="23">
        <v>45845</v>
      </c>
      <c r="B129" s="22">
        <v>357.08</v>
      </c>
      <c r="C129" s="22">
        <v>133370.16</v>
      </c>
      <c r="D129" s="24">
        <f t="shared" si="2"/>
        <v>1.3884550952610769E-2</v>
      </c>
      <c r="E129" s="24">
        <f t="shared" si="3"/>
        <v>1.0770065357040103E-2</v>
      </c>
    </row>
    <row r="130" spans="1:5" x14ac:dyDescent="0.35">
      <c r="A130" s="23">
        <v>45754</v>
      </c>
      <c r="B130" s="22">
        <v>352.19</v>
      </c>
      <c r="C130" s="22">
        <v>131949.06</v>
      </c>
      <c r="D130" s="24">
        <f t="shared" si="2"/>
        <v>3.4848529368554093E-2</v>
      </c>
      <c r="E130" s="24">
        <f t="shared" si="3"/>
        <v>9.6597464500201794E-3</v>
      </c>
    </row>
    <row r="131" spans="1:5" x14ac:dyDescent="0.35">
      <c r="A131" s="23">
        <v>45723</v>
      </c>
      <c r="B131" s="22">
        <v>340.33</v>
      </c>
      <c r="C131" s="22">
        <v>130686.66</v>
      </c>
      <c r="D131" s="24">
        <f t="shared" si="2"/>
        <v>4.6782726377952694E-2</v>
      </c>
      <c r="E131" s="24">
        <f t="shared" si="3"/>
        <v>2.6286589420321336E-3</v>
      </c>
    </row>
    <row r="132" spans="1:5" x14ac:dyDescent="0.35">
      <c r="A132" s="23">
        <v>45695</v>
      </c>
      <c r="B132" s="22">
        <v>325.12</v>
      </c>
      <c r="C132" s="22">
        <v>130344.03</v>
      </c>
      <c r="D132" s="24">
        <f t="shared" si="2"/>
        <v>-9.1127975374112619E-3</v>
      </c>
      <c r="E132" s="24">
        <f t="shared" si="3"/>
        <v>1.6728623520401033E-2</v>
      </c>
    </row>
    <row r="133" spans="1:5" x14ac:dyDescent="0.35">
      <c r="A133" s="23">
        <v>45664</v>
      </c>
      <c r="B133" s="22">
        <v>328.11</v>
      </c>
      <c r="C133" s="22">
        <v>128199.43</v>
      </c>
      <c r="D133" s="24">
        <f t="shared" ref="D133:D196" si="4">(B133-B134)/B134</f>
        <v>2.6892399841090225E-3</v>
      </c>
      <c r="E133" s="24">
        <f t="shared" ref="E133:E196" si="5">(C133-C134)/C134</f>
        <v>2.0474210583670025E-2</v>
      </c>
    </row>
    <row r="134" spans="1:5" x14ac:dyDescent="0.35">
      <c r="A134" s="22" t="s">
        <v>98</v>
      </c>
      <c r="B134" s="22">
        <v>327.23</v>
      </c>
      <c r="C134" s="22">
        <v>125627.31</v>
      </c>
      <c r="D134" s="24">
        <f t="shared" si="4"/>
        <v>-8.06329382521437E-3</v>
      </c>
      <c r="E134" s="24">
        <f t="shared" si="5"/>
        <v>1.0035772095739184E-2</v>
      </c>
    </row>
    <row r="135" spans="1:5" x14ac:dyDescent="0.35">
      <c r="A135" s="22" t="s">
        <v>99</v>
      </c>
      <c r="B135" s="22">
        <v>329.89</v>
      </c>
      <c r="C135" s="22">
        <v>124379.07</v>
      </c>
      <c r="D135" s="24">
        <f t="shared" si="4"/>
        <v>-1.7570505375383523E-2</v>
      </c>
      <c r="E135" s="24">
        <f t="shared" si="5"/>
        <v>1.9112475691634156E-2</v>
      </c>
    </row>
    <row r="136" spans="1:5" x14ac:dyDescent="0.35">
      <c r="A136" s="22" t="s">
        <v>100</v>
      </c>
      <c r="B136" s="22">
        <v>335.79</v>
      </c>
      <c r="C136" s="22">
        <v>122046.46</v>
      </c>
      <c r="D136" s="24">
        <f t="shared" si="4"/>
        <v>8.0718354735927533E-2</v>
      </c>
      <c r="E136" s="24">
        <f t="shared" si="5"/>
        <v>-5.825761206839474E-3</v>
      </c>
    </row>
    <row r="137" spans="1:5" x14ac:dyDescent="0.35">
      <c r="A137" s="22" t="s">
        <v>101</v>
      </c>
      <c r="B137" s="22">
        <v>310.70999999999998</v>
      </c>
      <c r="C137" s="22">
        <v>122761.64</v>
      </c>
      <c r="D137" s="24">
        <f t="shared" si="4"/>
        <v>7.99416078690348E-2</v>
      </c>
      <c r="E137" s="24">
        <f t="shared" si="5"/>
        <v>4.2127947238468069E-3</v>
      </c>
    </row>
    <row r="138" spans="1:5" x14ac:dyDescent="0.35">
      <c r="A138" s="22" t="s">
        <v>102</v>
      </c>
      <c r="B138" s="22">
        <v>287.70999999999998</v>
      </c>
      <c r="C138" s="22">
        <v>122246.64</v>
      </c>
      <c r="D138" s="24">
        <f t="shared" si="4"/>
        <v>5.5080861051010239E-2</v>
      </c>
      <c r="E138" s="24">
        <f t="shared" si="5"/>
        <v>5.2331087179569274E-2</v>
      </c>
    </row>
    <row r="139" spans="1:5" x14ac:dyDescent="0.35">
      <c r="A139" s="22" t="s">
        <v>103</v>
      </c>
      <c r="B139" s="22">
        <v>272.69</v>
      </c>
      <c r="C139" s="22">
        <v>116167.47</v>
      </c>
      <c r="D139" s="24">
        <f t="shared" si="4"/>
        <v>-1.256517960602559E-2</v>
      </c>
      <c r="E139" s="24">
        <f t="shared" si="5"/>
        <v>-3.2125195087218145E-2</v>
      </c>
    </row>
    <row r="140" spans="1:5" x14ac:dyDescent="0.35">
      <c r="A140" s="22" t="s">
        <v>104</v>
      </c>
      <c r="B140" s="22">
        <v>276.16000000000003</v>
      </c>
      <c r="C140" s="22">
        <v>120023.24</v>
      </c>
      <c r="D140" s="24">
        <f t="shared" si="4"/>
        <v>-1.2797597769357204E-2</v>
      </c>
      <c r="E140" s="24">
        <f t="shared" si="5"/>
        <v>1.7207961928162327E-4</v>
      </c>
    </row>
    <row r="141" spans="1:5" x14ac:dyDescent="0.35">
      <c r="A141" s="22" t="s">
        <v>105</v>
      </c>
      <c r="B141" s="22">
        <v>279.74</v>
      </c>
      <c r="C141" s="22">
        <v>120002.59</v>
      </c>
      <c r="D141" s="24">
        <f t="shared" si="4"/>
        <v>-3.8104056123357188E-3</v>
      </c>
      <c r="E141" s="24">
        <f t="shared" si="5"/>
        <v>-3.8462327066249896E-3</v>
      </c>
    </row>
    <row r="142" spans="1:5" x14ac:dyDescent="0.35">
      <c r="A142" s="22" t="s">
        <v>106</v>
      </c>
      <c r="B142" s="22">
        <v>280.81</v>
      </c>
      <c r="C142" s="22">
        <v>120465.93</v>
      </c>
      <c r="D142" s="24">
        <f t="shared" si="4"/>
        <v>-1.3004815296474601E-2</v>
      </c>
      <c r="E142" s="24">
        <f t="shared" si="5"/>
        <v>-1.2339896421314441E-2</v>
      </c>
    </row>
    <row r="143" spans="1:5" x14ac:dyDescent="0.35">
      <c r="A143" s="22" t="s">
        <v>107</v>
      </c>
      <c r="B143" s="22">
        <v>284.51</v>
      </c>
      <c r="C143" s="22">
        <v>121971.04</v>
      </c>
      <c r="D143" s="24">
        <f t="shared" si="4"/>
        <v>-6.8765707902821386E-3</v>
      </c>
      <c r="E143" s="24">
        <f t="shared" si="5"/>
        <v>-2.080746581560545E-3</v>
      </c>
    </row>
    <row r="144" spans="1:5" x14ac:dyDescent="0.35">
      <c r="A144" s="22" t="s">
        <v>108</v>
      </c>
      <c r="B144" s="22">
        <v>286.48</v>
      </c>
      <c r="C144" s="22">
        <v>122225.36</v>
      </c>
      <c r="D144" s="24">
        <f t="shared" si="4"/>
        <v>-1.6782784775371474E-2</v>
      </c>
      <c r="E144" s="24">
        <f t="shared" si="5"/>
        <v>6.696218229088407E-4</v>
      </c>
    </row>
    <row r="145" spans="1:5" x14ac:dyDescent="0.35">
      <c r="A145" s="22" t="s">
        <v>109</v>
      </c>
      <c r="B145" s="22">
        <v>291.37</v>
      </c>
      <c r="C145" s="22">
        <v>122143.57</v>
      </c>
      <c r="D145" s="24">
        <f t="shared" si="4"/>
        <v>-1.4051682774692171E-3</v>
      </c>
      <c r="E145" s="24">
        <f t="shared" si="5"/>
        <v>-1.5710379431188356E-2</v>
      </c>
    </row>
    <row r="146" spans="1:5" x14ac:dyDescent="0.35">
      <c r="A146" s="23">
        <v>45997</v>
      </c>
      <c r="B146" s="22">
        <v>291.77999999999997</v>
      </c>
      <c r="C146" s="22">
        <v>124093.12</v>
      </c>
      <c r="D146" s="24">
        <f t="shared" si="4"/>
        <v>-1.3423499577345824E-2</v>
      </c>
      <c r="E146" s="24">
        <f t="shared" si="5"/>
        <v>-2.0872891521115404E-3</v>
      </c>
    </row>
    <row r="147" spans="1:5" x14ac:dyDescent="0.35">
      <c r="A147" s="23">
        <v>45967</v>
      </c>
      <c r="B147" s="22">
        <v>295.75</v>
      </c>
      <c r="C147" s="22">
        <v>124352.68</v>
      </c>
      <c r="D147" s="24">
        <f t="shared" si="4"/>
        <v>1.0696466406944143E-2</v>
      </c>
      <c r="E147" s="24">
        <f t="shared" si="5"/>
        <v>1.9080112148025352E-2</v>
      </c>
    </row>
    <row r="148" spans="1:5" x14ac:dyDescent="0.35">
      <c r="A148" s="23">
        <v>45936</v>
      </c>
      <c r="B148" s="22">
        <v>292.62</v>
      </c>
      <c r="C148" s="22">
        <v>122024.44</v>
      </c>
      <c r="D148" s="24">
        <f t="shared" si="4"/>
        <v>3.8985939497230573E-2</v>
      </c>
      <c r="E148" s="24">
        <f t="shared" si="5"/>
        <v>3.152226634111873E-3</v>
      </c>
    </row>
    <row r="149" spans="1:5" x14ac:dyDescent="0.35">
      <c r="A149" s="23">
        <v>45783</v>
      </c>
      <c r="B149" s="22">
        <v>281.64</v>
      </c>
      <c r="C149" s="22">
        <v>121641</v>
      </c>
      <c r="D149" s="24">
        <f t="shared" si="4"/>
        <v>2.8413126864605795E-4</v>
      </c>
      <c r="E149" s="24">
        <f t="shared" si="5"/>
        <v>-1.2961532401737008E-3</v>
      </c>
    </row>
    <row r="150" spans="1:5" x14ac:dyDescent="0.35">
      <c r="A150" s="23">
        <v>45753</v>
      </c>
      <c r="B150" s="22">
        <v>281.56</v>
      </c>
      <c r="C150" s="22">
        <v>121798.87</v>
      </c>
      <c r="D150" s="24">
        <f t="shared" si="4"/>
        <v>-2.6686946902654766E-2</v>
      </c>
      <c r="E150" s="24">
        <f t="shared" si="5"/>
        <v>1.1191284878224624E-2</v>
      </c>
    </row>
    <row r="151" spans="1:5" x14ac:dyDescent="0.35">
      <c r="A151" s="23">
        <v>45722</v>
      </c>
      <c r="B151" s="22">
        <v>289.27999999999997</v>
      </c>
      <c r="C151" s="22">
        <v>120450.87</v>
      </c>
      <c r="D151" s="24">
        <f t="shared" si="4"/>
        <v>0.10000760514107519</v>
      </c>
      <c r="E151" s="24">
        <f t="shared" si="5"/>
        <v>1.3232578897609214E-2</v>
      </c>
    </row>
    <row r="152" spans="1:5" x14ac:dyDescent="0.35">
      <c r="A152" s="23">
        <v>45694</v>
      </c>
      <c r="B152" s="22">
        <v>262.98</v>
      </c>
      <c r="C152" s="22">
        <v>118877.81</v>
      </c>
      <c r="D152" s="24">
        <f t="shared" si="4"/>
        <v>9.9322799097065539E-2</v>
      </c>
      <c r="E152" s="24">
        <f t="shared" si="5"/>
        <v>-6.7948249113613957E-3</v>
      </c>
    </row>
    <row r="153" spans="1:5" x14ac:dyDescent="0.35">
      <c r="A153" s="22" t="s">
        <v>110</v>
      </c>
      <c r="B153" s="22">
        <v>239.22</v>
      </c>
      <c r="C153" s="22">
        <v>119691.09</v>
      </c>
      <c r="D153" s="24">
        <f t="shared" si="4"/>
        <v>1.921520173831533E-2</v>
      </c>
      <c r="E153" s="24">
        <f t="shared" si="5"/>
        <v>6.0491844217026008E-3</v>
      </c>
    </row>
    <row r="154" spans="1:5" x14ac:dyDescent="0.35">
      <c r="A154" s="22" t="s">
        <v>111</v>
      </c>
      <c r="B154" s="22">
        <v>234.71</v>
      </c>
      <c r="C154" s="22">
        <v>118971.41</v>
      </c>
      <c r="D154" s="24">
        <f t="shared" si="4"/>
        <v>3.0770545749818318E-3</v>
      </c>
      <c r="E154" s="24">
        <f t="shared" si="5"/>
        <v>5.395793951150191E-3</v>
      </c>
    </row>
    <row r="155" spans="1:5" x14ac:dyDescent="0.35">
      <c r="A155" s="22" t="s">
        <v>112</v>
      </c>
      <c r="B155" s="22">
        <v>233.99</v>
      </c>
      <c r="C155" s="22">
        <v>118332.91</v>
      </c>
      <c r="D155" s="24">
        <f t="shared" si="4"/>
        <v>7.4485490398691909E-3</v>
      </c>
      <c r="E155" s="24">
        <f t="shared" si="5"/>
        <v>9.4560092139211798E-4</v>
      </c>
    </row>
    <row r="156" spans="1:5" x14ac:dyDescent="0.35">
      <c r="A156" s="22" t="s">
        <v>113</v>
      </c>
      <c r="B156" s="22">
        <v>232.26</v>
      </c>
      <c r="C156" s="22">
        <v>118221.12</v>
      </c>
      <c r="D156" s="24">
        <f t="shared" si="4"/>
        <v>-1.2583963948643856E-2</v>
      </c>
      <c r="E156" s="24">
        <f t="shared" si="5"/>
        <v>-7.4015972941664778E-3</v>
      </c>
    </row>
    <row r="157" spans="1:5" x14ac:dyDescent="0.35">
      <c r="A157" s="22" t="s">
        <v>114</v>
      </c>
      <c r="B157" s="22">
        <v>235.22</v>
      </c>
      <c r="C157" s="22">
        <v>119102.67</v>
      </c>
      <c r="D157" s="24">
        <f t="shared" si="4"/>
        <v>1.5060630906658651E-2</v>
      </c>
      <c r="E157" s="24">
        <f t="shared" si="5"/>
        <v>-4.2273365413081652E-4</v>
      </c>
    </row>
    <row r="158" spans="1:5" x14ac:dyDescent="0.35">
      <c r="A158" s="22" t="s">
        <v>115</v>
      </c>
      <c r="B158" s="22">
        <v>231.73</v>
      </c>
      <c r="C158" s="22">
        <v>119153.04</v>
      </c>
      <c r="D158" s="24">
        <f t="shared" si="4"/>
        <v>-3.4900670526009009E-2</v>
      </c>
      <c r="E158" s="24">
        <f t="shared" si="5"/>
        <v>-6.4905405137235285E-3</v>
      </c>
    </row>
    <row r="159" spans="1:5" x14ac:dyDescent="0.35">
      <c r="A159" s="22" t="s">
        <v>116</v>
      </c>
      <c r="B159" s="22">
        <v>240.11</v>
      </c>
      <c r="C159" s="22">
        <v>119931.46</v>
      </c>
      <c r="D159" s="24">
        <f t="shared" si="4"/>
        <v>-1.7593388159240549E-2</v>
      </c>
      <c r="E159" s="24">
        <f t="shared" si="5"/>
        <v>8.0719582977820063E-3</v>
      </c>
    </row>
    <row r="160" spans="1:5" x14ac:dyDescent="0.35">
      <c r="A160" s="22" t="s">
        <v>117</v>
      </c>
      <c r="B160" s="22">
        <v>244.41</v>
      </c>
      <c r="C160" s="22">
        <v>118971.13</v>
      </c>
      <c r="D160" s="24">
        <f t="shared" si="4"/>
        <v>-1.2325224278671346E-2</v>
      </c>
      <c r="E160" s="24">
        <f t="shared" si="5"/>
        <v>-6.0030263273434794E-3</v>
      </c>
    </row>
    <row r="161" spans="1:5" x14ac:dyDescent="0.35">
      <c r="A161" s="22" t="s">
        <v>118</v>
      </c>
      <c r="B161" s="22">
        <v>247.46</v>
      </c>
      <c r="C161" s="22">
        <v>119689.63</v>
      </c>
      <c r="D161" s="24">
        <f t="shared" si="4"/>
        <v>-6.3044613098823159E-3</v>
      </c>
      <c r="E161" s="24">
        <f t="shared" si="5"/>
        <v>3.3840610973054412E-4</v>
      </c>
    </row>
    <row r="162" spans="1:5" x14ac:dyDescent="0.35">
      <c r="A162" s="22" t="s">
        <v>119</v>
      </c>
      <c r="B162" s="22">
        <v>249.03</v>
      </c>
      <c r="C162" s="22">
        <v>119649.14</v>
      </c>
      <c r="D162" s="24">
        <f t="shared" si="4"/>
        <v>-2.0376853782305995E-2</v>
      </c>
      <c r="E162" s="24">
        <f t="shared" si="5"/>
        <v>-2.6072442494455453E-3</v>
      </c>
    </row>
    <row r="163" spans="1:5" x14ac:dyDescent="0.35">
      <c r="A163" s="22" t="s">
        <v>120</v>
      </c>
      <c r="B163" s="22">
        <v>254.21</v>
      </c>
      <c r="C163" s="22">
        <v>119961.91</v>
      </c>
      <c r="D163" s="24">
        <f t="shared" si="4"/>
        <v>7.370715276401877E-3</v>
      </c>
      <c r="E163" s="24">
        <f t="shared" si="5"/>
        <v>1.2024816316117948E-2</v>
      </c>
    </row>
    <row r="164" spans="1:5" x14ac:dyDescent="0.35">
      <c r="A164" s="22" t="s">
        <v>121</v>
      </c>
      <c r="B164" s="22">
        <v>252.35</v>
      </c>
      <c r="C164" s="22">
        <v>118536.53</v>
      </c>
      <c r="D164" s="24">
        <f t="shared" si="4"/>
        <v>4.4980495183504316E-3</v>
      </c>
      <c r="E164" s="24">
        <f t="shared" si="5"/>
        <v>-3.3193931751219059E-4</v>
      </c>
    </row>
    <row r="165" spans="1:5" x14ac:dyDescent="0.35">
      <c r="A165" s="22" t="s">
        <v>122</v>
      </c>
      <c r="B165" s="22">
        <v>251.22</v>
      </c>
      <c r="C165" s="22">
        <v>118575.89</v>
      </c>
      <c r="D165" s="24">
        <f t="shared" si="4"/>
        <v>2.7190579384225397E-2</v>
      </c>
      <c r="E165" s="24">
        <f t="shared" si="5"/>
        <v>1.0896715563037781E-2</v>
      </c>
    </row>
    <row r="166" spans="1:5" x14ac:dyDescent="0.35">
      <c r="A166" s="23">
        <v>45996</v>
      </c>
      <c r="B166" s="22">
        <v>244.57</v>
      </c>
      <c r="C166" s="22">
        <v>117297.73</v>
      </c>
      <c r="D166" s="24">
        <f t="shared" si="4"/>
        <v>9.9982009534946431E-2</v>
      </c>
      <c r="E166" s="24">
        <f t="shared" si="5"/>
        <v>9.4454154452956379E-2</v>
      </c>
    </row>
    <row r="167" spans="1:5" x14ac:dyDescent="0.35">
      <c r="A167" s="23">
        <v>45905</v>
      </c>
      <c r="B167" s="22">
        <v>222.34</v>
      </c>
      <c r="C167" s="22">
        <v>107174.64</v>
      </c>
      <c r="D167" s="24">
        <f t="shared" si="4"/>
        <v>6.0428292078027454E-2</v>
      </c>
      <c r="E167" s="24">
        <f t="shared" si="5"/>
        <v>3.5235507088887619E-2</v>
      </c>
    </row>
    <row r="168" spans="1:5" x14ac:dyDescent="0.35">
      <c r="A168" s="23">
        <v>45874</v>
      </c>
      <c r="B168" s="22">
        <v>209.67</v>
      </c>
      <c r="C168" s="22">
        <v>103526.82</v>
      </c>
      <c r="D168" s="24">
        <f t="shared" si="4"/>
        <v>-7.1763768372587244E-2</v>
      </c>
      <c r="E168" s="24">
        <f t="shared" si="5"/>
        <v>-5.8924344665160597E-2</v>
      </c>
    </row>
    <row r="169" spans="1:5" x14ac:dyDescent="0.35">
      <c r="A169" s="23">
        <v>45843</v>
      </c>
      <c r="B169" s="22">
        <v>225.88</v>
      </c>
      <c r="C169" s="22">
        <v>110009.03</v>
      </c>
      <c r="D169" s="24">
        <f t="shared" si="4"/>
        <v>-4.6638247583674547E-2</v>
      </c>
      <c r="E169" s="24">
        <f t="shared" si="5"/>
        <v>-3.1342138767163505E-2</v>
      </c>
    </row>
    <row r="170" spans="1:5" x14ac:dyDescent="0.35">
      <c r="A170" s="23">
        <v>45813</v>
      </c>
      <c r="B170" s="22">
        <v>236.93</v>
      </c>
      <c r="C170" s="22">
        <v>113568.51</v>
      </c>
      <c r="D170" s="24">
        <f t="shared" si="4"/>
        <v>-1.5785319652722899E-2</v>
      </c>
      <c r="E170" s="24">
        <f t="shared" si="5"/>
        <v>-4.6776469944850374E-3</v>
      </c>
    </row>
    <row r="171" spans="1:5" x14ac:dyDescent="0.35">
      <c r="A171" s="23">
        <v>45782</v>
      </c>
      <c r="B171" s="22">
        <v>240.73</v>
      </c>
      <c r="C171" s="22">
        <v>114102.24</v>
      </c>
      <c r="D171" s="24">
        <f t="shared" si="4"/>
        <v>1.5810276679841708E-3</v>
      </c>
      <c r="E171" s="24">
        <f t="shared" si="5"/>
        <v>-1.0252910380622287E-4</v>
      </c>
    </row>
    <row r="172" spans="1:5" x14ac:dyDescent="0.35">
      <c r="A172" s="23">
        <v>45693</v>
      </c>
      <c r="B172" s="22">
        <v>240.35</v>
      </c>
      <c r="C172" s="22">
        <v>114113.94</v>
      </c>
      <c r="D172" s="24">
        <f t="shared" si="4"/>
        <v>-1.6651665166516623E-2</v>
      </c>
      <c r="E172" s="24">
        <f t="shared" si="5"/>
        <v>2.5037686417744984E-2</v>
      </c>
    </row>
    <row r="173" spans="1:5" x14ac:dyDescent="0.35">
      <c r="A173" s="22" t="s">
        <v>123</v>
      </c>
      <c r="B173" s="22">
        <v>244.42</v>
      </c>
      <c r="C173" s="22">
        <v>111326.58</v>
      </c>
      <c r="D173" s="24">
        <f t="shared" si="4"/>
        <v>-3.2623766413832941E-3</v>
      </c>
      <c r="E173" s="24">
        <f t="shared" si="5"/>
        <v>-3.0865610803242276E-2</v>
      </c>
    </row>
    <row r="174" spans="1:5" x14ac:dyDescent="0.35">
      <c r="A174" s="22" t="s">
        <v>124</v>
      </c>
      <c r="B174" s="22">
        <v>245.22</v>
      </c>
      <c r="C174" s="22">
        <v>114872.18</v>
      </c>
      <c r="D174" s="24">
        <f t="shared" si="4"/>
        <v>4.6874999999999951E-2</v>
      </c>
      <c r="E174" s="24">
        <f t="shared" si="5"/>
        <v>7.0862034350920745E-3</v>
      </c>
    </row>
    <row r="175" spans="1:5" x14ac:dyDescent="0.35">
      <c r="A175" s="22" t="s">
        <v>125</v>
      </c>
      <c r="B175" s="22">
        <v>234.24</v>
      </c>
      <c r="C175" s="22">
        <v>114063.9</v>
      </c>
      <c r="D175" s="24">
        <f t="shared" si="4"/>
        <v>-1.8890052356020905E-2</v>
      </c>
      <c r="E175" s="24">
        <f t="shared" si="5"/>
        <v>-1.2171628228616612E-2</v>
      </c>
    </row>
    <row r="176" spans="1:5" x14ac:dyDescent="0.35">
      <c r="A176" s="22" t="s">
        <v>126</v>
      </c>
      <c r="B176" s="22">
        <v>238.75</v>
      </c>
      <c r="C176" s="22">
        <v>115469.35</v>
      </c>
      <c r="D176" s="24">
        <f t="shared" si="4"/>
        <v>-6.7809301938597036E-3</v>
      </c>
      <c r="E176" s="24">
        <f t="shared" si="5"/>
        <v>3.9082829376710796E-3</v>
      </c>
    </row>
    <row r="177" spans="1:5" x14ac:dyDescent="0.35">
      <c r="A177" s="22" t="s">
        <v>127</v>
      </c>
      <c r="B177" s="22">
        <v>240.38</v>
      </c>
      <c r="C177" s="22">
        <v>115019.82</v>
      </c>
      <c r="D177" s="24">
        <f t="shared" si="4"/>
        <v>7.4937552039969538E-4</v>
      </c>
      <c r="E177" s="24">
        <f t="shared" si="5"/>
        <v>-1.8821141869796009E-2</v>
      </c>
    </row>
    <row r="178" spans="1:5" x14ac:dyDescent="0.35">
      <c r="A178" s="22" t="s">
        <v>128</v>
      </c>
      <c r="B178" s="22">
        <v>240.2</v>
      </c>
      <c r="C178" s="22">
        <v>117226.15</v>
      </c>
      <c r="D178" s="24">
        <f t="shared" si="4"/>
        <v>9.3657514911441947E-2</v>
      </c>
      <c r="E178" s="24">
        <f t="shared" si="5"/>
        <v>-1.0168001698888939E-2</v>
      </c>
    </row>
    <row r="179" spans="1:5" x14ac:dyDescent="0.35">
      <c r="A179" s="22" t="s">
        <v>129</v>
      </c>
      <c r="B179" s="22">
        <v>219.63</v>
      </c>
      <c r="C179" s="22">
        <v>118430.35</v>
      </c>
      <c r="D179" s="24">
        <f t="shared" si="4"/>
        <v>-1.8808077197998607E-2</v>
      </c>
      <c r="E179" s="24">
        <f t="shared" si="5"/>
        <v>3.9676177517486969E-4</v>
      </c>
    </row>
    <row r="180" spans="1:5" x14ac:dyDescent="0.35">
      <c r="A180" s="22" t="s">
        <v>130</v>
      </c>
      <c r="B180" s="22">
        <v>223.84</v>
      </c>
      <c r="C180" s="22">
        <v>118383.38</v>
      </c>
      <c r="D180" s="24">
        <f t="shared" si="4"/>
        <v>6.3019423469630104E-2</v>
      </c>
      <c r="E180" s="24">
        <f t="shared" si="5"/>
        <v>9.1018593521969941E-3</v>
      </c>
    </row>
    <row r="181" spans="1:5" x14ac:dyDescent="0.35">
      <c r="A181" s="22" t="s">
        <v>131</v>
      </c>
      <c r="B181" s="22">
        <v>210.57</v>
      </c>
      <c r="C181" s="22">
        <v>117315.59</v>
      </c>
      <c r="D181" s="24">
        <f t="shared" si="4"/>
        <v>2.1416333523700203E-3</v>
      </c>
      <c r="E181" s="24">
        <f t="shared" si="5"/>
        <v>3.5453891677522009E-3</v>
      </c>
    </row>
    <row r="182" spans="1:5" x14ac:dyDescent="0.35">
      <c r="A182" s="22" t="s">
        <v>132</v>
      </c>
      <c r="B182" s="22">
        <v>210.12</v>
      </c>
      <c r="C182" s="22">
        <v>116901.13</v>
      </c>
      <c r="D182" s="24">
        <f t="shared" si="4"/>
        <v>-4.4065387348969755E-3</v>
      </c>
      <c r="E182" s="24">
        <f t="shared" si="5"/>
        <v>7.5936835433098974E-3</v>
      </c>
    </row>
    <row r="183" spans="1:5" x14ac:dyDescent="0.35">
      <c r="A183" s="22" t="s">
        <v>133</v>
      </c>
      <c r="B183" s="22">
        <v>211.05</v>
      </c>
      <c r="C183" s="22">
        <v>116020.11</v>
      </c>
      <c r="D183" s="24">
        <f t="shared" si="4"/>
        <v>1.5151515151515178E-2</v>
      </c>
      <c r="E183" s="24">
        <f t="shared" si="5"/>
        <v>-6.4687370210360856E-3</v>
      </c>
    </row>
    <row r="184" spans="1:5" x14ac:dyDescent="0.35">
      <c r="A184" s="22" t="s">
        <v>134</v>
      </c>
      <c r="B184" s="22">
        <v>207.9</v>
      </c>
      <c r="C184" s="22">
        <v>116775.5</v>
      </c>
      <c r="D184" s="24">
        <f t="shared" si="4"/>
        <v>5.3191489361701849E-3</v>
      </c>
      <c r="E184" s="24">
        <f t="shared" si="5"/>
        <v>3.3117954079232761E-3</v>
      </c>
    </row>
    <row r="185" spans="1:5" x14ac:dyDescent="0.35">
      <c r="A185" s="22" t="s">
        <v>135</v>
      </c>
      <c r="B185" s="22">
        <v>206.8</v>
      </c>
      <c r="C185" s="22">
        <v>116390.04</v>
      </c>
      <c r="D185" s="24">
        <f t="shared" si="4"/>
        <v>1.1741682974559714E-2</v>
      </c>
      <c r="E185" s="24">
        <f t="shared" si="5"/>
        <v>1.3379760081836476E-2</v>
      </c>
    </row>
    <row r="186" spans="1:5" x14ac:dyDescent="0.35">
      <c r="A186" s="23">
        <v>45965</v>
      </c>
      <c r="B186" s="22">
        <v>204.4</v>
      </c>
      <c r="C186" s="22">
        <v>114853.33</v>
      </c>
      <c r="D186" s="24">
        <f t="shared" si="4"/>
        <v>-2.0556806746849357E-2</v>
      </c>
      <c r="E186" s="24">
        <f t="shared" si="5"/>
        <v>-1.1497453162819547E-2</v>
      </c>
    </row>
    <row r="187" spans="1:5" x14ac:dyDescent="0.35">
      <c r="A187" s="23">
        <v>45934</v>
      </c>
      <c r="B187" s="22">
        <v>208.69</v>
      </c>
      <c r="C187" s="22">
        <v>116189.21</v>
      </c>
      <c r="D187" s="24">
        <f t="shared" si="4"/>
        <v>1.6215426567978107E-2</v>
      </c>
      <c r="E187" s="24">
        <f t="shared" si="5"/>
        <v>1.7836124729267266E-2</v>
      </c>
    </row>
    <row r="188" spans="1:5" x14ac:dyDescent="0.35">
      <c r="A188" s="23">
        <v>45904</v>
      </c>
      <c r="B188" s="22">
        <v>205.36</v>
      </c>
      <c r="C188" s="22">
        <v>114153.16</v>
      </c>
      <c r="D188" s="24">
        <f t="shared" si="4"/>
        <v>-2.106969205834678E-2</v>
      </c>
      <c r="E188" s="24">
        <f t="shared" si="5"/>
        <v>-1.1938379552823303E-2</v>
      </c>
    </row>
    <row r="189" spans="1:5" x14ac:dyDescent="0.35">
      <c r="A189" s="23">
        <v>45873</v>
      </c>
      <c r="B189" s="22">
        <v>209.78</v>
      </c>
      <c r="C189" s="22">
        <v>115532.43</v>
      </c>
      <c r="D189" s="24">
        <f t="shared" si="4"/>
        <v>-9.9579970739533969E-3</v>
      </c>
      <c r="E189" s="24">
        <f t="shared" si="5"/>
        <v>5.4211362351359125E-3</v>
      </c>
    </row>
    <row r="190" spans="1:5" x14ac:dyDescent="0.35">
      <c r="A190" s="23">
        <v>45842</v>
      </c>
      <c r="B190" s="22">
        <v>211.89</v>
      </c>
      <c r="C190" s="22">
        <v>114909.49</v>
      </c>
      <c r="D190" s="24">
        <f t="shared" si="4"/>
        <v>-1.0044851429639347E-2</v>
      </c>
      <c r="E190" s="24">
        <f t="shared" si="5"/>
        <v>-3.2680492889820702E-2</v>
      </c>
    </row>
    <row r="191" spans="1:5" x14ac:dyDescent="0.35">
      <c r="A191" s="23">
        <v>45751</v>
      </c>
      <c r="B191" s="22">
        <v>214.04</v>
      </c>
      <c r="C191" s="22">
        <v>118791.66</v>
      </c>
      <c r="D191" s="24">
        <f t="shared" si="4"/>
        <v>-6.0369647998514504E-3</v>
      </c>
      <c r="E191" s="24">
        <f t="shared" si="5"/>
        <v>-1.2313126549597694E-3</v>
      </c>
    </row>
    <row r="192" spans="1:5" x14ac:dyDescent="0.35">
      <c r="A192" s="23">
        <v>45720</v>
      </c>
      <c r="B192" s="22">
        <v>215.34</v>
      </c>
      <c r="C192" s="22">
        <v>118938.11</v>
      </c>
      <c r="D192" s="24">
        <f t="shared" si="4"/>
        <v>6.5055762081791255E-4</v>
      </c>
      <c r="E192" s="24">
        <f t="shared" si="5"/>
        <v>9.6035244160457747E-3</v>
      </c>
    </row>
    <row r="193" spans="1:5" x14ac:dyDescent="0.35">
      <c r="A193" s="22" t="s">
        <v>136</v>
      </c>
      <c r="B193" s="22">
        <v>215.2</v>
      </c>
      <c r="C193" s="22">
        <v>117806.75</v>
      </c>
      <c r="D193" s="24">
        <f t="shared" si="4"/>
        <v>-1.9478712549856967E-3</v>
      </c>
      <c r="E193" s="24">
        <f t="shared" si="5"/>
        <v>2.9242867020271853E-4</v>
      </c>
    </row>
    <row r="194" spans="1:5" x14ac:dyDescent="0.35">
      <c r="A194" s="22" t="s">
        <v>137</v>
      </c>
      <c r="B194" s="22">
        <v>215.62</v>
      </c>
      <c r="C194" s="22">
        <v>117772.31</v>
      </c>
      <c r="D194" s="24">
        <f t="shared" si="4"/>
        <v>2.6971726190476771E-3</v>
      </c>
      <c r="E194" s="24">
        <f t="shared" si="5"/>
        <v>9.7668613482768188E-3</v>
      </c>
    </row>
    <row r="195" spans="1:5" x14ac:dyDescent="0.35">
      <c r="A195" s="22" t="s">
        <v>138</v>
      </c>
      <c r="B195" s="22">
        <v>215.04</v>
      </c>
      <c r="C195" s="22">
        <v>116633.17</v>
      </c>
      <c r="D195" s="24">
        <f t="shared" si="4"/>
        <v>-5.8252427184466906E-3</v>
      </c>
      <c r="E195" s="24">
        <f t="shared" si="5"/>
        <v>1.6622348990833439E-3</v>
      </c>
    </row>
    <row r="196" spans="1:5" x14ac:dyDescent="0.35">
      <c r="A196" s="22" t="s">
        <v>139</v>
      </c>
      <c r="B196" s="22">
        <v>216.3</v>
      </c>
      <c r="C196" s="22">
        <v>116439.62</v>
      </c>
      <c r="D196" s="24">
        <f t="shared" si="4"/>
        <v>-3.9143449228643528E-3</v>
      </c>
      <c r="E196" s="24">
        <f t="shared" si="5"/>
        <v>-1.6907490220122577E-2</v>
      </c>
    </row>
    <row r="197" spans="1:5" x14ac:dyDescent="0.35">
      <c r="A197" s="22" t="s">
        <v>140</v>
      </c>
      <c r="B197" s="22">
        <v>217.15</v>
      </c>
      <c r="C197" s="22">
        <v>118442.18</v>
      </c>
      <c r="D197" s="24">
        <f t="shared" ref="D197:D260" si="6">(B197-B198)/B198</f>
        <v>-1.6091954022988244E-3</v>
      </c>
      <c r="E197" s="24">
        <f t="shared" ref="E197:E260" si="7">(C197-C198)/C198</f>
        <v>-2.7581934359223819E-3</v>
      </c>
    </row>
    <row r="198" spans="1:5" x14ac:dyDescent="0.35">
      <c r="A198" s="22" t="s">
        <v>141</v>
      </c>
      <c r="B198" s="22">
        <v>217.5</v>
      </c>
      <c r="C198" s="22">
        <v>118769.77</v>
      </c>
      <c r="D198" s="24">
        <f t="shared" si="6"/>
        <v>4.8510048510049036E-3</v>
      </c>
      <c r="E198" s="24">
        <f t="shared" si="7"/>
        <v>6.7450438032845474E-3</v>
      </c>
    </row>
    <row r="199" spans="1:5" x14ac:dyDescent="0.35">
      <c r="A199" s="22" t="s">
        <v>142</v>
      </c>
      <c r="B199" s="22">
        <v>216.45</v>
      </c>
      <c r="C199" s="22">
        <v>117974.03</v>
      </c>
      <c r="D199" s="24">
        <f t="shared" si="6"/>
        <v>-4.6197911854473465E-5</v>
      </c>
      <c r="E199" s="24">
        <f t="shared" si="7"/>
        <v>8.3156490251501281E-3</v>
      </c>
    </row>
    <row r="200" spans="1:5" x14ac:dyDescent="0.35">
      <c r="A200" s="22" t="s">
        <v>143</v>
      </c>
      <c r="B200" s="22">
        <v>216.46</v>
      </c>
      <c r="C200" s="22">
        <v>117001.09</v>
      </c>
      <c r="D200" s="24">
        <f t="shared" si="6"/>
        <v>5.2360348096650348E-2</v>
      </c>
      <c r="E200" s="24">
        <f t="shared" si="7"/>
        <v>6.8976146989847388E-3</v>
      </c>
    </row>
    <row r="201" spans="1:5" x14ac:dyDescent="0.35">
      <c r="A201" s="22" t="s">
        <v>144</v>
      </c>
      <c r="B201" s="22">
        <v>205.69</v>
      </c>
      <c r="C201" s="22">
        <v>116199.59</v>
      </c>
      <c r="D201" s="24">
        <f t="shared" si="6"/>
        <v>1.2503076544425262E-2</v>
      </c>
      <c r="E201" s="24">
        <f t="shared" si="7"/>
        <v>5.7420979075210668E-3</v>
      </c>
    </row>
    <row r="202" spans="1:5" x14ac:dyDescent="0.35">
      <c r="A202" s="22" t="s">
        <v>145</v>
      </c>
      <c r="B202" s="22">
        <v>203.15</v>
      </c>
      <c r="C202" s="22">
        <v>115536.17</v>
      </c>
      <c r="D202" s="24">
        <f t="shared" si="6"/>
        <v>-8.3471639168212815E-3</v>
      </c>
      <c r="E202" s="24">
        <f t="shared" si="7"/>
        <v>3.8397229956945978E-3</v>
      </c>
    </row>
    <row r="203" spans="1:5" x14ac:dyDescent="0.35">
      <c r="A203" s="22" t="s">
        <v>146</v>
      </c>
      <c r="B203" s="22">
        <v>204.86</v>
      </c>
      <c r="C203" s="22">
        <v>115094.24</v>
      </c>
      <c r="D203" s="24">
        <f t="shared" si="6"/>
        <v>8.9140605762127664E-3</v>
      </c>
      <c r="E203" s="24">
        <f t="shared" si="7"/>
        <v>8.8504542333256702E-3</v>
      </c>
    </row>
    <row r="204" spans="1:5" x14ac:dyDescent="0.35">
      <c r="A204" s="23">
        <v>45994</v>
      </c>
      <c r="B204" s="22">
        <v>203.05</v>
      </c>
      <c r="C204" s="22">
        <v>114084.54</v>
      </c>
      <c r="D204" s="24">
        <f t="shared" si="6"/>
        <v>-1.2162490878131841E-2</v>
      </c>
      <c r="E204" s="24">
        <f t="shared" si="7"/>
        <v>-8.1557110208783305E-4</v>
      </c>
    </row>
    <row r="205" spans="1:5" x14ac:dyDescent="0.35">
      <c r="A205" s="23">
        <v>45964</v>
      </c>
      <c r="B205" s="22">
        <v>205.55</v>
      </c>
      <c r="C205" s="22">
        <v>114177.66</v>
      </c>
      <c r="D205" s="24">
        <f t="shared" si="6"/>
        <v>-5.9964214904007964E-3</v>
      </c>
      <c r="E205" s="24">
        <f t="shared" si="7"/>
        <v>-1.5624844236882102E-3</v>
      </c>
    </row>
    <row r="206" spans="1:5" x14ac:dyDescent="0.35">
      <c r="A206" s="23">
        <v>45933</v>
      </c>
      <c r="B206" s="22">
        <v>206.79</v>
      </c>
      <c r="C206" s="22">
        <v>114356.34</v>
      </c>
      <c r="D206" s="24">
        <f t="shared" si="6"/>
        <v>1.6916646176542895E-2</v>
      </c>
      <c r="E206" s="24">
        <f t="shared" si="7"/>
        <v>-3.7028392805163506E-4</v>
      </c>
    </row>
    <row r="207" spans="1:5" x14ac:dyDescent="0.35">
      <c r="A207" s="23">
        <v>45841</v>
      </c>
      <c r="B207" s="22">
        <v>203.35</v>
      </c>
      <c r="C207" s="22">
        <v>114398.7</v>
      </c>
      <c r="D207" s="24">
        <f t="shared" si="6"/>
        <v>-7.9519953166162331E-3</v>
      </c>
      <c r="E207" s="24">
        <f t="shared" si="7"/>
        <v>6.0285008298950407E-3</v>
      </c>
    </row>
    <row r="208" spans="1:5" x14ac:dyDescent="0.35">
      <c r="A208" s="23">
        <v>45811</v>
      </c>
      <c r="B208" s="22">
        <v>204.98</v>
      </c>
      <c r="C208" s="22">
        <v>113713.18</v>
      </c>
      <c r="D208" s="24">
        <f t="shared" si="6"/>
        <v>-2.0031553282019401E-2</v>
      </c>
      <c r="E208" s="24">
        <f t="shared" si="7"/>
        <v>1.3001078983902173E-2</v>
      </c>
    </row>
    <row r="209" spans="1:5" x14ac:dyDescent="0.35">
      <c r="A209" s="23">
        <v>45780</v>
      </c>
      <c r="B209" s="22">
        <v>209.17</v>
      </c>
      <c r="C209" s="22">
        <v>112253.75999999999</v>
      </c>
      <c r="D209" s="24">
        <f t="shared" si="6"/>
        <v>-1.6549908317269314E-2</v>
      </c>
      <c r="E209" s="24">
        <f t="shared" si="7"/>
        <v>-4.3464917804793531E-3</v>
      </c>
    </row>
    <row r="210" spans="1:5" x14ac:dyDescent="0.35">
      <c r="A210" s="23">
        <v>45750</v>
      </c>
      <c r="B210" s="22">
        <v>212.69</v>
      </c>
      <c r="C210" s="22">
        <v>112743.8</v>
      </c>
      <c r="D210" s="24">
        <f t="shared" si="6"/>
        <v>5.1037285572514725E-3</v>
      </c>
      <c r="E210" s="24">
        <f t="shared" si="7"/>
        <v>6.7589161552749927E-3</v>
      </c>
    </row>
    <row r="211" spans="1:5" x14ac:dyDescent="0.35">
      <c r="A211" s="23">
        <v>45719</v>
      </c>
      <c r="B211" s="22">
        <v>211.61</v>
      </c>
      <c r="C211" s="22">
        <v>111986.89</v>
      </c>
      <c r="D211" s="24">
        <f t="shared" si="6"/>
        <v>1.7649321919784629E-2</v>
      </c>
      <c r="E211" s="24">
        <f t="shared" si="7"/>
        <v>-1.1167870637139381E-2</v>
      </c>
    </row>
    <row r="212" spans="1:5" x14ac:dyDescent="0.35">
      <c r="A212" s="22" t="s">
        <v>147</v>
      </c>
      <c r="B212" s="22">
        <v>207.94</v>
      </c>
      <c r="C212" s="22">
        <v>113251.67</v>
      </c>
      <c r="D212" s="24">
        <f t="shared" si="6"/>
        <v>-3.5931197552042285E-2</v>
      </c>
      <c r="E212" s="24">
        <f t="shared" si="7"/>
        <v>-4.6811374960220743E-3</v>
      </c>
    </row>
    <row r="213" spans="1:5" x14ac:dyDescent="0.35">
      <c r="A213" s="22" t="s">
        <v>148</v>
      </c>
      <c r="B213" s="22">
        <v>215.69</v>
      </c>
      <c r="C213" s="22">
        <v>113784.31</v>
      </c>
      <c r="D213" s="24">
        <f t="shared" si="6"/>
        <v>1.3771385598796799E-2</v>
      </c>
      <c r="E213" s="24">
        <f t="shared" si="7"/>
        <v>-6.8521345031323413E-4</v>
      </c>
    </row>
    <row r="214" spans="1:5" x14ac:dyDescent="0.35">
      <c r="A214" s="22" t="s">
        <v>149</v>
      </c>
      <c r="B214" s="22">
        <v>212.76</v>
      </c>
      <c r="C214" s="22">
        <v>113862.33</v>
      </c>
      <c r="D214" s="24">
        <f t="shared" si="6"/>
        <v>5.1497479489967316E-2</v>
      </c>
      <c r="E214" s="24">
        <f t="shared" si="7"/>
        <v>-5.8130717101804001E-3</v>
      </c>
    </row>
    <row r="215" spans="1:5" x14ac:dyDescent="0.35">
      <c r="A215" s="22" t="s">
        <v>150</v>
      </c>
      <c r="B215" s="22">
        <v>202.34</v>
      </c>
      <c r="C215" s="22">
        <v>114528.09</v>
      </c>
      <c r="D215" s="24">
        <f t="shared" si="6"/>
        <v>6.6912733983654091E-2</v>
      </c>
      <c r="E215" s="24">
        <f t="shared" si="7"/>
        <v>1.7317399355024677E-3</v>
      </c>
    </row>
    <row r="216" spans="1:5" x14ac:dyDescent="0.35">
      <c r="A216" s="22" t="s">
        <v>151</v>
      </c>
      <c r="B216" s="22">
        <v>189.65</v>
      </c>
      <c r="C216" s="22">
        <v>114330.1</v>
      </c>
      <c r="D216" s="24">
        <f t="shared" si="6"/>
        <v>2.9978819312442354E-2</v>
      </c>
      <c r="E216" s="24">
        <f t="shared" si="7"/>
        <v>1.3556359863345213E-2</v>
      </c>
    </row>
    <row r="217" spans="1:5" x14ac:dyDescent="0.35">
      <c r="A217" s="22" t="s">
        <v>152</v>
      </c>
      <c r="B217" s="22">
        <v>184.13</v>
      </c>
      <c r="C217" s="22">
        <v>112800.93</v>
      </c>
      <c r="D217" s="24">
        <f t="shared" si="6"/>
        <v>1.1758887850980747E-2</v>
      </c>
      <c r="E217" s="24">
        <f t="shared" si="7"/>
        <v>-8.2489619230528034E-3</v>
      </c>
    </row>
    <row r="218" spans="1:5" x14ac:dyDescent="0.35">
      <c r="A218" s="22" t="s">
        <v>153</v>
      </c>
      <c r="B218" s="22">
        <v>181.99</v>
      </c>
      <c r="C218" s="22">
        <v>113739.16</v>
      </c>
      <c r="D218" s="24">
        <f t="shared" si="6"/>
        <v>1.1167907545282917E-2</v>
      </c>
      <c r="E218" s="24">
        <f t="shared" si="7"/>
        <v>3.5001893377273434E-3</v>
      </c>
    </row>
    <row r="219" spans="1:5" x14ac:dyDescent="0.35">
      <c r="A219" s="22" t="s">
        <v>154</v>
      </c>
      <c r="B219" s="22">
        <v>179.98</v>
      </c>
      <c r="C219" s="22">
        <v>113342.44</v>
      </c>
      <c r="D219" s="24">
        <f t="shared" si="6"/>
        <v>9.3657114014917137E-3</v>
      </c>
      <c r="E219" s="24">
        <f t="shared" si="7"/>
        <v>2.2456752447287858E-3</v>
      </c>
    </row>
    <row r="220" spans="1:5" x14ac:dyDescent="0.35">
      <c r="A220" s="22" t="s">
        <v>155</v>
      </c>
      <c r="B220" s="22">
        <v>178.31</v>
      </c>
      <c r="C220" s="22">
        <v>113088.48</v>
      </c>
      <c r="D220" s="24">
        <f t="shared" si="6"/>
        <v>8.4193982936689319E-4</v>
      </c>
      <c r="E220" s="24">
        <f t="shared" si="7"/>
        <v>1.2036043608072854E-2</v>
      </c>
    </row>
    <row r="221" spans="1:5" x14ac:dyDescent="0.35">
      <c r="A221" s="22" t="s">
        <v>156</v>
      </c>
      <c r="B221" s="22">
        <v>178.16</v>
      </c>
      <c r="C221" s="22">
        <v>111743.53</v>
      </c>
      <c r="D221" s="24">
        <f t="shared" si="6"/>
        <v>-6.5242848380082296E-3</v>
      </c>
      <c r="E221" s="24">
        <f t="shared" si="7"/>
        <v>-3.0491955680183223E-3</v>
      </c>
    </row>
    <row r="222" spans="1:5" x14ac:dyDescent="0.35">
      <c r="A222" s="22" t="s">
        <v>157</v>
      </c>
      <c r="B222" s="22">
        <v>179.33</v>
      </c>
      <c r="C222" s="22">
        <v>112085.3</v>
      </c>
      <c r="D222" s="24">
        <f t="shared" si="6"/>
        <v>-7.2519929140831153E-3</v>
      </c>
      <c r="E222" s="24">
        <f t="shared" si="7"/>
        <v>-4.2533994858750578E-3</v>
      </c>
    </row>
    <row r="223" spans="1:5" x14ac:dyDescent="0.35">
      <c r="A223" s="22" t="s">
        <v>158</v>
      </c>
      <c r="B223" s="22">
        <v>180.64</v>
      </c>
      <c r="C223" s="22">
        <v>112564.08</v>
      </c>
      <c r="D223" s="24">
        <f t="shared" si="6"/>
        <v>-9.1058694459683204E-3</v>
      </c>
      <c r="E223" s="24">
        <f t="shared" si="7"/>
        <v>-3.1955739803802472E-3</v>
      </c>
    </row>
    <row r="224" spans="1:5" x14ac:dyDescent="0.35">
      <c r="A224" s="23">
        <v>45993</v>
      </c>
      <c r="B224" s="22">
        <v>182.3</v>
      </c>
      <c r="C224" s="22">
        <v>112924.94</v>
      </c>
      <c r="D224" s="24">
        <f t="shared" si="6"/>
        <v>-1.6720604099244845E-2</v>
      </c>
      <c r="E224" s="24">
        <f t="shared" si="7"/>
        <v>-7.5603674635907185E-4</v>
      </c>
    </row>
    <row r="225" spans="1:5" x14ac:dyDescent="0.35">
      <c r="A225" s="23">
        <v>45963</v>
      </c>
      <c r="B225" s="22">
        <v>185.4</v>
      </c>
      <c r="C225" s="22">
        <v>113010.38</v>
      </c>
      <c r="D225" s="24">
        <f t="shared" si="6"/>
        <v>1.8289668808700019E-2</v>
      </c>
      <c r="E225" s="24">
        <f t="shared" si="7"/>
        <v>1.4656489070504729E-2</v>
      </c>
    </row>
    <row r="226" spans="1:5" x14ac:dyDescent="0.35">
      <c r="A226" s="23">
        <v>45932</v>
      </c>
      <c r="B226" s="22">
        <v>182.07</v>
      </c>
      <c r="C226" s="22">
        <v>111377.97</v>
      </c>
      <c r="D226" s="24">
        <f t="shared" si="6"/>
        <v>1.0489510489510414E-2</v>
      </c>
      <c r="E226" s="24">
        <f t="shared" si="7"/>
        <v>9.563106276899427E-3</v>
      </c>
    </row>
    <row r="227" spans="1:5" x14ac:dyDescent="0.35">
      <c r="A227" s="23">
        <v>45840</v>
      </c>
      <c r="B227" s="22">
        <v>180.18</v>
      </c>
      <c r="C227" s="22">
        <v>110322.94</v>
      </c>
      <c r="D227" s="24">
        <f t="shared" si="6"/>
        <v>8.8879013442948879E-4</v>
      </c>
      <c r="E227" s="24">
        <f t="shared" si="7"/>
        <v>1.9745939208616514E-4</v>
      </c>
    </row>
    <row r="228" spans="1:5" x14ac:dyDescent="0.35">
      <c r="A228" s="23">
        <v>45810</v>
      </c>
      <c r="B228" s="22">
        <v>180.02</v>
      </c>
      <c r="C228" s="22">
        <v>110301.16</v>
      </c>
      <c r="D228" s="24">
        <f t="shared" si="6"/>
        <v>-1.125940572307345E-2</v>
      </c>
      <c r="E228" s="24">
        <f t="shared" si="7"/>
        <v>-1.4599673490186937E-2</v>
      </c>
    </row>
    <row r="229" spans="1:5" x14ac:dyDescent="0.35">
      <c r="A229" s="23">
        <v>45749</v>
      </c>
      <c r="B229" s="22">
        <v>182.07</v>
      </c>
      <c r="C229" s="22">
        <v>111935.38</v>
      </c>
      <c r="D229" s="24">
        <f t="shared" si="6"/>
        <v>1.0882238631947028E-2</v>
      </c>
      <c r="E229" s="24">
        <f t="shared" si="7"/>
        <v>-7.1810716944367657E-3</v>
      </c>
    </row>
    <row r="230" spans="1:5" x14ac:dyDescent="0.35">
      <c r="A230" s="23">
        <v>45718</v>
      </c>
      <c r="B230" s="22">
        <v>180.11</v>
      </c>
      <c r="C230" s="22">
        <v>112745.01</v>
      </c>
      <c r="D230" s="24">
        <f t="shared" si="6"/>
        <v>-1.0493352378859446E-2</v>
      </c>
      <c r="E230" s="24">
        <f t="shared" si="7"/>
        <v>-1.3222269027557753E-2</v>
      </c>
    </row>
    <row r="231" spans="1:5" x14ac:dyDescent="0.35">
      <c r="A231" s="22" t="s">
        <v>159</v>
      </c>
      <c r="B231" s="22">
        <v>182.02</v>
      </c>
      <c r="C231" s="22">
        <v>114255.73</v>
      </c>
      <c r="D231" s="24">
        <f t="shared" si="6"/>
        <v>1.234705228031145E-2</v>
      </c>
      <c r="E231" s="24">
        <f t="shared" si="7"/>
        <v>9.2691755943127042E-3</v>
      </c>
    </row>
    <row r="232" spans="1:5" x14ac:dyDescent="0.35">
      <c r="A232" s="22" t="s">
        <v>160</v>
      </c>
      <c r="B232" s="22">
        <v>179.8</v>
      </c>
      <c r="C232" s="22">
        <v>113206.39999999999</v>
      </c>
      <c r="D232" s="24">
        <f t="shared" si="6"/>
        <v>2.0062416406599068E-3</v>
      </c>
      <c r="E232" s="24">
        <f t="shared" si="7"/>
        <v>1.5419147067434313E-2</v>
      </c>
    </row>
    <row r="233" spans="1:5" x14ac:dyDescent="0.35">
      <c r="A233" s="22" t="s">
        <v>161</v>
      </c>
      <c r="B233" s="22">
        <v>179.44</v>
      </c>
      <c r="C233" s="22">
        <v>111487.36</v>
      </c>
      <c r="D233" s="24">
        <f t="shared" si="6"/>
        <v>-1.0641230633511644E-2</v>
      </c>
      <c r="E233" s="24">
        <f t="shared" si="7"/>
        <v>-4.8469004294907202E-3</v>
      </c>
    </row>
    <row r="234" spans="1:5" x14ac:dyDescent="0.35">
      <c r="A234" s="22" t="s">
        <v>162</v>
      </c>
      <c r="B234" s="22">
        <v>181.37</v>
      </c>
      <c r="C234" s="22">
        <v>112030.36</v>
      </c>
      <c r="D234" s="24">
        <f t="shared" si="6"/>
        <v>-2.090784044016481E-3</v>
      </c>
      <c r="E234" s="24">
        <f t="shared" si="7"/>
        <v>-1.3125051092174567E-2</v>
      </c>
    </row>
    <row r="235" spans="1:5" x14ac:dyDescent="0.35">
      <c r="A235" s="22" t="s">
        <v>163</v>
      </c>
      <c r="B235" s="22">
        <v>181.75</v>
      </c>
      <c r="C235" s="22">
        <v>113520.32000000001</v>
      </c>
      <c r="D235" s="24">
        <f t="shared" si="6"/>
        <v>-1.1798608090474052E-2</v>
      </c>
      <c r="E235" s="24">
        <f t="shared" si="7"/>
        <v>-1.1839869415598751E-2</v>
      </c>
    </row>
    <row r="236" spans="1:5" x14ac:dyDescent="0.35">
      <c r="A236" s="22" t="s">
        <v>164</v>
      </c>
      <c r="B236" s="22">
        <v>183.92</v>
      </c>
      <c r="C236" s="22">
        <v>114880.49</v>
      </c>
      <c r="D236" s="24">
        <f t="shared" si="6"/>
        <v>-1.0810520088205343E-2</v>
      </c>
      <c r="E236" s="24">
        <f t="shared" si="7"/>
        <v>7.3896556571292002E-3</v>
      </c>
    </row>
    <row r="237" spans="1:5" x14ac:dyDescent="0.35">
      <c r="A237" s="22" t="s">
        <v>165</v>
      </c>
      <c r="B237" s="22">
        <v>185.93</v>
      </c>
      <c r="C237" s="22">
        <v>114037.79</v>
      </c>
      <c r="D237" s="24">
        <f t="shared" si="6"/>
        <v>4.8428755919072001E-4</v>
      </c>
      <c r="E237" s="24">
        <f t="shared" si="7"/>
        <v>5.2392633050675624E-3</v>
      </c>
    </row>
    <row r="238" spans="1:5" x14ac:dyDescent="0.35">
      <c r="A238" s="22" t="s">
        <v>166</v>
      </c>
      <c r="B238" s="22">
        <v>185.84</v>
      </c>
      <c r="C238" s="22">
        <v>113443.43</v>
      </c>
      <c r="D238" s="24">
        <f t="shared" si="6"/>
        <v>-1.1436778552050671E-2</v>
      </c>
      <c r="E238" s="24">
        <f t="shared" si="7"/>
        <v>-1.3897676723117003E-2</v>
      </c>
    </row>
    <row r="239" spans="1:5" x14ac:dyDescent="0.35">
      <c r="A239" s="22" t="s">
        <v>167</v>
      </c>
      <c r="B239" s="22">
        <v>187.99</v>
      </c>
      <c r="C239" s="22">
        <v>115042.25</v>
      </c>
      <c r="D239" s="24">
        <f t="shared" si="6"/>
        <v>5.9934713972280441E-3</v>
      </c>
      <c r="E239" s="24">
        <f t="shared" si="7"/>
        <v>-6.9279748546374961E-3</v>
      </c>
    </row>
    <row r="240" spans="1:5" x14ac:dyDescent="0.35">
      <c r="A240" s="22" t="s">
        <v>168</v>
      </c>
      <c r="B240" s="22">
        <v>186.87</v>
      </c>
      <c r="C240" s="22">
        <v>115844.82</v>
      </c>
      <c r="D240" s="24">
        <f t="shared" si="6"/>
        <v>-1.174044105981278E-2</v>
      </c>
      <c r="E240" s="24">
        <f t="shared" si="7"/>
        <v>4.9685925681223521E-3</v>
      </c>
    </row>
    <row r="241" spans="1:5" x14ac:dyDescent="0.35">
      <c r="A241" s="22" t="s">
        <v>169</v>
      </c>
      <c r="B241" s="22">
        <v>189.09</v>
      </c>
      <c r="C241" s="22">
        <v>115272.08</v>
      </c>
      <c r="D241" s="24">
        <f t="shared" si="6"/>
        <v>1.2708498808578718E-3</v>
      </c>
      <c r="E241" s="24">
        <f t="shared" si="7"/>
        <v>1.2608758824260045E-2</v>
      </c>
    </row>
    <row r="242" spans="1:5" x14ac:dyDescent="0.35">
      <c r="A242" s="22" t="s">
        <v>170</v>
      </c>
      <c r="B242" s="22">
        <v>188.85</v>
      </c>
      <c r="C242" s="22">
        <v>113836.74</v>
      </c>
      <c r="D242" s="24">
        <f t="shared" si="6"/>
        <v>4.5212765957446509E-3</v>
      </c>
      <c r="E242" s="24">
        <f t="shared" si="7"/>
        <v>-5.7554121460096728E-3</v>
      </c>
    </row>
    <row r="243" spans="1:5" x14ac:dyDescent="0.35">
      <c r="A243" s="22" t="s">
        <v>171</v>
      </c>
      <c r="B243" s="22">
        <v>188</v>
      </c>
      <c r="C243" s="22">
        <v>114495.71</v>
      </c>
      <c r="D243" s="24">
        <f t="shared" si="6"/>
        <v>-6.3424947145876778E-3</v>
      </c>
      <c r="E243" s="24">
        <f t="shared" si="7"/>
        <v>-2.6868362011588241E-3</v>
      </c>
    </row>
    <row r="244" spans="1:5" x14ac:dyDescent="0.35">
      <c r="A244" s="22" t="s">
        <v>172</v>
      </c>
      <c r="B244" s="22">
        <v>189.2</v>
      </c>
      <c r="C244" s="22">
        <v>114804.17</v>
      </c>
      <c r="D244" s="24">
        <f t="shared" si="6"/>
        <v>-2.7934433141833192E-3</v>
      </c>
      <c r="E244" s="24">
        <f t="shared" si="7"/>
        <v>5.0259099925186118E-3</v>
      </c>
    </row>
    <row r="245" spans="1:5" x14ac:dyDescent="0.35">
      <c r="A245" s="22" t="s">
        <v>173</v>
      </c>
      <c r="B245" s="22">
        <v>189.73</v>
      </c>
      <c r="C245" s="22">
        <v>114230.06</v>
      </c>
      <c r="D245" s="24">
        <f t="shared" si="6"/>
        <v>-6.4931664659371056E-3</v>
      </c>
      <c r="E245" s="24">
        <f t="shared" si="7"/>
        <v>8.6780884558032619E-3</v>
      </c>
    </row>
    <row r="246" spans="1:5" x14ac:dyDescent="0.35">
      <c r="A246" s="23">
        <v>45931</v>
      </c>
      <c r="B246" s="22">
        <v>190.97</v>
      </c>
      <c r="C246" s="22">
        <v>113247.29</v>
      </c>
      <c r="D246" s="24">
        <f t="shared" si="6"/>
        <v>5.0523656649650436E-3</v>
      </c>
      <c r="E246" s="24">
        <f t="shared" si="7"/>
        <v>5.4069549724933509E-3</v>
      </c>
    </row>
    <row r="247" spans="1:5" x14ac:dyDescent="0.35">
      <c r="A247" s="23">
        <v>45901</v>
      </c>
      <c r="B247" s="22">
        <v>190.01</v>
      </c>
      <c r="C247" s="22">
        <v>112638.26</v>
      </c>
      <c r="D247" s="24">
        <f t="shared" si="6"/>
        <v>5.7925223801993269E-4</v>
      </c>
      <c r="E247" s="24">
        <f t="shared" si="7"/>
        <v>-1.3230139066265209E-2</v>
      </c>
    </row>
    <row r="248" spans="1:5" x14ac:dyDescent="0.35">
      <c r="A248" s="23">
        <v>45870</v>
      </c>
      <c r="B248" s="22">
        <v>189.9</v>
      </c>
      <c r="C248" s="22">
        <v>114148.46</v>
      </c>
      <c r="D248" s="24">
        <f t="shared" si="6"/>
        <v>3.646741715554134E-3</v>
      </c>
      <c r="E248" s="24">
        <f t="shared" si="7"/>
        <v>-1.6408238051891493E-2</v>
      </c>
    </row>
    <row r="249" spans="1:5" x14ac:dyDescent="0.35">
      <c r="A249" s="23">
        <v>45839</v>
      </c>
      <c r="B249" s="22">
        <v>189.21</v>
      </c>
      <c r="C249" s="22">
        <v>116052.68</v>
      </c>
      <c r="D249" s="24">
        <f t="shared" si="6"/>
        <v>-4.3675015786149452E-3</v>
      </c>
      <c r="E249" s="24">
        <f t="shared" si="7"/>
        <v>-1.7414285287884641E-3</v>
      </c>
    </row>
    <row r="250" spans="1:5" x14ac:dyDescent="0.35">
      <c r="A250" s="23">
        <v>45809</v>
      </c>
      <c r="B250" s="22">
        <v>190.04</v>
      </c>
      <c r="C250" s="22">
        <v>116255.13</v>
      </c>
      <c r="D250" s="24">
        <f t="shared" si="6"/>
        <v>-1.3240562853730781E-2</v>
      </c>
      <c r="E250" s="24">
        <f t="shared" si="7"/>
        <v>-1.1326509108406315E-2</v>
      </c>
    </row>
    <row r="251" spans="1:5" x14ac:dyDescent="0.35">
      <c r="A251" s="23">
        <v>45717</v>
      </c>
      <c r="B251" s="22">
        <v>192.59</v>
      </c>
      <c r="C251" s="22">
        <v>117586.98</v>
      </c>
      <c r="D251" s="24">
        <f t="shared" si="6"/>
        <v>1.3631578947368439E-2</v>
      </c>
      <c r="E251" s="24">
        <f t="shared" si="7"/>
        <v>3.9901072117182754E-3</v>
      </c>
    </row>
    <row r="252" spans="1:5" x14ac:dyDescent="0.35">
      <c r="A252" s="23">
        <v>45689</v>
      </c>
      <c r="B252" s="22">
        <v>190</v>
      </c>
      <c r="C252" s="22">
        <v>117119.66</v>
      </c>
      <c r="D252" s="24">
        <f t="shared" si="6"/>
        <v>-1.5544041450777202E-2</v>
      </c>
      <c r="E252" s="24">
        <f t="shared" si="7"/>
        <v>9.5360935757600452E-4</v>
      </c>
    </row>
    <row r="253" spans="1:5" x14ac:dyDescent="0.35">
      <c r="A253" s="23">
        <v>45658</v>
      </c>
      <c r="B253" s="22">
        <v>193</v>
      </c>
      <c r="C253" s="22">
        <v>117008.08</v>
      </c>
      <c r="D253" s="24">
        <f t="shared" si="6"/>
        <v>1.5789473684210527E-2</v>
      </c>
      <c r="E253" s="24">
        <f t="shared" si="7"/>
        <v>1.6340056059878341E-2</v>
      </c>
    </row>
    <row r="254" spans="1:5" x14ac:dyDescent="0.35">
      <c r="A254" s="22" t="s">
        <v>174</v>
      </c>
      <c r="B254" s="22">
        <v>190</v>
      </c>
      <c r="C254" s="22">
        <v>115126.9</v>
      </c>
      <c r="D254" s="24">
        <f t="shared" si="6"/>
        <v>-2.0618556701030927E-2</v>
      </c>
      <c r="E254" s="24">
        <f t="shared" si="7"/>
        <v>-1.1461144032136824E-3</v>
      </c>
    </row>
    <row r="255" spans="1:5" x14ac:dyDescent="0.35">
      <c r="A255" s="22" t="s">
        <v>175</v>
      </c>
      <c r="B255" s="22">
        <v>194</v>
      </c>
      <c r="C255" s="22">
        <v>115259</v>
      </c>
      <c r="D255" s="24">
        <f t="shared" si="6"/>
        <v>3.7433155080213901E-2</v>
      </c>
      <c r="E255" s="24">
        <f t="shared" si="7"/>
        <v>3.5094554004726372E-2</v>
      </c>
    </row>
    <row r="256" spans="1:5" x14ac:dyDescent="0.35">
      <c r="A256" s="22" t="s">
        <v>176</v>
      </c>
      <c r="B256" s="22">
        <v>187</v>
      </c>
      <c r="C256" s="22">
        <v>111351.18</v>
      </c>
      <c r="D256" s="24">
        <f t="shared" si="6"/>
        <v>-1.5789473684210527E-2</v>
      </c>
      <c r="E256" s="24">
        <f t="shared" si="7"/>
        <v>8.4027540559366079E-3</v>
      </c>
    </row>
    <row r="257" spans="1:5" x14ac:dyDescent="0.35">
      <c r="A257" s="22" t="s">
        <v>177</v>
      </c>
      <c r="B257" s="22">
        <v>190</v>
      </c>
      <c r="C257" s="22">
        <v>110423.32</v>
      </c>
      <c r="D257" s="24">
        <f t="shared" si="6"/>
        <v>0</v>
      </c>
      <c r="E257" s="24">
        <f t="shared" si="7"/>
        <v>-1.7715548333889376E-2</v>
      </c>
    </row>
    <row r="258" spans="1:5" x14ac:dyDescent="0.35">
      <c r="A258" s="22" t="s">
        <v>178</v>
      </c>
      <c r="B258" s="22">
        <v>190</v>
      </c>
      <c r="C258" s="22">
        <v>112414.81</v>
      </c>
      <c r="D258" s="24">
        <f t="shared" si="6"/>
        <v>-2.6246719160104987E-3</v>
      </c>
      <c r="E258" s="24">
        <f t="shared" si="7"/>
        <v>-1.3250978148495298E-2</v>
      </c>
    </row>
    <row r="259" spans="1:5" x14ac:dyDescent="0.35">
      <c r="A259" s="22" t="s">
        <v>179</v>
      </c>
      <c r="B259" s="22">
        <v>190.5</v>
      </c>
      <c r="C259" s="22">
        <v>113924.42</v>
      </c>
      <c r="D259" s="24">
        <f t="shared" si="6"/>
        <v>1.909805809661367E-2</v>
      </c>
      <c r="E259" s="24">
        <f t="shared" si="7"/>
        <v>4.02807334096408E-2</v>
      </c>
    </row>
    <row r="260" spans="1:5" x14ac:dyDescent="0.35">
      <c r="A260" s="22" t="s">
        <v>180</v>
      </c>
      <c r="B260" s="22">
        <v>186.93</v>
      </c>
      <c r="C260" s="22">
        <v>109513.15</v>
      </c>
      <c r="D260" s="24">
        <f t="shared" si="6"/>
        <v>2.7087912087912124E-2</v>
      </c>
      <c r="E260" s="24">
        <f t="shared" si="7"/>
        <v>3.0469730504771662E-2</v>
      </c>
    </row>
    <row r="261" spans="1:5" x14ac:dyDescent="0.35">
      <c r="A261" s="22" t="s">
        <v>181</v>
      </c>
      <c r="B261" s="22">
        <v>182</v>
      </c>
      <c r="C261" s="22">
        <v>106274.98</v>
      </c>
      <c r="D261" s="24">
        <f t="shared" ref="D261:D324" si="8">(B261-B262)/B262</f>
        <v>0</v>
      </c>
      <c r="E261" s="24">
        <f t="shared" ref="E261:E324" si="9">(C261-C262)/C262</f>
        <v>-4.3173651567849497E-2</v>
      </c>
    </row>
    <row r="262" spans="1:5" x14ac:dyDescent="0.35">
      <c r="A262" s="22" t="s">
        <v>182</v>
      </c>
      <c r="B262" s="22">
        <v>182</v>
      </c>
      <c r="C262" s="22">
        <v>111070.29</v>
      </c>
      <c r="D262" s="24">
        <f t="shared" si="8"/>
        <v>-3.1399680681213439E-2</v>
      </c>
      <c r="E262" s="24">
        <f t="shared" si="9"/>
        <v>-3.2999975883829434E-2</v>
      </c>
    </row>
    <row r="263" spans="1:5" x14ac:dyDescent="0.35">
      <c r="A263" s="22" t="s">
        <v>183</v>
      </c>
      <c r="B263" s="22">
        <v>187.9</v>
      </c>
      <c r="C263" s="22">
        <v>114860.69</v>
      </c>
      <c r="D263" s="24">
        <f t="shared" si="8"/>
        <v>1.021505376344089E-2</v>
      </c>
      <c r="E263" s="24">
        <f t="shared" si="9"/>
        <v>-1.1265616309835792E-2</v>
      </c>
    </row>
    <row r="264" spans="1:5" x14ac:dyDescent="0.35">
      <c r="A264" s="22" t="s">
        <v>184</v>
      </c>
      <c r="B264" s="22">
        <v>186</v>
      </c>
      <c r="C264" s="22">
        <v>116169.41</v>
      </c>
      <c r="D264" s="24">
        <f t="shared" si="8"/>
        <v>-4.6153846153846156E-2</v>
      </c>
      <c r="E264" s="24">
        <f t="shared" si="9"/>
        <v>1.6339287745249859E-2</v>
      </c>
    </row>
    <row r="265" spans="1:5" x14ac:dyDescent="0.35">
      <c r="A265" s="22" t="s">
        <v>185</v>
      </c>
      <c r="B265" s="22">
        <v>195</v>
      </c>
      <c r="C265" s="22">
        <v>114301.8</v>
      </c>
      <c r="D265" s="24">
        <f t="shared" si="8"/>
        <v>-1.0503881869386477E-2</v>
      </c>
      <c r="E265" s="24">
        <f t="shared" si="9"/>
        <v>1.0622653550943866E-3</v>
      </c>
    </row>
    <row r="266" spans="1:5" x14ac:dyDescent="0.35">
      <c r="A266" s="23">
        <v>45638</v>
      </c>
      <c r="B266" s="22">
        <v>197.07</v>
      </c>
      <c r="C266" s="22">
        <v>114180.51</v>
      </c>
      <c r="D266" s="24">
        <f t="shared" si="8"/>
        <v>4.8244680851063794E-2</v>
      </c>
      <c r="E266" s="24">
        <f t="shared" si="9"/>
        <v>3.0414974358863232E-2</v>
      </c>
    </row>
    <row r="267" spans="1:5" x14ac:dyDescent="0.35">
      <c r="A267" s="23">
        <v>45608</v>
      </c>
      <c r="B267" s="22">
        <v>188</v>
      </c>
      <c r="C267" s="22">
        <v>110810.22</v>
      </c>
      <c r="D267" s="24">
        <f t="shared" si="8"/>
        <v>3.2967032967032968E-2</v>
      </c>
      <c r="E267" s="24">
        <f t="shared" si="9"/>
        <v>1.7572349562635831E-2</v>
      </c>
    </row>
    <row r="268" spans="1:5" x14ac:dyDescent="0.35">
      <c r="A268" s="23">
        <v>45577</v>
      </c>
      <c r="B268" s="22">
        <v>182</v>
      </c>
      <c r="C268" s="22">
        <v>108896.65</v>
      </c>
      <c r="D268" s="24">
        <f t="shared" si="8"/>
        <v>-3.7037037037037035E-2</v>
      </c>
      <c r="E268" s="24">
        <f t="shared" si="9"/>
        <v>-9.7639009918943209E-3</v>
      </c>
    </row>
    <row r="269" spans="1:5" x14ac:dyDescent="0.35">
      <c r="A269" s="23">
        <v>45547</v>
      </c>
      <c r="B269" s="22">
        <v>189</v>
      </c>
      <c r="C269" s="22">
        <v>109970.39</v>
      </c>
      <c r="D269" s="24">
        <f t="shared" si="8"/>
        <v>1.6129032258064516E-2</v>
      </c>
      <c r="E269" s="24">
        <f t="shared" si="9"/>
        <v>8.403547051711582E-3</v>
      </c>
    </row>
    <row r="270" spans="1:5" x14ac:dyDescent="0.35">
      <c r="A270" s="23">
        <v>45455</v>
      </c>
      <c r="B270" s="22">
        <v>186</v>
      </c>
      <c r="C270" s="22">
        <v>109053.95</v>
      </c>
      <c r="D270" s="24">
        <f t="shared" si="8"/>
        <v>5.4054054054054057E-3</v>
      </c>
      <c r="E270" s="24">
        <f t="shared" si="9"/>
        <v>7.5294508068581576E-3</v>
      </c>
    </row>
    <row r="271" spans="1:5" x14ac:dyDescent="0.35">
      <c r="A271" s="23">
        <v>45424</v>
      </c>
      <c r="B271" s="22">
        <v>185</v>
      </c>
      <c r="C271" s="22">
        <v>108238.97</v>
      </c>
      <c r="D271" s="24">
        <f t="shared" si="8"/>
        <v>2.8349082823790964E-2</v>
      </c>
      <c r="E271" s="24">
        <f t="shared" si="9"/>
        <v>2.9823982530122018E-2</v>
      </c>
    </row>
    <row r="272" spans="1:5" x14ac:dyDescent="0.35">
      <c r="A272" s="23">
        <v>45394</v>
      </c>
      <c r="B272" s="22">
        <v>179.9</v>
      </c>
      <c r="C272" s="22">
        <v>105104.34</v>
      </c>
      <c r="D272" s="24">
        <f t="shared" si="8"/>
        <v>-1.4246575342465722E-2</v>
      </c>
      <c r="E272" s="24">
        <f t="shared" si="9"/>
        <v>5.2149469194780473E-3</v>
      </c>
    </row>
    <row r="273" spans="1:5" x14ac:dyDescent="0.35">
      <c r="A273" s="23">
        <v>45363</v>
      </c>
      <c r="B273" s="22">
        <v>182.5</v>
      </c>
      <c r="C273" s="22">
        <v>104559.07</v>
      </c>
      <c r="D273" s="24">
        <f t="shared" si="8"/>
        <v>1.6656453679460805E-2</v>
      </c>
      <c r="E273" s="24">
        <f t="shared" si="9"/>
        <v>1.2433992947951172E-2</v>
      </c>
    </row>
    <row r="274" spans="1:5" x14ac:dyDescent="0.35">
      <c r="A274" s="23">
        <v>45334</v>
      </c>
      <c r="B274" s="22">
        <v>179.51</v>
      </c>
      <c r="C274" s="22">
        <v>103274.95</v>
      </c>
      <c r="D274" s="24">
        <f t="shared" si="8"/>
        <v>1.9943181818181766E-2</v>
      </c>
      <c r="E274" s="24">
        <f t="shared" si="9"/>
        <v>1.8919501817924841E-2</v>
      </c>
    </row>
    <row r="275" spans="1:5" x14ac:dyDescent="0.35">
      <c r="A275" s="22" t="s">
        <v>186</v>
      </c>
      <c r="B275" s="22">
        <v>176</v>
      </c>
      <c r="C275" s="22">
        <v>101357.32</v>
      </c>
      <c r="D275" s="24">
        <f t="shared" si="8"/>
        <v>-2.5502975347123187E-3</v>
      </c>
      <c r="E275" s="24">
        <f t="shared" si="9"/>
        <v>1.2734959274208766E-2</v>
      </c>
    </row>
    <row r="276" spans="1:5" x14ac:dyDescent="0.35">
      <c r="A276" s="22" t="s">
        <v>187</v>
      </c>
      <c r="B276" s="22">
        <v>176.45</v>
      </c>
      <c r="C276" s="22">
        <v>100082.77</v>
      </c>
      <c r="D276" s="24">
        <f t="shared" si="8"/>
        <v>2.5872093023255747E-2</v>
      </c>
      <c r="E276" s="24">
        <f t="shared" si="9"/>
        <v>8.1950855879338678E-3</v>
      </c>
    </row>
    <row r="277" spans="1:5" x14ac:dyDescent="0.35">
      <c r="A277" s="22" t="s">
        <v>188</v>
      </c>
      <c r="B277" s="22">
        <v>172</v>
      </c>
      <c r="C277" s="22">
        <v>99269.25</v>
      </c>
      <c r="D277" s="24">
        <f t="shared" si="8"/>
        <v>4.2424242424242427E-2</v>
      </c>
      <c r="E277" s="24">
        <f t="shared" si="9"/>
        <v>4.9644532925272572E-2</v>
      </c>
    </row>
    <row r="278" spans="1:5" x14ac:dyDescent="0.35">
      <c r="A278" s="22" t="s">
        <v>189</v>
      </c>
      <c r="B278" s="22">
        <v>165</v>
      </c>
      <c r="C278" s="22">
        <v>94574.16</v>
      </c>
      <c r="D278" s="24">
        <f t="shared" si="8"/>
        <v>-5.3519187747375734E-2</v>
      </c>
      <c r="E278" s="24">
        <f t="shared" si="9"/>
        <v>-3.5742535311559583E-2</v>
      </c>
    </row>
    <row r="279" spans="1:5" x14ac:dyDescent="0.35">
      <c r="A279" s="22" t="s">
        <v>190</v>
      </c>
      <c r="B279" s="22">
        <v>174.33</v>
      </c>
      <c r="C279" s="22">
        <v>98079.78</v>
      </c>
      <c r="D279" s="24">
        <f t="shared" si="8"/>
        <v>1.8965517241380028E-3</v>
      </c>
      <c r="E279" s="24">
        <f t="shared" si="9"/>
        <v>2.8788864583745833E-3</v>
      </c>
    </row>
    <row r="280" spans="1:5" x14ac:dyDescent="0.35">
      <c r="A280" s="22" t="s">
        <v>191</v>
      </c>
      <c r="B280" s="22">
        <v>174</v>
      </c>
      <c r="C280" s="22">
        <v>97798.23</v>
      </c>
      <c r="D280" s="24">
        <f t="shared" si="8"/>
        <v>-2.247191011235955E-2</v>
      </c>
      <c r="E280" s="24">
        <f t="shared" si="9"/>
        <v>4.8272652175521411E-3</v>
      </c>
    </row>
    <row r="281" spans="1:5" x14ac:dyDescent="0.35">
      <c r="A281" s="22" t="s">
        <v>192</v>
      </c>
      <c r="B281" s="22">
        <v>178</v>
      </c>
      <c r="C281" s="22">
        <v>97328.4</v>
      </c>
      <c r="D281" s="24">
        <f t="shared" si="8"/>
        <v>8.4985835694051E-3</v>
      </c>
      <c r="E281" s="24">
        <f t="shared" si="9"/>
        <v>1.8649984520619473E-2</v>
      </c>
    </row>
    <row r="282" spans="1:5" x14ac:dyDescent="0.35">
      <c r="A282" s="22" t="s">
        <v>193</v>
      </c>
      <c r="B282" s="22">
        <v>176.5</v>
      </c>
      <c r="C282" s="22">
        <v>95546.46</v>
      </c>
      <c r="D282" s="24">
        <f t="shared" si="8"/>
        <v>-1.3415315818893268E-2</v>
      </c>
      <c r="E282" s="24">
        <f t="shared" si="9"/>
        <v>-3.2361858595754667E-3</v>
      </c>
    </row>
    <row r="283" spans="1:5" x14ac:dyDescent="0.35">
      <c r="A283" s="22" t="s">
        <v>194</v>
      </c>
      <c r="B283" s="22">
        <v>178.9</v>
      </c>
      <c r="C283" s="22">
        <v>95856.67</v>
      </c>
      <c r="D283" s="24">
        <f t="shared" si="8"/>
        <v>-5.5865921787706327E-4</v>
      </c>
      <c r="E283" s="24">
        <f t="shared" si="9"/>
        <v>9.0635710027625466E-3</v>
      </c>
    </row>
    <row r="284" spans="1:5" x14ac:dyDescent="0.35">
      <c r="A284" s="22" t="s">
        <v>195</v>
      </c>
      <c r="B284" s="22">
        <v>179</v>
      </c>
      <c r="C284" s="22">
        <v>94995.67</v>
      </c>
      <c r="D284" s="24">
        <f t="shared" si="8"/>
        <v>1.7045454545454544E-2</v>
      </c>
      <c r="E284" s="24">
        <f t="shared" si="9"/>
        <v>2.4485129528582783E-3</v>
      </c>
    </row>
    <row r="285" spans="1:5" x14ac:dyDescent="0.35">
      <c r="A285" s="22" t="s">
        <v>196</v>
      </c>
      <c r="B285" s="22">
        <v>176</v>
      </c>
      <c r="C285" s="22">
        <v>94763.64</v>
      </c>
      <c r="D285" s="24">
        <f t="shared" si="8"/>
        <v>1.1552388068279733E-2</v>
      </c>
      <c r="E285" s="24">
        <f t="shared" si="9"/>
        <v>6.0700555005319462E-3</v>
      </c>
    </row>
    <row r="286" spans="1:5" x14ac:dyDescent="0.35">
      <c r="A286" s="22" t="s">
        <v>197</v>
      </c>
      <c r="B286" s="22">
        <v>173.99</v>
      </c>
      <c r="C286" s="22">
        <v>94191.89</v>
      </c>
      <c r="D286" s="24">
        <f t="shared" si="8"/>
        <v>1.1569767441860519E-2</v>
      </c>
      <c r="E286" s="24">
        <f t="shared" si="9"/>
        <v>8.9599501603710302E-3</v>
      </c>
    </row>
    <row r="287" spans="1:5" x14ac:dyDescent="0.35">
      <c r="A287" s="22" t="s">
        <v>198</v>
      </c>
      <c r="B287" s="22">
        <v>172</v>
      </c>
      <c r="C287" s="22">
        <v>93355.43</v>
      </c>
      <c r="D287" s="24">
        <f t="shared" si="8"/>
        <v>-1.1494252873563218E-2</v>
      </c>
      <c r="E287" s="24">
        <f t="shared" si="9"/>
        <v>1.4038146170922701E-3</v>
      </c>
    </row>
    <row r="288" spans="1:5" x14ac:dyDescent="0.35">
      <c r="A288" s="23">
        <v>45637</v>
      </c>
      <c r="B288" s="22">
        <v>174</v>
      </c>
      <c r="C288" s="22">
        <v>93224.56</v>
      </c>
      <c r="D288" s="24">
        <f t="shared" si="8"/>
        <v>1.8139262726740751E-2</v>
      </c>
      <c r="E288" s="24">
        <f t="shared" si="9"/>
        <v>-4.5251207362694461E-3</v>
      </c>
    </row>
    <row r="289" spans="1:5" x14ac:dyDescent="0.35">
      <c r="A289" s="23">
        <v>45607</v>
      </c>
      <c r="B289" s="22">
        <v>170.9</v>
      </c>
      <c r="C289" s="22">
        <v>93648.33</v>
      </c>
      <c r="D289" s="24">
        <f t="shared" si="8"/>
        <v>1.1841326228537596E-2</v>
      </c>
      <c r="E289" s="24">
        <f t="shared" si="9"/>
        <v>3.8229561307075695E-3</v>
      </c>
    </row>
    <row r="290" spans="1:5" x14ac:dyDescent="0.35">
      <c r="A290" s="23">
        <v>45515</v>
      </c>
      <c r="B290" s="22">
        <v>168.9</v>
      </c>
      <c r="C290" s="22">
        <v>93291.68</v>
      </c>
      <c r="D290" s="24">
        <f t="shared" si="8"/>
        <v>5.4169891064944136E-3</v>
      </c>
      <c r="E290" s="24">
        <f t="shared" si="9"/>
        <v>8.3353427981195053E-3</v>
      </c>
    </row>
    <row r="291" spans="1:5" x14ac:dyDescent="0.35">
      <c r="A291" s="23">
        <v>45484</v>
      </c>
      <c r="B291" s="22">
        <v>167.99</v>
      </c>
      <c r="C291" s="22">
        <v>92520.49</v>
      </c>
      <c r="D291" s="24">
        <f t="shared" si="8"/>
        <v>-5.9175099118291023E-3</v>
      </c>
      <c r="E291" s="24">
        <f t="shared" si="9"/>
        <v>5.423192682053257E-3</v>
      </c>
    </row>
    <row r="292" spans="1:5" x14ac:dyDescent="0.35">
      <c r="A292" s="23">
        <v>45454</v>
      </c>
      <c r="B292" s="22">
        <v>168.99</v>
      </c>
      <c r="C292" s="22">
        <v>92021.440000000002</v>
      </c>
      <c r="D292" s="24">
        <f t="shared" si="8"/>
        <v>5.892857142857197E-3</v>
      </c>
      <c r="E292" s="24">
        <f t="shared" si="9"/>
        <v>-3.0646452950414955E-3</v>
      </c>
    </row>
    <row r="293" spans="1:5" x14ac:dyDescent="0.35">
      <c r="A293" s="23">
        <v>45423</v>
      </c>
      <c r="B293" s="22">
        <v>168</v>
      </c>
      <c r="C293" s="22">
        <v>92304.320000000007</v>
      </c>
      <c r="D293" s="24">
        <f t="shared" si="8"/>
        <v>-5.9171597633136093E-3</v>
      </c>
      <c r="E293" s="24">
        <f t="shared" si="9"/>
        <v>3.9843150836091868E-3</v>
      </c>
    </row>
    <row r="294" spans="1:5" x14ac:dyDescent="0.35">
      <c r="A294" s="23">
        <v>45393</v>
      </c>
      <c r="B294" s="22">
        <v>169</v>
      </c>
      <c r="C294" s="22">
        <v>91938.01</v>
      </c>
      <c r="D294" s="24">
        <f t="shared" si="8"/>
        <v>2.4366589889683661E-2</v>
      </c>
      <c r="E294" s="24">
        <f t="shared" si="9"/>
        <v>1.1866187320361951E-2</v>
      </c>
    </row>
    <row r="295" spans="1:5" x14ac:dyDescent="0.35">
      <c r="A295" s="23">
        <v>45302</v>
      </c>
      <c r="B295" s="22">
        <v>164.98</v>
      </c>
      <c r="C295" s="22">
        <v>90859.85</v>
      </c>
      <c r="D295" s="24">
        <f t="shared" si="8"/>
        <v>-6.144578313253074E-3</v>
      </c>
      <c r="E295" s="24">
        <f t="shared" si="9"/>
        <v>2.1278506570486955E-2</v>
      </c>
    </row>
    <row r="296" spans="1:5" x14ac:dyDescent="0.35">
      <c r="A296" s="22" t="s">
        <v>199</v>
      </c>
      <c r="B296" s="22">
        <v>166</v>
      </c>
      <c r="C296" s="22">
        <v>88966.77</v>
      </c>
      <c r="D296" s="24">
        <f t="shared" si="8"/>
        <v>1.2195121951219513E-2</v>
      </c>
      <c r="E296" s="24">
        <f t="shared" si="9"/>
        <v>-1.4617899428453233E-2</v>
      </c>
    </row>
    <row r="297" spans="1:5" x14ac:dyDescent="0.35">
      <c r="A297" s="22" t="s">
        <v>200</v>
      </c>
      <c r="B297" s="22">
        <v>164</v>
      </c>
      <c r="C297" s="22">
        <v>90286.57</v>
      </c>
      <c r="D297" s="24">
        <f t="shared" si="8"/>
        <v>-2.1187705162638085E-2</v>
      </c>
      <c r="E297" s="24">
        <f t="shared" si="9"/>
        <v>-6.3558662173361282E-3</v>
      </c>
    </row>
    <row r="298" spans="1:5" x14ac:dyDescent="0.35">
      <c r="A298" s="22" t="s">
        <v>201</v>
      </c>
      <c r="B298" s="22">
        <v>167.55</v>
      </c>
      <c r="C298" s="22">
        <v>90864.09</v>
      </c>
      <c r="D298" s="24">
        <f t="shared" si="8"/>
        <v>5.0989802039593446E-3</v>
      </c>
      <c r="E298" s="24">
        <f t="shared" si="9"/>
        <v>7.4124524144879083E-3</v>
      </c>
    </row>
    <row r="299" spans="1:5" x14ac:dyDescent="0.35">
      <c r="A299" s="22" t="s">
        <v>202</v>
      </c>
      <c r="B299" s="22">
        <v>166.7</v>
      </c>
      <c r="C299" s="22">
        <v>90195.520000000004</v>
      </c>
      <c r="D299" s="24">
        <f t="shared" si="8"/>
        <v>-8.3283759666865301E-3</v>
      </c>
      <c r="E299" s="24">
        <f t="shared" si="9"/>
        <v>2.239594497275794E-3</v>
      </c>
    </row>
    <row r="300" spans="1:5" x14ac:dyDescent="0.35">
      <c r="A300" s="22" t="s">
        <v>203</v>
      </c>
      <c r="B300" s="22">
        <v>168.1</v>
      </c>
      <c r="C300" s="22">
        <v>89993.97</v>
      </c>
      <c r="D300" s="24">
        <f t="shared" si="8"/>
        <v>6.5868263473053551E-3</v>
      </c>
      <c r="E300" s="24">
        <f t="shared" si="9"/>
        <v>1.1782206257977407E-2</v>
      </c>
    </row>
    <row r="301" spans="1:5" x14ac:dyDescent="0.35">
      <c r="A301" s="22" t="s">
        <v>204</v>
      </c>
      <c r="B301" s="22">
        <v>167</v>
      </c>
      <c r="C301" s="22">
        <v>88945.99</v>
      </c>
      <c r="D301" s="24">
        <f t="shared" si="8"/>
        <v>5.9883825378710727E-5</v>
      </c>
      <c r="E301" s="24">
        <f t="shared" si="9"/>
        <v>2.0086693501680401E-2</v>
      </c>
    </row>
    <row r="302" spans="1:5" x14ac:dyDescent="0.35">
      <c r="A302" s="22" t="s">
        <v>205</v>
      </c>
      <c r="B302" s="22">
        <v>166.99</v>
      </c>
      <c r="C302" s="22">
        <v>87194.54</v>
      </c>
      <c r="D302" s="24">
        <f t="shared" si="8"/>
        <v>-2.0586510263929565E-2</v>
      </c>
      <c r="E302" s="24">
        <f t="shared" si="9"/>
        <v>8.4189752850175395E-3</v>
      </c>
    </row>
    <row r="303" spans="1:5" x14ac:dyDescent="0.35">
      <c r="A303" s="22" t="s">
        <v>206</v>
      </c>
      <c r="B303" s="22">
        <v>170.5</v>
      </c>
      <c r="C303" s="22">
        <v>86466.58</v>
      </c>
      <c r="D303" s="24">
        <f t="shared" si="8"/>
        <v>2.8821834009764668E-3</v>
      </c>
      <c r="E303" s="24">
        <f t="shared" si="9"/>
        <v>4.7533324223147221E-3</v>
      </c>
    </row>
    <row r="304" spans="1:5" x14ac:dyDescent="0.35">
      <c r="A304" s="22" t="s">
        <v>207</v>
      </c>
      <c r="B304" s="22">
        <v>170.01</v>
      </c>
      <c r="C304" s="22">
        <v>86057.52</v>
      </c>
      <c r="D304" s="24">
        <f t="shared" si="8"/>
        <v>5.9763313609466915E-3</v>
      </c>
      <c r="E304" s="24">
        <f t="shared" si="9"/>
        <v>9.4713096490573519E-3</v>
      </c>
    </row>
    <row r="305" spans="1:5" x14ac:dyDescent="0.35">
      <c r="A305" s="22" t="s">
        <v>208</v>
      </c>
      <c r="B305" s="22">
        <v>169</v>
      </c>
      <c r="C305" s="22">
        <v>85250.09</v>
      </c>
      <c r="D305" s="24">
        <f t="shared" si="8"/>
        <v>-2.3612750885478491E-3</v>
      </c>
      <c r="E305" s="24">
        <f t="shared" si="9"/>
        <v>-3.9181902807521856E-3</v>
      </c>
    </row>
    <row r="306" spans="1:5" x14ac:dyDescent="0.35">
      <c r="A306" s="22" t="s">
        <v>209</v>
      </c>
      <c r="B306" s="22">
        <v>169.4</v>
      </c>
      <c r="C306" s="22">
        <v>85585.43</v>
      </c>
      <c r="D306" s="24">
        <f t="shared" si="8"/>
        <v>1.4979029358897543E-2</v>
      </c>
      <c r="E306" s="24">
        <f t="shared" si="9"/>
        <v>-7.1947712017982396E-3</v>
      </c>
    </row>
    <row r="307" spans="1:5" x14ac:dyDescent="0.35">
      <c r="A307" s="22" t="s">
        <v>210</v>
      </c>
      <c r="B307" s="22">
        <v>166.9</v>
      </c>
      <c r="C307" s="22">
        <v>86205.66</v>
      </c>
      <c r="D307" s="24">
        <f t="shared" si="8"/>
        <v>-5.9880239520954679E-4</v>
      </c>
      <c r="E307" s="24">
        <f t="shared" si="9"/>
        <v>4.2558079336592449E-3</v>
      </c>
    </row>
    <row r="308" spans="1:5" x14ac:dyDescent="0.35">
      <c r="A308" s="22" t="s">
        <v>211</v>
      </c>
      <c r="B308" s="22">
        <v>167</v>
      </c>
      <c r="C308" s="22">
        <v>85840.34</v>
      </c>
      <c r="D308" s="24">
        <f t="shared" si="8"/>
        <v>-2.3277576324716283E-2</v>
      </c>
      <c r="E308" s="24">
        <f t="shared" si="9"/>
        <v>6.7902951148227477E-3</v>
      </c>
    </row>
    <row r="309" spans="1:5" x14ac:dyDescent="0.35">
      <c r="A309" s="22" t="s">
        <v>212</v>
      </c>
      <c r="B309" s="22">
        <v>170.98</v>
      </c>
      <c r="C309" s="22">
        <v>85261.39</v>
      </c>
      <c r="D309" s="24">
        <f t="shared" si="8"/>
        <v>-1.1695906432754522E-4</v>
      </c>
      <c r="E309" s="24">
        <f t="shared" si="9"/>
        <v>-2.5971124218268668E-3</v>
      </c>
    </row>
    <row r="310" spans="1:5" x14ac:dyDescent="0.35">
      <c r="A310" s="23">
        <v>45606</v>
      </c>
      <c r="B310" s="22">
        <v>171</v>
      </c>
      <c r="C310" s="22">
        <v>85483.4</v>
      </c>
      <c r="D310" s="24">
        <f t="shared" si="8"/>
        <v>-2.0057306590257881E-2</v>
      </c>
      <c r="E310" s="24">
        <f t="shared" si="9"/>
        <v>3.5317569074627046E-4</v>
      </c>
    </row>
    <row r="311" spans="1:5" x14ac:dyDescent="0.35">
      <c r="A311" s="23">
        <v>45575</v>
      </c>
      <c r="B311" s="22">
        <v>174.5</v>
      </c>
      <c r="C311" s="22">
        <v>85453.22</v>
      </c>
      <c r="D311" s="24">
        <f t="shared" si="8"/>
        <v>-4.6448087431693992E-2</v>
      </c>
      <c r="E311" s="24">
        <f t="shared" si="9"/>
        <v>-2.522024230856121E-3</v>
      </c>
    </row>
    <row r="312" spans="1:5" x14ac:dyDescent="0.35">
      <c r="A312" s="23">
        <v>45545</v>
      </c>
      <c r="B312" s="22">
        <v>183</v>
      </c>
      <c r="C312" s="22">
        <v>85669.28</v>
      </c>
      <c r="D312" s="24">
        <f t="shared" si="8"/>
        <v>4.11522633744856E-3</v>
      </c>
      <c r="E312" s="24">
        <f t="shared" si="9"/>
        <v>6.1869644627799341E-5</v>
      </c>
    </row>
    <row r="313" spans="1:5" x14ac:dyDescent="0.35">
      <c r="A313" s="23">
        <v>45514</v>
      </c>
      <c r="B313" s="22">
        <v>182.25</v>
      </c>
      <c r="C313" s="22">
        <v>85663.98</v>
      </c>
      <c r="D313" s="24">
        <f t="shared" si="8"/>
        <v>-9.5108695652173919E-3</v>
      </c>
      <c r="E313" s="24">
        <f t="shared" si="9"/>
        <v>8.8761905210556664E-3</v>
      </c>
    </row>
    <row r="314" spans="1:5" x14ac:dyDescent="0.35">
      <c r="A314" s="23">
        <v>45483</v>
      </c>
      <c r="B314" s="22">
        <v>184</v>
      </c>
      <c r="C314" s="22">
        <v>84910.3</v>
      </c>
      <c r="D314" s="24">
        <f t="shared" si="8"/>
        <v>2.2506251736593562E-2</v>
      </c>
      <c r="E314" s="24">
        <f t="shared" si="9"/>
        <v>1.6500750132045224E-2</v>
      </c>
    </row>
    <row r="315" spans="1:5" x14ac:dyDescent="0.35">
      <c r="A315" s="23">
        <v>45392</v>
      </c>
      <c r="B315" s="22">
        <v>179.95</v>
      </c>
      <c r="C315" s="22">
        <v>83531.960000000006</v>
      </c>
      <c r="D315" s="24">
        <f t="shared" si="8"/>
        <v>5.5425219941348906E-2</v>
      </c>
      <c r="E315" s="24">
        <f t="shared" si="9"/>
        <v>9.7941569673860012E-3</v>
      </c>
    </row>
    <row r="316" spans="1:5" x14ac:dyDescent="0.35">
      <c r="A316" s="23">
        <v>45361</v>
      </c>
      <c r="B316" s="22">
        <v>170.5</v>
      </c>
      <c r="C316" s="22">
        <v>82721.77</v>
      </c>
      <c r="D316" s="24">
        <f t="shared" si="8"/>
        <v>-8.7209302325581394E-3</v>
      </c>
      <c r="E316" s="24">
        <f t="shared" si="9"/>
        <v>9.2080948176590724E-3</v>
      </c>
    </row>
    <row r="317" spans="1:5" x14ac:dyDescent="0.35">
      <c r="A317" s="23">
        <v>45332</v>
      </c>
      <c r="B317" s="22">
        <v>172</v>
      </c>
      <c r="C317" s="22">
        <v>81967.009999999995</v>
      </c>
      <c r="D317" s="24">
        <f t="shared" si="8"/>
        <v>8.7976539589442824E-3</v>
      </c>
      <c r="E317" s="24">
        <f t="shared" si="9"/>
        <v>1.9854631628860712E-3</v>
      </c>
    </row>
    <row r="318" spans="1:5" x14ac:dyDescent="0.35">
      <c r="A318" s="23">
        <v>45301</v>
      </c>
      <c r="B318" s="22">
        <v>170.5</v>
      </c>
      <c r="C318" s="22">
        <v>81804.59</v>
      </c>
      <c r="D318" s="24">
        <f t="shared" si="8"/>
        <v>-8.7209302325581394E-3</v>
      </c>
      <c r="E318" s="24">
        <f t="shared" si="9"/>
        <v>8.5113334040155669E-3</v>
      </c>
    </row>
    <row r="319" spans="1:5" x14ac:dyDescent="0.35">
      <c r="A319" s="22" t="s">
        <v>213</v>
      </c>
      <c r="B319" s="22">
        <v>172</v>
      </c>
      <c r="C319" s="22">
        <v>81114.2</v>
      </c>
      <c r="D319" s="24">
        <f t="shared" si="8"/>
        <v>-8.6455331412103754E-3</v>
      </c>
      <c r="E319" s="24">
        <f t="shared" si="9"/>
        <v>-2.1887727631199668E-3</v>
      </c>
    </row>
    <row r="320" spans="1:5" x14ac:dyDescent="0.35">
      <c r="A320" s="22" t="s">
        <v>214</v>
      </c>
      <c r="B320" s="22">
        <v>173.5</v>
      </c>
      <c r="C320" s="22">
        <v>81292.13</v>
      </c>
      <c r="D320" s="24">
        <f t="shared" si="8"/>
        <v>-3.503532249727262E-3</v>
      </c>
      <c r="E320" s="24">
        <f t="shared" si="9"/>
        <v>-4.4801505597064986E-3</v>
      </c>
    </row>
    <row r="321" spans="1:5" x14ac:dyDescent="0.35">
      <c r="A321" s="22" t="s">
        <v>215</v>
      </c>
      <c r="B321" s="22">
        <v>174.11</v>
      </c>
      <c r="C321" s="22">
        <v>81657.97</v>
      </c>
      <c r="D321" s="24">
        <f t="shared" si="8"/>
        <v>-3.9473684210526187E-3</v>
      </c>
      <c r="E321" s="24">
        <f t="shared" si="9"/>
        <v>-7.1728257687245717E-3</v>
      </c>
    </row>
    <row r="322" spans="1:5" x14ac:dyDescent="0.35">
      <c r="A322" s="22" t="s">
        <v>216</v>
      </c>
      <c r="B322" s="22">
        <v>174.8</v>
      </c>
      <c r="C322" s="22">
        <v>82247.92</v>
      </c>
      <c r="D322" s="24">
        <f t="shared" si="8"/>
        <v>4.5977011494253523E-3</v>
      </c>
      <c r="E322" s="24">
        <f t="shared" si="9"/>
        <v>9.3795515271531665E-3</v>
      </c>
    </row>
    <row r="323" spans="1:5" x14ac:dyDescent="0.35">
      <c r="A323" s="22" t="s">
        <v>217</v>
      </c>
      <c r="B323" s="22">
        <v>174</v>
      </c>
      <c r="C323" s="22">
        <v>81483.64</v>
      </c>
      <c r="D323" s="24">
        <f t="shared" si="8"/>
        <v>-1.4889882805865343E-2</v>
      </c>
      <c r="E323" s="24">
        <f t="shared" si="9"/>
        <v>-4.4820740252044956E-3</v>
      </c>
    </row>
    <row r="324" spans="1:5" x14ac:dyDescent="0.35">
      <c r="A324" s="22" t="s">
        <v>218</v>
      </c>
      <c r="B324" s="22">
        <v>176.63</v>
      </c>
      <c r="C324" s="22">
        <v>81850.5</v>
      </c>
      <c r="D324" s="24">
        <f t="shared" si="8"/>
        <v>-6.3009845288326555E-3</v>
      </c>
      <c r="E324" s="24">
        <f t="shared" si="9"/>
        <v>-2.7286201735131589E-3</v>
      </c>
    </row>
    <row r="325" spans="1:5" x14ac:dyDescent="0.35">
      <c r="A325" s="22" t="s">
        <v>219</v>
      </c>
      <c r="B325" s="22">
        <v>177.75</v>
      </c>
      <c r="C325" s="22">
        <v>82074.45</v>
      </c>
      <c r="D325" s="24">
        <f t="shared" ref="D325:D388" si="10">(B325-B326)/B326</f>
        <v>-6.8167849360227907E-3</v>
      </c>
      <c r="E325" s="24">
        <f t="shared" ref="E325:E388" si="11">(C325-C326)/C326</f>
        <v>7.5517476275573179E-3</v>
      </c>
    </row>
    <row r="326" spans="1:5" x14ac:dyDescent="0.35">
      <c r="A326" s="22" t="s">
        <v>220</v>
      </c>
      <c r="B326" s="22">
        <v>178.97</v>
      </c>
      <c r="C326" s="22">
        <v>81459.289999999994</v>
      </c>
      <c r="D326" s="24">
        <f t="shared" si="10"/>
        <v>1.1187559433908855E-3</v>
      </c>
      <c r="E326" s="24">
        <f t="shared" si="11"/>
        <v>1.2402850859804188E-2</v>
      </c>
    </row>
    <row r="327" spans="1:5" x14ac:dyDescent="0.35">
      <c r="A327" s="22" t="s">
        <v>221</v>
      </c>
      <c r="B327" s="22">
        <v>178.77</v>
      </c>
      <c r="C327" s="22">
        <v>80461.34</v>
      </c>
      <c r="D327" s="24">
        <f t="shared" si="10"/>
        <v>7.1549295774648468E-3</v>
      </c>
      <c r="E327" s="24">
        <f t="shared" si="11"/>
        <v>1.2205133804849158E-2</v>
      </c>
    </row>
    <row r="328" spans="1:5" x14ac:dyDescent="0.35">
      <c r="A328" s="22" t="s">
        <v>222</v>
      </c>
      <c r="B328" s="22">
        <v>177.5</v>
      </c>
      <c r="C328" s="22">
        <v>79491.14</v>
      </c>
      <c r="D328" s="24">
        <f t="shared" si="10"/>
        <v>1.7191977077363897E-2</v>
      </c>
      <c r="E328" s="24">
        <f t="shared" si="11"/>
        <v>1.9926119073183581E-3</v>
      </c>
    </row>
    <row r="329" spans="1:5" x14ac:dyDescent="0.35">
      <c r="A329" s="22" t="s">
        <v>223</v>
      </c>
      <c r="B329" s="22">
        <v>174.5</v>
      </c>
      <c r="C329" s="22">
        <v>79333.06</v>
      </c>
      <c r="D329" s="24">
        <f t="shared" si="10"/>
        <v>0</v>
      </c>
      <c r="E329" s="24">
        <f t="shared" si="11"/>
        <v>3.9920210201218713E-3</v>
      </c>
    </row>
    <row r="330" spans="1:5" x14ac:dyDescent="0.35">
      <c r="A330" s="23">
        <v>45635</v>
      </c>
      <c r="B330" s="22">
        <v>174.5</v>
      </c>
      <c r="C330" s="22">
        <v>79017.62</v>
      </c>
      <c r="D330" s="24">
        <f t="shared" si="10"/>
        <v>-5.6980056980056983E-3</v>
      </c>
      <c r="E330" s="24">
        <f t="shared" si="11"/>
        <v>4.6511332226343511E-3</v>
      </c>
    </row>
    <row r="331" spans="1:5" x14ac:dyDescent="0.35">
      <c r="A331" s="23">
        <v>45605</v>
      </c>
      <c r="B331" s="22">
        <v>175.5</v>
      </c>
      <c r="C331" s="22">
        <v>78651.8</v>
      </c>
      <c r="D331" s="24">
        <f t="shared" si="10"/>
        <v>1.5979910969067524E-3</v>
      </c>
      <c r="E331" s="24">
        <f t="shared" si="11"/>
        <v>-8.0081486513381966E-3</v>
      </c>
    </row>
    <row r="332" spans="1:5" x14ac:dyDescent="0.35">
      <c r="A332" s="23">
        <v>45574</v>
      </c>
      <c r="B332" s="22">
        <v>175.22</v>
      </c>
      <c r="C332" s="22">
        <v>79286.740000000005</v>
      </c>
      <c r="D332" s="24">
        <f t="shared" si="10"/>
        <v>1.8720930232558133E-2</v>
      </c>
      <c r="E332" s="24">
        <f t="shared" si="11"/>
        <v>8.5446797684920854E-3</v>
      </c>
    </row>
    <row r="333" spans="1:5" x14ac:dyDescent="0.35">
      <c r="A333" s="23">
        <v>45544</v>
      </c>
      <c r="B333" s="22">
        <v>172</v>
      </c>
      <c r="C333" s="22">
        <v>78615</v>
      </c>
      <c r="D333" s="24">
        <f t="shared" si="10"/>
        <v>-9.5018715807659408E-3</v>
      </c>
      <c r="E333" s="24">
        <f t="shared" si="11"/>
        <v>-3.5834998041134507E-3</v>
      </c>
    </row>
    <row r="334" spans="1:5" x14ac:dyDescent="0.35">
      <c r="A334" s="23">
        <v>45452</v>
      </c>
      <c r="B334" s="22">
        <v>173.65</v>
      </c>
      <c r="C334" s="22">
        <v>78897.73</v>
      </c>
      <c r="D334" s="24">
        <f t="shared" si="10"/>
        <v>-5.6249999999999967E-2</v>
      </c>
      <c r="E334" s="24">
        <f t="shared" si="11"/>
        <v>4.3607080298652606E-4</v>
      </c>
    </row>
    <row r="335" spans="1:5" x14ac:dyDescent="0.35">
      <c r="A335" s="23">
        <v>45421</v>
      </c>
      <c r="B335" s="22">
        <v>184</v>
      </c>
      <c r="C335" s="22">
        <v>78863.34</v>
      </c>
      <c r="D335" s="24">
        <f t="shared" si="10"/>
        <v>-1.5937533426034815E-2</v>
      </c>
      <c r="E335" s="24">
        <f t="shared" si="11"/>
        <v>1.9442469125094909E-4</v>
      </c>
    </row>
    <row r="336" spans="1:5" x14ac:dyDescent="0.35">
      <c r="A336" s="23">
        <v>45391</v>
      </c>
      <c r="B336" s="22">
        <v>186.98</v>
      </c>
      <c r="C336" s="22">
        <v>78848.009999999995</v>
      </c>
      <c r="D336" s="24">
        <f t="shared" si="10"/>
        <v>1.619565217391299E-2</v>
      </c>
      <c r="E336" s="24">
        <f t="shared" si="11"/>
        <v>6.2750522229730512E-3</v>
      </c>
    </row>
    <row r="337" spans="1:5" x14ac:dyDescent="0.35">
      <c r="A337" s="23">
        <v>45360</v>
      </c>
      <c r="B337" s="22">
        <v>184</v>
      </c>
      <c r="C337" s="22">
        <v>78356.320000000007</v>
      </c>
      <c r="D337" s="24">
        <f t="shared" si="10"/>
        <v>-4.3290043290043906E-3</v>
      </c>
      <c r="E337" s="24">
        <f t="shared" si="11"/>
        <v>9.3276599223594391E-4</v>
      </c>
    </row>
    <row r="338" spans="1:5" x14ac:dyDescent="0.35">
      <c r="A338" s="23">
        <v>45331</v>
      </c>
      <c r="B338" s="22">
        <v>184.8</v>
      </c>
      <c r="C338" s="22">
        <v>78283.3</v>
      </c>
      <c r="D338" s="24">
        <f t="shared" si="10"/>
        <v>-4.3639890092128774E-3</v>
      </c>
      <c r="E338" s="24">
        <f t="shared" si="11"/>
        <v>-2.6108376518157532E-3</v>
      </c>
    </row>
    <row r="339" spans="1:5" x14ac:dyDescent="0.35">
      <c r="A339" s="22" t="s">
        <v>224</v>
      </c>
      <c r="B339" s="22">
        <v>185.61</v>
      </c>
      <c r="C339" s="22">
        <v>78488.22</v>
      </c>
      <c r="D339" s="24">
        <f t="shared" si="10"/>
        <v>-3.7037037037036913E-3</v>
      </c>
      <c r="E339" s="24">
        <f t="shared" si="11"/>
        <v>1.7684824669309052E-3</v>
      </c>
    </row>
    <row r="340" spans="1:5" x14ac:dyDescent="0.35">
      <c r="A340" s="22" t="s">
        <v>225</v>
      </c>
      <c r="B340" s="22">
        <v>186.3</v>
      </c>
      <c r="C340" s="22">
        <v>78349.66</v>
      </c>
      <c r="D340" s="24">
        <f t="shared" si="10"/>
        <v>-1.6886543535619993E-2</v>
      </c>
      <c r="E340" s="24">
        <f t="shared" si="11"/>
        <v>4.5756793672852318E-3</v>
      </c>
    </row>
    <row r="341" spans="1:5" x14ac:dyDescent="0.35">
      <c r="A341" s="22" t="s">
        <v>226</v>
      </c>
      <c r="B341" s="22">
        <v>189.5</v>
      </c>
      <c r="C341" s="22">
        <v>77992.789999999994</v>
      </c>
      <c r="D341" s="24">
        <f t="shared" si="10"/>
        <v>1.3368983957219251E-2</v>
      </c>
      <c r="E341" s="24">
        <f t="shared" si="11"/>
        <v>-1.1711710327207082E-3</v>
      </c>
    </row>
    <row r="342" spans="1:5" x14ac:dyDescent="0.35">
      <c r="A342" s="22" t="s">
        <v>227</v>
      </c>
      <c r="B342" s="22">
        <v>187</v>
      </c>
      <c r="C342" s="22">
        <v>78084.240000000005</v>
      </c>
      <c r="D342" s="24">
        <f t="shared" si="10"/>
        <v>-1.5737670403705505E-2</v>
      </c>
      <c r="E342" s="24">
        <f t="shared" si="11"/>
        <v>-6.1959199735881435E-3</v>
      </c>
    </row>
    <row r="343" spans="1:5" x14ac:dyDescent="0.35">
      <c r="A343" s="22" t="s">
        <v>228</v>
      </c>
      <c r="B343" s="22">
        <v>189.99</v>
      </c>
      <c r="C343" s="22">
        <v>78571.06</v>
      </c>
      <c r="D343" s="24">
        <f t="shared" si="10"/>
        <v>1.3280000000000049E-2</v>
      </c>
      <c r="E343" s="24">
        <f t="shared" si="11"/>
        <v>-2.9234241053746786E-3</v>
      </c>
    </row>
    <row r="344" spans="1:5" x14ac:dyDescent="0.35">
      <c r="A344" s="22" t="s">
        <v>229</v>
      </c>
      <c r="B344" s="22">
        <v>187.5</v>
      </c>
      <c r="C344" s="22">
        <v>78801.429999999993</v>
      </c>
      <c r="D344" s="24">
        <f t="shared" si="10"/>
        <v>-7.9365079365079361E-3</v>
      </c>
      <c r="E344" s="24">
        <f t="shared" si="11"/>
        <v>1.0178516198232216E-4</v>
      </c>
    </row>
    <row r="345" spans="1:5" x14ac:dyDescent="0.35">
      <c r="A345" s="22" t="s">
        <v>230</v>
      </c>
      <c r="B345" s="22">
        <v>189</v>
      </c>
      <c r="C345" s="22">
        <v>78793.41</v>
      </c>
      <c r="D345" s="24">
        <f t="shared" si="10"/>
        <v>-1.0471204188481676E-2</v>
      </c>
      <c r="E345" s="24">
        <f t="shared" si="11"/>
        <v>6.8048063872541515E-3</v>
      </c>
    </row>
    <row r="346" spans="1:5" x14ac:dyDescent="0.35">
      <c r="A346" s="22" t="s">
        <v>231</v>
      </c>
      <c r="B346" s="22">
        <v>191</v>
      </c>
      <c r="C346" s="22">
        <v>78260.86</v>
      </c>
      <c r="D346" s="24">
        <f t="shared" si="10"/>
        <v>-1.3429752066115673E-2</v>
      </c>
      <c r="E346" s="24">
        <f t="shared" si="11"/>
        <v>6.6285491434104043E-3</v>
      </c>
    </row>
    <row r="347" spans="1:5" x14ac:dyDescent="0.35">
      <c r="A347" s="22" t="s">
        <v>232</v>
      </c>
      <c r="B347" s="22">
        <v>193.6</v>
      </c>
      <c r="C347" s="22">
        <v>77745.52</v>
      </c>
      <c r="D347" s="24">
        <f t="shared" si="10"/>
        <v>-2.4685138539042851E-2</v>
      </c>
      <c r="E347" s="24">
        <f t="shared" si="11"/>
        <v>-1.0898063660006168E-3</v>
      </c>
    </row>
    <row r="348" spans="1:5" x14ac:dyDescent="0.35">
      <c r="A348" s="22" t="s">
        <v>233</v>
      </c>
      <c r="B348" s="22">
        <v>198.5</v>
      </c>
      <c r="C348" s="22">
        <v>77830.34</v>
      </c>
      <c r="D348" s="24">
        <f t="shared" si="10"/>
        <v>-1.2437810945273632E-2</v>
      </c>
      <c r="E348" s="24">
        <f t="shared" si="11"/>
        <v>-2.7544256022559352E-3</v>
      </c>
    </row>
    <row r="349" spans="1:5" x14ac:dyDescent="0.35">
      <c r="A349" s="22" t="s">
        <v>234</v>
      </c>
      <c r="B349" s="22">
        <v>201</v>
      </c>
      <c r="C349" s="22">
        <v>78045.31</v>
      </c>
      <c r="D349" s="24">
        <f t="shared" si="10"/>
        <v>3.0769230769230771E-2</v>
      </c>
      <c r="E349" s="24">
        <f t="shared" si="11"/>
        <v>-7.7676510812614162E-4</v>
      </c>
    </row>
    <row r="350" spans="1:5" x14ac:dyDescent="0.35">
      <c r="A350" s="22" t="s">
        <v>235</v>
      </c>
      <c r="B350" s="22">
        <v>195</v>
      </c>
      <c r="C350" s="22">
        <v>78105.98</v>
      </c>
      <c r="D350" s="24">
        <f t="shared" si="10"/>
        <v>0</v>
      </c>
      <c r="E350" s="24">
        <f t="shared" si="11"/>
        <v>2.9348686692496706E-3</v>
      </c>
    </row>
    <row r="351" spans="1:5" x14ac:dyDescent="0.35">
      <c r="A351" s="22" t="s">
        <v>236</v>
      </c>
      <c r="B351" s="22">
        <v>195</v>
      </c>
      <c r="C351" s="22">
        <v>77877.42</v>
      </c>
      <c r="D351" s="24">
        <f t="shared" si="10"/>
        <v>0</v>
      </c>
      <c r="E351" s="24">
        <f t="shared" si="11"/>
        <v>-1.3191795003583001E-3</v>
      </c>
    </row>
    <row r="352" spans="1:5" x14ac:dyDescent="0.35">
      <c r="A352" s="23">
        <v>45634</v>
      </c>
      <c r="B352" s="22">
        <v>195</v>
      </c>
      <c r="C352" s="22">
        <v>77980.289999999994</v>
      </c>
      <c r="D352" s="24">
        <f t="shared" si="10"/>
        <v>5.1546391752577319E-3</v>
      </c>
      <c r="E352" s="24">
        <f t="shared" si="11"/>
        <v>-7.5003573265432968E-3</v>
      </c>
    </row>
    <row r="353" spans="1:5" x14ac:dyDescent="0.35">
      <c r="A353" s="23">
        <v>45543</v>
      </c>
      <c r="B353" s="22">
        <v>194</v>
      </c>
      <c r="C353" s="22">
        <v>78569.59</v>
      </c>
      <c r="D353" s="24">
        <f t="shared" si="10"/>
        <v>1.0364043539399037E-2</v>
      </c>
      <c r="E353" s="24">
        <f t="shared" si="11"/>
        <v>8.9293992286535312E-3</v>
      </c>
    </row>
    <row r="354" spans="1:5" x14ac:dyDescent="0.35">
      <c r="A354" s="23">
        <v>45512</v>
      </c>
      <c r="B354" s="22">
        <v>192.01</v>
      </c>
      <c r="C354" s="22">
        <v>77874.22</v>
      </c>
      <c r="D354" s="24">
        <f t="shared" si="10"/>
        <v>2.9544235924932927E-2</v>
      </c>
      <c r="E354" s="24">
        <f t="shared" si="11"/>
        <v>9.8519746418603803E-3</v>
      </c>
    </row>
    <row r="355" spans="1:5" x14ac:dyDescent="0.35">
      <c r="A355" s="23">
        <v>45481</v>
      </c>
      <c r="B355" s="22">
        <v>186.5</v>
      </c>
      <c r="C355" s="22">
        <v>77114.490000000005</v>
      </c>
      <c r="D355" s="24">
        <f t="shared" si="10"/>
        <v>-1.3227513227513227E-2</v>
      </c>
      <c r="E355" s="24">
        <f t="shared" si="11"/>
        <v>-9.9557800136636145E-4</v>
      </c>
    </row>
    <row r="356" spans="1:5" x14ac:dyDescent="0.35">
      <c r="A356" s="23">
        <v>45451</v>
      </c>
      <c r="B356" s="22">
        <v>189</v>
      </c>
      <c r="C356" s="22">
        <v>77191.34</v>
      </c>
      <c r="D356" s="24">
        <f t="shared" si="10"/>
        <v>5.3191489361702126E-3</v>
      </c>
      <c r="E356" s="24">
        <f t="shared" si="11"/>
        <v>1.3861413625489546E-3</v>
      </c>
    </row>
    <row r="357" spans="1:5" x14ac:dyDescent="0.35">
      <c r="A357" s="23">
        <v>45420</v>
      </c>
      <c r="B357" s="22">
        <v>188</v>
      </c>
      <c r="C357" s="22">
        <v>77084.490000000005</v>
      </c>
      <c r="D357" s="24">
        <f t="shared" si="10"/>
        <v>-1.5242784558168753E-2</v>
      </c>
      <c r="E357" s="24">
        <f t="shared" si="11"/>
        <v>-1.4592210925321623E-2</v>
      </c>
    </row>
    <row r="358" spans="1:5" x14ac:dyDescent="0.35">
      <c r="A358" s="23">
        <v>45330</v>
      </c>
      <c r="B358" s="22">
        <v>190.91</v>
      </c>
      <c r="C358" s="22">
        <v>78225.98</v>
      </c>
      <c r="D358" s="24">
        <f t="shared" si="10"/>
        <v>9.8446490218642033E-2</v>
      </c>
      <c r="E358" s="24">
        <f t="shared" si="11"/>
        <v>6.2473380926831691E-3</v>
      </c>
    </row>
    <row r="359" spans="1:5" x14ac:dyDescent="0.35">
      <c r="A359" s="23">
        <v>45299</v>
      </c>
      <c r="B359" s="22">
        <v>173.8</v>
      </c>
      <c r="C359" s="22">
        <v>77740.31</v>
      </c>
      <c r="D359" s="24">
        <f t="shared" si="10"/>
        <v>1.0465116279069833E-2</v>
      </c>
      <c r="E359" s="24">
        <f t="shared" si="11"/>
        <v>-1.8832413474960011E-3</v>
      </c>
    </row>
    <row r="360" spans="1:5" x14ac:dyDescent="0.35">
      <c r="A360" s="22" t="s">
        <v>237</v>
      </c>
      <c r="B360" s="22">
        <v>172</v>
      </c>
      <c r="C360" s="22">
        <v>77886.990000000005</v>
      </c>
      <c r="D360" s="24">
        <f t="shared" si="10"/>
        <v>-4.4444444444444446E-2</v>
      </c>
      <c r="E360" s="24">
        <f t="shared" si="11"/>
        <v>-9.4344553860091791E-3</v>
      </c>
    </row>
    <row r="361" spans="1:5" x14ac:dyDescent="0.35">
      <c r="A361" s="22" t="s">
        <v>238</v>
      </c>
      <c r="B361" s="22">
        <v>180</v>
      </c>
      <c r="C361" s="22">
        <v>78628.81</v>
      </c>
      <c r="D361" s="24">
        <f t="shared" si="10"/>
        <v>-2.014153511159493E-2</v>
      </c>
      <c r="E361" s="24">
        <f t="shared" si="11"/>
        <v>-2.5236040003177506E-3</v>
      </c>
    </row>
    <row r="362" spans="1:5" x14ac:dyDescent="0.35">
      <c r="A362" s="22" t="s">
        <v>239</v>
      </c>
      <c r="B362" s="22">
        <v>183.7</v>
      </c>
      <c r="C362" s="22">
        <v>78827.740000000005</v>
      </c>
      <c r="D362" s="24">
        <f t="shared" si="10"/>
        <v>3.2768978700163536E-3</v>
      </c>
      <c r="E362" s="24">
        <f t="shared" si="11"/>
        <v>1.0229847656354762E-2</v>
      </c>
    </row>
    <row r="363" spans="1:5" x14ac:dyDescent="0.35">
      <c r="A363" s="22" t="s">
        <v>240</v>
      </c>
      <c r="B363" s="22">
        <v>183.1</v>
      </c>
      <c r="C363" s="22">
        <v>78029.509999999995</v>
      </c>
      <c r="D363" s="24">
        <f t="shared" si="10"/>
        <v>-1.0270270270270301E-2</v>
      </c>
      <c r="E363" s="24">
        <f t="shared" si="11"/>
        <v>-5.6049924218800765E-3</v>
      </c>
    </row>
    <row r="364" spans="1:5" x14ac:dyDescent="0.35">
      <c r="A364" s="22" t="s">
        <v>241</v>
      </c>
      <c r="B364" s="22">
        <v>185</v>
      </c>
      <c r="C364" s="22">
        <v>78469.33</v>
      </c>
      <c r="D364" s="24">
        <f t="shared" si="10"/>
        <v>-1.0536449697812478E-2</v>
      </c>
      <c r="E364" s="24">
        <f t="shared" si="11"/>
        <v>-1.1684067195981222E-2</v>
      </c>
    </row>
    <row r="365" spans="1:5" x14ac:dyDescent="0.35">
      <c r="A365" s="22" t="s">
        <v>242</v>
      </c>
      <c r="B365" s="22">
        <v>186.97</v>
      </c>
      <c r="C365" s="22">
        <v>79397.009999999995</v>
      </c>
      <c r="D365" s="24">
        <f t="shared" si="10"/>
        <v>1.0648648648648642E-2</v>
      </c>
      <c r="E365" s="24">
        <f t="shared" si="11"/>
        <v>5.1897088498892453E-3</v>
      </c>
    </row>
    <row r="366" spans="1:5" x14ac:dyDescent="0.35">
      <c r="A366" s="22" t="s">
        <v>243</v>
      </c>
      <c r="B366" s="22">
        <v>185</v>
      </c>
      <c r="C366" s="22">
        <v>78987.09</v>
      </c>
      <c r="D366" s="24">
        <f t="shared" si="10"/>
        <v>-5.3763440860215058E-3</v>
      </c>
      <c r="E366" s="24">
        <f t="shared" si="11"/>
        <v>5.7028854002695237E-3</v>
      </c>
    </row>
    <row r="367" spans="1:5" x14ac:dyDescent="0.35">
      <c r="A367" s="22" t="s">
        <v>244</v>
      </c>
      <c r="B367" s="22">
        <v>186</v>
      </c>
      <c r="C367" s="22">
        <v>78539.19</v>
      </c>
      <c r="D367" s="24">
        <f t="shared" si="10"/>
        <v>-2.6178010471204188E-2</v>
      </c>
      <c r="E367" s="24">
        <f t="shared" si="11"/>
        <v>-1.9704712642831673E-2</v>
      </c>
    </row>
    <row r="368" spans="1:5" x14ac:dyDescent="0.35">
      <c r="A368" s="22" t="s">
        <v>245</v>
      </c>
      <c r="B368" s="22">
        <v>191</v>
      </c>
      <c r="C368" s="22">
        <v>80117.89</v>
      </c>
      <c r="D368" s="24">
        <f t="shared" si="10"/>
        <v>-2.3017902813299233E-2</v>
      </c>
      <c r="E368" s="24">
        <f t="shared" si="11"/>
        <v>-2.1040725142980464E-2</v>
      </c>
    </row>
    <row r="369" spans="1:5" x14ac:dyDescent="0.35">
      <c r="A369" s="22" t="s">
        <v>246</v>
      </c>
      <c r="B369" s="22">
        <v>195.5</v>
      </c>
      <c r="C369" s="22">
        <v>81839.86</v>
      </c>
      <c r="D369" s="24">
        <f t="shared" si="10"/>
        <v>1.3005855225659313E-2</v>
      </c>
      <c r="E369" s="24">
        <f t="shared" si="11"/>
        <v>8.4313333360441743E-3</v>
      </c>
    </row>
    <row r="370" spans="1:5" x14ac:dyDescent="0.35">
      <c r="A370" s="22" t="s">
        <v>247</v>
      </c>
      <c r="B370" s="22">
        <v>192.99</v>
      </c>
      <c r="C370" s="22">
        <v>81155.61</v>
      </c>
      <c r="D370" s="24">
        <f t="shared" si="10"/>
        <v>2.4933769674303579E-3</v>
      </c>
      <c r="E370" s="24">
        <f t="shared" si="11"/>
        <v>1.5154464181846999E-2</v>
      </c>
    </row>
    <row r="371" spans="1:5" x14ac:dyDescent="0.35">
      <c r="A371" s="23">
        <v>45633</v>
      </c>
      <c r="B371" s="22">
        <v>192.51</v>
      </c>
      <c r="C371" s="22">
        <v>79944.100000000006</v>
      </c>
      <c r="D371" s="24">
        <f t="shared" si="10"/>
        <v>-2.5388601036269902E-3</v>
      </c>
      <c r="E371" s="24">
        <f t="shared" si="11"/>
        <v>-6.0318267934371221E-4</v>
      </c>
    </row>
    <row r="372" spans="1:5" x14ac:dyDescent="0.35">
      <c r="A372" s="23">
        <v>45603</v>
      </c>
      <c r="B372" s="22">
        <v>193</v>
      </c>
      <c r="C372" s="22">
        <v>79992.350000000006</v>
      </c>
      <c r="D372" s="24">
        <f t="shared" si="10"/>
        <v>-3.4227381905524434E-2</v>
      </c>
      <c r="E372" s="24">
        <f t="shared" si="11"/>
        <v>1.888615402805358E-3</v>
      </c>
    </row>
    <row r="373" spans="1:5" x14ac:dyDescent="0.35">
      <c r="A373" s="23">
        <v>45572</v>
      </c>
      <c r="B373" s="22">
        <v>199.84</v>
      </c>
      <c r="C373" s="22">
        <v>79841.56</v>
      </c>
      <c r="D373" s="24">
        <f t="shared" si="10"/>
        <v>2.9611041405269932E-3</v>
      </c>
      <c r="E373" s="24">
        <f t="shared" si="11"/>
        <v>-1.0294766242488415E-2</v>
      </c>
    </row>
    <row r="374" spans="1:5" x14ac:dyDescent="0.35">
      <c r="A374" s="23">
        <v>45542</v>
      </c>
      <c r="B374" s="22">
        <v>199.25</v>
      </c>
      <c r="C374" s="22">
        <v>80672.06</v>
      </c>
      <c r="D374" s="24">
        <f t="shared" si="10"/>
        <v>2.2056937676327323E-2</v>
      </c>
      <c r="E374" s="24">
        <f t="shared" si="11"/>
        <v>1.3138262306243681E-3</v>
      </c>
    </row>
    <row r="375" spans="1:5" x14ac:dyDescent="0.35">
      <c r="A375" s="23">
        <v>45511</v>
      </c>
      <c r="B375" s="22">
        <v>194.95</v>
      </c>
      <c r="C375" s="22">
        <v>80566.210000000006</v>
      </c>
      <c r="D375" s="24">
        <f t="shared" si="10"/>
        <v>3.4217506631299674E-2</v>
      </c>
      <c r="E375" s="24">
        <f t="shared" si="11"/>
        <v>4.4060305095984425E-3</v>
      </c>
    </row>
    <row r="376" spans="1:5" x14ac:dyDescent="0.35">
      <c r="A376" s="23">
        <v>45419</v>
      </c>
      <c r="B376" s="22">
        <v>188.5</v>
      </c>
      <c r="C376" s="22">
        <v>80212.789999999994</v>
      </c>
      <c r="D376" s="24">
        <f t="shared" si="10"/>
        <v>-4.4890414576181379E-3</v>
      </c>
      <c r="E376" s="24">
        <f t="shared" si="11"/>
        <v>-8.7204233036228566E-4</v>
      </c>
    </row>
    <row r="377" spans="1:5" x14ac:dyDescent="0.35">
      <c r="A377" s="23">
        <v>45389</v>
      </c>
      <c r="B377" s="22">
        <v>189.35</v>
      </c>
      <c r="C377" s="22">
        <v>80282.8</v>
      </c>
      <c r="D377" s="24">
        <f t="shared" si="10"/>
        <v>6.3764044943820194E-2</v>
      </c>
      <c r="E377" s="24">
        <f t="shared" si="11"/>
        <v>6.123364417956284E-4</v>
      </c>
    </row>
    <row r="378" spans="1:5" x14ac:dyDescent="0.35">
      <c r="A378" s="23">
        <v>45358</v>
      </c>
      <c r="B378" s="22">
        <v>178</v>
      </c>
      <c r="C378" s="22">
        <v>80233.67</v>
      </c>
      <c r="D378" s="24">
        <f t="shared" si="10"/>
        <v>1.1938601478112531E-2</v>
      </c>
      <c r="E378" s="24">
        <f t="shared" si="11"/>
        <v>8.5575772294381614E-3</v>
      </c>
    </row>
    <row r="379" spans="1:5" x14ac:dyDescent="0.35">
      <c r="A379" s="23">
        <v>45329</v>
      </c>
      <c r="B379" s="22">
        <v>175.9</v>
      </c>
      <c r="C379" s="22">
        <v>79552.89</v>
      </c>
      <c r="D379" s="24">
        <f t="shared" si="10"/>
        <v>1.6763005780346854E-2</v>
      </c>
      <c r="E379" s="24">
        <f t="shared" si="11"/>
        <v>9.2428314963158929E-3</v>
      </c>
    </row>
    <row r="380" spans="1:5" x14ac:dyDescent="0.35">
      <c r="A380" s="23">
        <v>45298</v>
      </c>
      <c r="B380" s="22">
        <v>173</v>
      </c>
      <c r="C380" s="22">
        <v>78824.33</v>
      </c>
      <c r="D380" s="24">
        <f t="shared" si="10"/>
        <v>-2.2598870056497175E-2</v>
      </c>
      <c r="E380" s="24">
        <f t="shared" si="11"/>
        <v>4.8361296888926363E-3</v>
      </c>
    </row>
    <row r="381" spans="1:5" x14ac:dyDescent="0.35">
      <c r="A381" s="22" t="s">
        <v>248</v>
      </c>
      <c r="B381" s="22">
        <v>177</v>
      </c>
      <c r="C381" s="22">
        <v>78444.960000000006</v>
      </c>
      <c r="D381" s="24">
        <f t="shared" si="10"/>
        <v>3.0267753201396904E-2</v>
      </c>
      <c r="E381" s="24">
        <f t="shared" si="11"/>
        <v>-1.0606374139242069E-3</v>
      </c>
    </row>
    <row r="382" spans="1:5" x14ac:dyDescent="0.35">
      <c r="A382" s="22" t="s">
        <v>249</v>
      </c>
      <c r="B382" s="22">
        <v>171.8</v>
      </c>
      <c r="C382" s="22">
        <v>78528.25</v>
      </c>
      <c r="D382" s="24">
        <f t="shared" si="10"/>
        <v>-4.0579710144926879E-3</v>
      </c>
      <c r="E382" s="24">
        <f t="shared" si="11"/>
        <v>3.2270572010581304E-3</v>
      </c>
    </row>
    <row r="383" spans="1:5" x14ac:dyDescent="0.35">
      <c r="A383" s="22" t="s">
        <v>250</v>
      </c>
      <c r="B383" s="22">
        <v>172.5</v>
      </c>
      <c r="C383" s="22">
        <v>78275.649999999994</v>
      </c>
      <c r="D383" s="24">
        <f t="shared" si="10"/>
        <v>-5.4770827327759513E-3</v>
      </c>
      <c r="E383" s="24">
        <f t="shared" si="11"/>
        <v>4.2990442206100139E-3</v>
      </c>
    </row>
    <row r="384" spans="1:5" x14ac:dyDescent="0.35">
      <c r="A384" s="22" t="s">
        <v>251</v>
      </c>
      <c r="B384" s="22">
        <v>173.45</v>
      </c>
      <c r="C384" s="22">
        <v>77940.58</v>
      </c>
      <c r="D384" s="24">
        <f t="shared" si="10"/>
        <v>2.6011560693640959E-3</v>
      </c>
      <c r="E384" s="24">
        <f t="shared" si="11"/>
        <v>-3.7263476245684834E-3</v>
      </c>
    </row>
    <row r="385" spans="1:5" x14ac:dyDescent="0.35">
      <c r="A385" s="22" t="s">
        <v>252</v>
      </c>
      <c r="B385" s="22">
        <v>173</v>
      </c>
      <c r="C385" s="22">
        <v>78232.100000000006</v>
      </c>
      <c r="D385" s="24">
        <f t="shared" si="10"/>
        <v>0</v>
      </c>
      <c r="E385" s="24">
        <f t="shared" si="11"/>
        <v>-7.3389976385123271E-3</v>
      </c>
    </row>
    <row r="386" spans="1:5" x14ac:dyDescent="0.35">
      <c r="A386" s="22" t="s">
        <v>253</v>
      </c>
      <c r="B386" s="22">
        <v>173</v>
      </c>
      <c r="C386" s="22">
        <v>78810.490000000005</v>
      </c>
      <c r="D386" s="24">
        <f t="shared" si="10"/>
        <v>-1.204956884244197E-2</v>
      </c>
      <c r="E386" s="24">
        <f t="shared" si="11"/>
        <v>1.1370337606397239E-4</v>
      </c>
    </row>
    <row r="387" spans="1:5" x14ac:dyDescent="0.35">
      <c r="A387" s="22" t="s">
        <v>254</v>
      </c>
      <c r="B387" s="22">
        <v>175.11</v>
      </c>
      <c r="C387" s="22">
        <v>78801.53</v>
      </c>
      <c r="D387" s="24">
        <f t="shared" si="10"/>
        <v>6.2857142857150649E-4</v>
      </c>
      <c r="E387" s="24">
        <f t="shared" si="11"/>
        <v>2.7308671711766701E-2</v>
      </c>
    </row>
    <row r="388" spans="1:5" x14ac:dyDescent="0.35">
      <c r="A388" s="22" t="s">
        <v>255</v>
      </c>
      <c r="B388" s="22">
        <v>175</v>
      </c>
      <c r="C388" s="22">
        <v>76706.77</v>
      </c>
      <c r="D388" s="24">
        <f t="shared" si="10"/>
        <v>2.8653295128939827E-3</v>
      </c>
      <c r="E388" s="24">
        <f t="shared" si="11"/>
        <v>6.5427376805843439E-3</v>
      </c>
    </row>
    <row r="389" spans="1:5" x14ac:dyDescent="0.35">
      <c r="A389" s="22" t="s">
        <v>256</v>
      </c>
      <c r="B389" s="22">
        <v>174.5</v>
      </c>
      <c r="C389" s="22">
        <v>76208.160000000003</v>
      </c>
      <c r="D389" s="24">
        <f t="shared" ref="D389:D452" si="12">(B389-B390)/B390</f>
        <v>2.6470588235294117E-2</v>
      </c>
      <c r="E389" s="24">
        <f t="shared" ref="E389:E452" si="13">(C389-C390)/C390</f>
        <v>4.6852340803789513E-2</v>
      </c>
    </row>
    <row r="390" spans="1:5" x14ac:dyDescent="0.35">
      <c r="A390" s="23">
        <v>45632</v>
      </c>
      <c r="B390" s="22">
        <v>170</v>
      </c>
      <c r="C390" s="22">
        <v>72797.429999999993</v>
      </c>
      <c r="D390" s="24">
        <f t="shared" si="12"/>
        <v>-5.2662375658280025E-3</v>
      </c>
      <c r="E390" s="24">
        <f t="shared" si="13"/>
        <v>2.8646020243424737E-3</v>
      </c>
    </row>
    <row r="391" spans="1:5" x14ac:dyDescent="0.35">
      <c r="A391" s="23">
        <v>45602</v>
      </c>
      <c r="B391" s="22">
        <v>170.9</v>
      </c>
      <c r="C391" s="22">
        <v>72589.490000000005</v>
      </c>
      <c r="D391" s="24">
        <f t="shared" si="12"/>
        <v>2.1396127181448798E-2</v>
      </c>
      <c r="E391" s="24">
        <f t="shared" si="13"/>
        <v>-9.0518338198691279E-3</v>
      </c>
    </row>
    <row r="392" spans="1:5" x14ac:dyDescent="0.35">
      <c r="A392" s="23">
        <v>45571</v>
      </c>
      <c r="B392" s="22">
        <v>167.32</v>
      </c>
      <c r="C392" s="22">
        <v>73252.56</v>
      </c>
      <c r="D392" s="24">
        <f t="shared" si="12"/>
        <v>2.3363914373088643E-2</v>
      </c>
      <c r="E392" s="24">
        <f t="shared" si="13"/>
        <v>-6.7990870192567998E-3</v>
      </c>
    </row>
    <row r="393" spans="1:5" x14ac:dyDescent="0.35">
      <c r="A393" s="23">
        <v>45479</v>
      </c>
      <c r="B393" s="22">
        <v>163.5</v>
      </c>
      <c r="C393" s="22">
        <v>73754.02</v>
      </c>
      <c r="D393" s="24">
        <f t="shared" si="12"/>
        <v>-1.8018018018018018E-2</v>
      </c>
      <c r="E393" s="24">
        <f t="shared" si="13"/>
        <v>-1.4744879467953539E-3</v>
      </c>
    </row>
    <row r="394" spans="1:5" x14ac:dyDescent="0.35">
      <c r="A394" s="23">
        <v>45449</v>
      </c>
      <c r="B394" s="22">
        <v>166.5</v>
      </c>
      <c r="C394" s="22">
        <v>73862.929999999993</v>
      </c>
      <c r="D394" s="24">
        <f t="shared" si="12"/>
        <v>-2.9940119760479044E-3</v>
      </c>
      <c r="E394" s="24">
        <f t="shared" si="13"/>
        <v>-4.8034585008996204E-3</v>
      </c>
    </row>
    <row r="395" spans="1:5" x14ac:dyDescent="0.35">
      <c r="A395" s="23">
        <v>45418</v>
      </c>
      <c r="B395" s="22">
        <v>167</v>
      </c>
      <c r="C395" s="22">
        <v>74219.44</v>
      </c>
      <c r="D395" s="24">
        <f t="shared" si="12"/>
        <v>-2.9850746268656717E-3</v>
      </c>
      <c r="E395" s="24">
        <f t="shared" si="13"/>
        <v>-5.9895541062102032E-3</v>
      </c>
    </row>
    <row r="396" spans="1:5" x14ac:dyDescent="0.35">
      <c r="A396" s="23">
        <v>45388</v>
      </c>
      <c r="B396" s="22">
        <v>167.5</v>
      </c>
      <c r="C396" s="22">
        <v>74666.66</v>
      </c>
      <c r="D396" s="24">
        <f t="shared" si="12"/>
        <v>-8.8757396449704144E-3</v>
      </c>
      <c r="E396" s="24">
        <f t="shared" si="13"/>
        <v>-1.2022452850310953E-2</v>
      </c>
    </row>
    <row r="397" spans="1:5" x14ac:dyDescent="0.35">
      <c r="A397" s="23">
        <v>45357</v>
      </c>
      <c r="B397" s="22">
        <v>169</v>
      </c>
      <c r="C397" s="22">
        <v>75575.259999999995</v>
      </c>
      <c r="D397" s="24">
        <f t="shared" si="12"/>
        <v>-5.297233666862894E-3</v>
      </c>
      <c r="E397" s="24">
        <f t="shared" si="13"/>
        <v>-3.996126437957128E-3</v>
      </c>
    </row>
    <row r="398" spans="1:5" x14ac:dyDescent="0.35">
      <c r="A398" s="22" t="s">
        <v>257</v>
      </c>
      <c r="B398" s="22">
        <v>169.9</v>
      </c>
      <c r="C398" s="22">
        <v>75878.48</v>
      </c>
      <c r="D398" s="24">
        <f t="shared" si="12"/>
        <v>-5.2944290840639685E-4</v>
      </c>
      <c r="E398" s="24">
        <f t="shared" si="13"/>
        <v>1.3359843970441574E-2</v>
      </c>
    </row>
    <row r="399" spans="1:5" x14ac:dyDescent="0.35">
      <c r="A399" s="22" t="s">
        <v>258</v>
      </c>
      <c r="B399" s="22">
        <v>169.99</v>
      </c>
      <c r="C399" s="22">
        <v>74878.12</v>
      </c>
      <c r="D399" s="24">
        <f t="shared" si="12"/>
        <v>1.48656716417911E-2</v>
      </c>
      <c r="E399" s="24">
        <f t="shared" si="13"/>
        <v>5.5881971716924045E-4</v>
      </c>
    </row>
    <row r="400" spans="1:5" x14ac:dyDescent="0.35">
      <c r="A400" s="22" t="s">
        <v>259</v>
      </c>
      <c r="B400" s="22">
        <v>167.5</v>
      </c>
      <c r="C400" s="22">
        <v>74836.3</v>
      </c>
      <c r="D400" s="24">
        <f t="shared" si="12"/>
        <v>-1.0047281323877002E-2</v>
      </c>
      <c r="E400" s="24">
        <f t="shared" si="13"/>
        <v>-9.0202945039619606E-3</v>
      </c>
    </row>
    <row r="401" spans="1:5" x14ac:dyDescent="0.35">
      <c r="A401" s="22" t="s">
        <v>260</v>
      </c>
      <c r="B401" s="22">
        <v>169.2</v>
      </c>
      <c r="C401" s="22">
        <v>75517.490000000005</v>
      </c>
      <c r="D401" s="24">
        <f t="shared" si="12"/>
        <v>-1.1220196353436278E-2</v>
      </c>
      <c r="E401" s="24">
        <f t="shared" si="13"/>
        <v>-6.1270251887788167E-3</v>
      </c>
    </row>
    <row r="402" spans="1:5" x14ac:dyDescent="0.35">
      <c r="A402" s="22" t="s">
        <v>261</v>
      </c>
      <c r="B402" s="22">
        <v>171.12</v>
      </c>
      <c r="C402" s="22">
        <v>75983.039999999994</v>
      </c>
      <c r="D402" s="24">
        <f t="shared" si="12"/>
        <v>-5.1162790697674154E-3</v>
      </c>
      <c r="E402" s="24">
        <f t="shared" si="13"/>
        <v>1.1563284677372981E-2</v>
      </c>
    </row>
    <row r="403" spans="1:5" x14ac:dyDescent="0.35">
      <c r="A403" s="22" t="s">
        <v>262</v>
      </c>
      <c r="B403" s="22">
        <v>172</v>
      </c>
      <c r="C403" s="22">
        <v>75114.47</v>
      </c>
      <c r="D403" s="24">
        <f t="shared" si="12"/>
        <v>-5.7803468208092483E-3</v>
      </c>
      <c r="E403" s="24">
        <f t="shared" si="13"/>
        <v>2.1052162536036208E-3</v>
      </c>
    </row>
    <row r="404" spans="1:5" x14ac:dyDescent="0.35">
      <c r="A404" s="22" t="s">
        <v>263</v>
      </c>
      <c r="B404" s="22">
        <v>173</v>
      </c>
      <c r="C404" s="22">
        <v>74956.67</v>
      </c>
      <c r="D404" s="24">
        <f t="shared" si="12"/>
        <v>0</v>
      </c>
      <c r="E404" s="24">
        <f t="shared" si="13"/>
        <v>-3.3254984890323811E-3</v>
      </c>
    </row>
    <row r="405" spans="1:5" x14ac:dyDescent="0.35">
      <c r="A405" s="22" t="s">
        <v>264</v>
      </c>
      <c r="B405" s="22">
        <v>173</v>
      </c>
      <c r="C405" s="22">
        <v>75206.77</v>
      </c>
      <c r="D405" s="24">
        <f t="shared" si="12"/>
        <v>1.1577593263945677E-2</v>
      </c>
      <c r="E405" s="24">
        <f t="shared" si="13"/>
        <v>1.635102019072027E-3</v>
      </c>
    </row>
    <row r="406" spans="1:5" x14ac:dyDescent="0.35">
      <c r="A406" s="22" t="s">
        <v>265</v>
      </c>
      <c r="B406" s="22">
        <v>171.02</v>
      </c>
      <c r="C406" s="22">
        <v>75084</v>
      </c>
      <c r="D406" s="24">
        <f t="shared" si="12"/>
        <v>-2.8295454545454488E-2</v>
      </c>
      <c r="E406" s="24">
        <f t="shared" si="13"/>
        <v>-3.429014359122138E-3</v>
      </c>
    </row>
    <row r="407" spans="1:5" x14ac:dyDescent="0.35">
      <c r="A407" s="22" t="s">
        <v>266</v>
      </c>
      <c r="B407" s="22">
        <v>176</v>
      </c>
      <c r="C407" s="22">
        <v>75342.350000000006</v>
      </c>
      <c r="D407" s="24">
        <f t="shared" si="12"/>
        <v>6.2893081761005963E-3</v>
      </c>
      <c r="E407" s="24">
        <f t="shared" si="13"/>
        <v>5.4937428850926088E-3</v>
      </c>
    </row>
    <row r="408" spans="1:5" x14ac:dyDescent="0.35">
      <c r="A408" s="22" t="s">
        <v>267</v>
      </c>
      <c r="B408" s="22">
        <v>174.9</v>
      </c>
      <c r="C408" s="22">
        <v>74930.7</v>
      </c>
      <c r="D408" s="24">
        <f t="shared" si="12"/>
        <v>-1.1976047904191642E-2</v>
      </c>
      <c r="E408" s="24">
        <f t="shared" si="13"/>
        <v>3.5722713951225368E-3</v>
      </c>
    </row>
    <row r="409" spans="1:5" x14ac:dyDescent="0.35">
      <c r="A409" s="22" t="s">
        <v>268</v>
      </c>
      <c r="B409" s="22">
        <v>177.02</v>
      </c>
      <c r="C409" s="22">
        <v>74663.98</v>
      </c>
      <c r="D409" s="24">
        <f t="shared" si="12"/>
        <v>2.0288184438040403E-2</v>
      </c>
      <c r="E409" s="24">
        <f t="shared" si="13"/>
        <v>1.7816701974031756E-3</v>
      </c>
    </row>
    <row r="410" spans="1:5" x14ac:dyDescent="0.35">
      <c r="A410" s="22" t="s">
        <v>269</v>
      </c>
      <c r="B410" s="22">
        <v>173.5</v>
      </c>
      <c r="C410" s="22">
        <v>74531.19</v>
      </c>
      <c r="D410" s="24">
        <f t="shared" si="12"/>
        <v>-9.7031963470318987E-3</v>
      </c>
      <c r="E410" s="24">
        <f t="shared" si="13"/>
        <v>9.9199028280964607E-3</v>
      </c>
    </row>
    <row r="411" spans="1:5" x14ac:dyDescent="0.35">
      <c r="A411" s="22" t="s">
        <v>270</v>
      </c>
      <c r="B411" s="22">
        <v>175.2</v>
      </c>
      <c r="C411" s="22">
        <v>73799.11</v>
      </c>
      <c r="D411" s="24">
        <f t="shared" si="12"/>
        <v>2.7565982404692015E-2</v>
      </c>
      <c r="E411" s="24">
        <f t="shared" si="13"/>
        <v>9.764043483317492E-3</v>
      </c>
    </row>
    <row r="412" spans="1:5" x14ac:dyDescent="0.35">
      <c r="A412" s="23">
        <v>45570</v>
      </c>
      <c r="B412" s="22">
        <v>170.5</v>
      </c>
      <c r="C412" s="22">
        <v>73085.5</v>
      </c>
      <c r="D412" s="24">
        <f t="shared" si="12"/>
        <v>-2.6323486399531366E-3</v>
      </c>
      <c r="E412" s="24">
        <f t="shared" si="13"/>
        <v>5.8830370482004001E-3</v>
      </c>
    </row>
    <row r="413" spans="1:5" x14ac:dyDescent="0.35">
      <c r="A413" s="23">
        <v>45540</v>
      </c>
      <c r="B413" s="22">
        <v>170.95</v>
      </c>
      <c r="C413" s="22">
        <v>72658.05</v>
      </c>
      <c r="D413" s="24">
        <f t="shared" si="12"/>
        <v>1.1538461538461471E-2</v>
      </c>
      <c r="E413" s="24">
        <f t="shared" si="13"/>
        <v>7.744984905336522E-4</v>
      </c>
    </row>
    <row r="414" spans="1:5" x14ac:dyDescent="0.35">
      <c r="A414" s="23">
        <v>45509</v>
      </c>
      <c r="B414" s="22">
        <v>169</v>
      </c>
      <c r="C414" s="22">
        <v>72601.820000000007</v>
      </c>
      <c r="D414" s="24">
        <f t="shared" si="12"/>
        <v>-3.4837235865219841E-2</v>
      </c>
      <c r="E414" s="24">
        <f t="shared" si="13"/>
        <v>-2.1904531536037081E-3</v>
      </c>
    </row>
    <row r="415" spans="1:5" x14ac:dyDescent="0.35">
      <c r="A415" s="23">
        <v>45478</v>
      </c>
      <c r="B415" s="22">
        <v>175.1</v>
      </c>
      <c r="C415" s="22">
        <v>72761.2</v>
      </c>
      <c r="D415" s="24">
        <f t="shared" si="12"/>
        <v>-1.0734463276836191E-2</v>
      </c>
      <c r="E415" s="24">
        <f t="shared" si="13"/>
        <v>-4.177876385444483E-5</v>
      </c>
    </row>
    <row r="416" spans="1:5" x14ac:dyDescent="0.35">
      <c r="A416" s="23">
        <v>45448</v>
      </c>
      <c r="B416" s="22">
        <v>177</v>
      </c>
      <c r="C416" s="22">
        <v>72764.240000000005</v>
      </c>
      <c r="D416" s="24">
        <f t="shared" si="12"/>
        <v>4.1176470588235294E-2</v>
      </c>
      <c r="E416" s="24">
        <f t="shared" si="13"/>
        <v>1.1990611121318015E-2</v>
      </c>
    </row>
    <row r="417" spans="1:5" x14ac:dyDescent="0.35">
      <c r="A417" s="23">
        <v>45356</v>
      </c>
      <c r="B417" s="22">
        <v>170</v>
      </c>
      <c r="C417" s="22">
        <v>71902.09</v>
      </c>
      <c r="D417" s="24">
        <f t="shared" si="12"/>
        <v>2.9055690072639296E-2</v>
      </c>
      <c r="E417" s="24">
        <f t="shared" si="13"/>
        <v>1.7612391243183288E-2</v>
      </c>
    </row>
    <row r="418" spans="1:5" x14ac:dyDescent="0.35">
      <c r="A418" s="23">
        <v>45327</v>
      </c>
      <c r="B418" s="22">
        <v>165.2</v>
      </c>
      <c r="C418" s="22">
        <v>70657.64</v>
      </c>
      <c r="D418" s="24">
        <f t="shared" si="12"/>
        <v>-2.0746887966804982E-2</v>
      </c>
      <c r="E418" s="24">
        <f t="shared" si="13"/>
        <v>-6.2573001952813713E-3</v>
      </c>
    </row>
    <row r="419" spans="1:5" x14ac:dyDescent="0.35">
      <c r="A419" s="22" t="s">
        <v>271</v>
      </c>
      <c r="B419" s="22">
        <v>168.7</v>
      </c>
      <c r="C419" s="22">
        <v>71102.55</v>
      </c>
      <c r="D419" s="24">
        <f t="shared" si="12"/>
        <v>-7.3076923076923136E-2</v>
      </c>
      <c r="E419" s="24">
        <f t="shared" si="13"/>
        <v>-8.2638922112173736E-3</v>
      </c>
    </row>
    <row r="420" spans="1:5" x14ac:dyDescent="0.35">
      <c r="A420" s="22" t="s">
        <v>272</v>
      </c>
      <c r="B420" s="22">
        <v>182</v>
      </c>
      <c r="C420" s="22">
        <v>71695.03</v>
      </c>
      <c r="D420" s="24">
        <f t="shared" si="12"/>
        <v>5.135463000404359E-2</v>
      </c>
      <c r="E420" s="24">
        <f t="shared" si="13"/>
        <v>-1.4403084843506758E-2</v>
      </c>
    </row>
    <row r="421" spans="1:5" x14ac:dyDescent="0.35">
      <c r="A421" s="22" t="s">
        <v>273</v>
      </c>
      <c r="B421" s="22">
        <v>173.11</v>
      </c>
      <c r="C421" s="22">
        <v>72742.75</v>
      </c>
      <c r="D421" s="24">
        <f t="shared" si="12"/>
        <v>7.5217391304347916E-2</v>
      </c>
      <c r="E421" s="24">
        <f t="shared" si="13"/>
        <v>1.0717451654407248E-2</v>
      </c>
    </row>
    <row r="422" spans="1:5" x14ac:dyDescent="0.35">
      <c r="A422" s="22" t="s">
        <v>274</v>
      </c>
      <c r="B422" s="22">
        <v>161</v>
      </c>
      <c r="C422" s="22">
        <v>71971.399999999994</v>
      </c>
      <c r="D422" s="24">
        <f t="shared" si="12"/>
        <v>-9.2307692307692316E-3</v>
      </c>
      <c r="E422" s="24">
        <f t="shared" si="13"/>
        <v>-1.1171115705640093E-3</v>
      </c>
    </row>
    <row r="423" spans="1:5" x14ac:dyDescent="0.35">
      <c r="A423" s="22" t="s">
        <v>275</v>
      </c>
      <c r="B423" s="22">
        <v>162.5</v>
      </c>
      <c r="C423" s="22">
        <v>72051.89</v>
      </c>
      <c r="D423" s="24">
        <f t="shared" si="12"/>
        <v>-6.1162079510703364E-3</v>
      </c>
      <c r="E423" s="24">
        <f t="shared" si="13"/>
        <v>9.7041161074621542E-3</v>
      </c>
    </row>
    <row r="424" spans="1:5" x14ac:dyDescent="0.35">
      <c r="A424" s="22" t="s">
        <v>276</v>
      </c>
      <c r="B424" s="22">
        <v>163.5</v>
      </c>
      <c r="C424" s="22">
        <v>71359.41</v>
      </c>
      <c r="D424" s="24">
        <f t="shared" si="12"/>
        <v>-3.0487804878048782E-3</v>
      </c>
      <c r="E424" s="24">
        <f t="shared" si="13"/>
        <v>-1.036629053107646E-3</v>
      </c>
    </row>
    <row r="425" spans="1:5" x14ac:dyDescent="0.35">
      <c r="A425" s="22" t="s">
        <v>277</v>
      </c>
      <c r="B425" s="22">
        <v>164</v>
      </c>
      <c r="C425" s="22">
        <v>71433.460000000006</v>
      </c>
      <c r="D425" s="24">
        <f t="shared" si="12"/>
        <v>1.5267175572519084E-3</v>
      </c>
      <c r="E425" s="24">
        <f t="shared" si="13"/>
        <v>7.3834542144328545E-3</v>
      </c>
    </row>
    <row r="426" spans="1:5" x14ac:dyDescent="0.35">
      <c r="A426" s="22" t="s">
        <v>278</v>
      </c>
      <c r="B426" s="22">
        <v>163.75</v>
      </c>
      <c r="C426" s="22">
        <v>70909.899999999994</v>
      </c>
      <c r="D426" s="24">
        <f t="shared" si="12"/>
        <v>2.34375E-2</v>
      </c>
      <c r="E426" s="24">
        <f t="shared" si="13"/>
        <v>8.8174554261679864E-3</v>
      </c>
    </row>
    <row r="427" spans="1:5" x14ac:dyDescent="0.35">
      <c r="A427" s="22" t="s">
        <v>279</v>
      </c>
      <c r="B427" s="22">
        <v>160</v>
      </c>
      <c r="C427" s="22">
        <v>70290.12</v>
      </c>
      <c r="D427" s="24">
        <f t="shared" si="12"/>
        <v>-3.1773721263472117E-3</v>
      </c>
      <c r="E427" s="24">
        <f t="shared" si="13"/>
        <v>-6.1421812591829362E-4</v>
      </c>
    </row>
    <row r="428" spans="1:5" x14ac:dyDescent="0.35">
      <c r="A428" s="22" t="s">
        <v>280</v>
      </c>
      <c r="B428" s="22">
        <v>160.51</v>
      </c>
      <c r="C428" s="22">
        <v>70333.320000000007</v>
      </c>
      <c r="D428" s="24">
        <f t="shared" si="12"/>
        <v>-3.0434782608696215E-3</v>
      </c>
      <c r="E428" s="24">
        <f t="shared" si="13"/>
        <v>-2.1329766360032453E-3</v>
      </c>
    </row>
    <row r="429" spans="1:5" x14ac:dyDescent="0.35">
      <c r="A429" s="22" t="s">
        <v>281</v>
      </c>
      <c r="B429" s="22">
        <v>161</v>
      </c>
      <c r="C429" s="22">
        <v>70483.66</v>
      </c>
      <c r="D429" s="24">
        <f t="shared" si="12"/>
        <v>-1.2269938650306749E-2</v>
      </c>
      <c r="E429" s="24">
        <f t="shared" si="13"/>
        <v>-8.6356740659591783E-4</v>
      </c>
    </row>
    <row r="430" spans="1:5" x14ac:dyDescent="0.35">
      <c r="A430" s="22" t="s">
        <v>282</v>
      </c>
      <c r="B430" s="22">
        <v>163</v>
      </c>
      <c r="C430" s="22">
        <v>70544.58</v>
      </c>
      <c r="D430" s="24">
        <f t="shared" si="12"/>
        <v>-3.0581039755351682E-3</v>
      </c>
      <c r="E430" s="24">
        <f t="shared" si="13"/>
        <v>3.2690167862433439E-3</v>
      </c>
    </row>
    <row r="431" spans="1:5" x14ac:dyDescent="0.35">
      <c r="A431" s="23">
        <v>45539</v>
      </c>
      <c r="B431" s="22">
        <v>163.5</v>
      </c>
      <c r="C431" s="22">
        <v>70314.720000000001</v>
      </c>
      <c r="D431" s="24">
        <f t="shared" si="12"/>
        <v>-5.4744525547445596E-3</v>
      </c>
      <c r="E431" s="24">
        <f t="shared" si="13"/>
        <v>9.9788868111011769E-3</v>
      </c>
    </row>
    <row r="432" spans="1:5" x14ac:dyDescent="0.35">
      <c r="A432" s="23">
        <v>45508</v>
      </c>
      <c r="B432" s="22">
        <v>164.4</v>
      </c>
      <c r="C432" s="22">
        <v>69619.990000000005</v>
      </c>
      <c r="D432" s="24">
        <f t="shared" si="12"/>
        <v>2.5001524483199986E-3</v>
      </c>
      <c r="E432" s="24">
        <f t="shared" si="13"/>
        <v>1.7586475130808646E-2</v>
      </c>
    </row>
    <row r="433" spans="1:5" x14ac:dyDescent="0.35">
      <c r="A433" s="23">
        <v>45386</v>
      </c>
      <c r="B433" s="22">
        <v>163.99</v>
      </c>
      <c r="C433" s="22">
        <v>68416.78</v>
      </c>
      <c r="D433" s="24">
        <f t="shared" si="12"/>
        <v>1.5268107976059606E-3</v>
      </c>
      <c r="E433" s="24">
        <f t="shared" si="13"/>
        <v>9.7517505450437376E-3</v>
      </c>
    </row>
    <row r="434" spans="1:5" x14ac:dyDescent="0.35">
      <c r="A434" s="23">
        <v>45355</v>
      </c>
      <c r="B434" s="22">
        <v>163.74</v>
      </c>
      <c r="C434" s="22">
        <v>67756.039999999994</v>
      </c>
      <c r="D434" s="24">
        <f t="shared" si="12"/>
        <v>1.7018633540372727E-2</v>
      </c>
      <c r="E434" s="24">
        <f t="shared" si="13"/>
        <v>1.3003866563925071E-2</v>
      </c>
    </row>
    <row r="435" spans="1:5" x14ac:dyDescent="0.35">
      <c r="A435" s="23">
        <v>45326</v>
      </c>
      <c r="B435" s="22">
        <v>161</v>
      </c>
      <c r="C435" s="22">
        <v>66886.259999999995</v>
      </c>
      <c r="D435" s="24">
        <f t="shared" si="12"/>
        <v>-6.1728395061728392E-3</v>
      </c>
      <c r="E435" s="24">
        <f t="shared" si="13"/>
        <v>1.3464813630449666E-3</v>
      </c>
    </row>
    <row r="436" spans="1:5" x14ac:dyDescent="0.35">
      <c r="A436" s="23">
        <v>45295</v>
      </c>
      <c r="B436" s="22">
        <v>162</v>
      </c>
      <c r="C436" s="22">
        <v>66796.320000000007</v>
      </c>
      <c r="D436" s="24">
        <f t="shared" si="12"/>
        <v>1.1867582760774553E-2</v>
      </c>
      <c r="E436" s="24">
        <f t="shared" si="13"/>
        <v>-3.1160310012175729E-3</v>
      </c>
    </row>
    <row r="437" spans="1:5" x14ac:dyDescent="0.35">
      <c r="A437" s="22" t="s">
        <v>283</v>
      </c>
      <c r="B437" s="22">
        <v>160.1</v>
      </c>
      <c r="C437" s="22">
        <v>67005.11</v>
      </c>
      <c r="D437" s="24">
        <f t="shared" si="12"/>
        <v>-1.4769230769230804E-2</v>
      </c>
      <c r="E437" s="24">
        <f t="shared" si="13"/>
        <v>-2.0405968712336573E-3</v>
      </c>
    </row>
    <row r="438" spans="1:5" x14ac:dyDescent="0.35">
      <c r="A438" s="22" t="s">
        <v>284</v>
      </c>
      <c r="B438" s="22">
        <v>162.5</v>
      </c>
      <c r="C438" s="22">
        <v>67142.12</v>
      </c>
      <c r="D438" s="24">
        <f t="shared" si="12"/>
        <v>0</v>
      </c>
      <c r="E438" s="24">
        <f t="shared" si="13"/>
        <v>8.9308750899166119E-3</v>
      </c>
    </row>
    <row r="439" spans="1:5" x14ac:dyDescent="0.35">
      <c r="A439" s="22" t="s">
        <v>285</v>
      </c>
      <c r="B439" s="22">
        <v>162.5</v>
      </c>
      <c r="C439" s="22">
        <v>66547.789999999994</v>
      </c>
      <c r="D439" s="24">
        <f t="shared" si="12"/>
        <v>-9.0859198731630519E-3</v>
      </c>
      <c r="E439" s="24">
        <f t="shared" si="13"/>
        <v>9.7336702966696765E-3</v>
      </c>
    </row>
    <row r="440" spans="1:5" x14ac:dyDescent="0.35">
      <c r="A440" s="22" t="s">
        <v>286</v>
      </c>
      <c r="B440" s="22">
        <v>163.99</v>
      </c>
      <c r="C440" s="22">
        <v>65906.28</v>
      </c>
      <c r="D440" s="24">
        <f t="shared" si="12"/>
        <v>3.2682619647355145E-2</v>
      </c>
      <c r="E440" s="24">
        <f t="shared" si="13"/>
        <v>5.8088702668343982E-3</v>
      </c>
    </row>
    <row r="441" spans="1:5" x14ac:dyDescent="0.35">
      <c r="A441" s="22" t="s">
        <v>287</v>
      </c>
      <c r="B441" s="22">
        <v>158.80000000000001</v>
      </c>
      <c r="C441" s="22">
        <v>65525.65</v>
      </c>
      <c r="D441" s="24">
        <f t="shared" si="12"/>
        <v>1.1464968152866314E-2</v>
      </c>
      <c r="E441" s="24">
        <f t="shared" si="13"/>
        <v>5.7376745979353105E-3</v>
      </c>
    </row>
    <row r="442" spans="1:5" x14ac:dyDescent="0.35">
      <c r="A442" s="22" t="s">
        <v>288</v>
      </c>
      <c r="B442" s="22">
        <v>157</v>
      </c>
      <c r="C442" s="22">
        <v>65151.83</v>
      </c>
      <c r="D442" s="24">
        <f t="shared" si="12"/>
        <v>0</v>
      </c>
      <c r="E442" s="24">
        <f t="shared" si="13"/>
        <v>-4.0596232806562127E-3</v>
      </c>
    </row>
    <row r="443" spans="1:5" x14ac:dyDescent="0.35">
      <c r="A443" s="22" t="s">
        <v>289</v>
      </c>
      <c r="B443" s="22">
        <v>157</v>
      </c>
      <c r="C443" s="22">
        <v>65417.4</v>
      </c>
      <c r="D443" s="24">
        <f t="shared" si="12"/>
        <v>0</v>
      </c>
      <c r="E443" s="24">
        <f t="shared" si="13"/>
        <v>-4.7829216274194297E-3</v>
      </c>
    </row>
    <row r="444" spans="1:5" x14ac:dyDescent="0.35">
      <c r="A444" s="22" t="s">
        <v>290</v>
      </c>
      <c r="B444" s="22">
        <v>157</v>
      </c>
      <c r="C444" s="22">
        <v>65731.789999999994</v>
      </c>
      <c r="D444" s="24">
        <f t="shared" si="12"/>
        <v>6.41025641025641E-3</v>
      </c>
      <c r="E444" s="24">
        <f t="shared" si="13"/>
        <v>3.4989450800425488E-3</v>
      </c>
    </row>
    <row r="445" spans="1:5" x14ac:dyDescent="0.35">
      <c r="A445" s="22" t="s">
        <v>291</v>
      </c>
      <c r="B445" s="22">
        <v>156</v>
      </c>
      <c r="C445" s="22">
        <v>65502.6</v>
      </c>
      <c r="D445" s="24">
        <f t="shared" si="12"/>
        <v>6.4516129032258064E-3</v>
      </c>
      <c r="E445" s="24">
        <f t="shared" si="13"/>
        <v>9.4326581806799866E-3</v>
      </c>
    </row>
    <row r="446" spans="1:5" x14ac:dyDescent="0.35">
      <c r="A446" s="22" t="s">
        <v>292</v>
      </c>
      <c r="B446" s="22">
        <v>155</v>
      </c>
      <c r="C446" s="22">
        <v>64890.51</v>
      </c>
      <c r="D446" s="24">
        <f t="shared" si="12"/>
        <v>6.4935064935064939E-3</v>
      </c>
      <c r="E446" s="24">
        <f t="shared" si="13"/>
        <v>1.1423022574355078E-3</v>
      </c>
    </row>
    <row r="447" spans="1:5" x14ac:dyDescent="0.35">
      <c r="A447" s="22" t="s">
        <v>293</v>
      </c>
      <c r="B447" s="22">
        <v>154</v>
      </c>
      <c r="C447" s="22">
        <v>64816.47</v>
      </c>
      <c r="D447" s="24">
        <f t="shared" si="12"/>
        <v>0</v>
      </c>
      <c r="E447" s="24">
        <f t="shared" si="13"/>
        <v>-3.8085419232398313E-3</v>
      </c>
    </row>
    <row r="448" spans="1:5" x14ac:dyDescent="0.35">
      <c r="A448" s="22" t="s">
        <v>294</v>
      </c>
      <c r="B448" s="22">
        <v>154</v>
      </c>
      <c r="C448" s="22">
        <v>65064.27</v>
      </c>
      <c r="D448" s="24">
        <f t="shared" si="12"/>
        <v>6.5359477124183009E-3</v>
      </c>
      <c r="E448" s="24">
        <f t="shared" si="13"/>
        <v>1.5860339455574475E-2</v>
      </c>
    </row>
    <row r="449" spans="1:5" x14ac:dyDescent="0.35">
      <c r="A449" s="22" t="s">
        <v>295</v>
      </c>
      <c r="B449" s="22">
        <v>153</v>
      </c>
      <c r="C449" s="22">
        <v>64048.44</v>
      </c>
      <c r="D449" s="24">
        <f t="shared" si="12"/>
        <v>0</v>
      </c>
      <c r="E449" s="24">
        <f t="shared" si="13"/>
        <v>-1.162407776339193E-2</v>
      </c>
    </row>
    <row r="450" spans="1:5" x14ac:dyDescent="0.35">
      <c r="A450" s="23">
        <v>45629</v>
      </c>
      <c r="B450" s="22">
        <v>153</v>
      </c>
      <c r="C450" s="22">
        <v>64801.7</v>
      </c>
      <c r="D450" s="24">
        <f t="shared" si="12"/>
        <v>-2.0674646354733341E-2</v>
      </c>
      <c r="E450" s="24">
        <f t="shared" si="13"/>
        <v>-1.4502402923809509E-2</v>
      </c>
    </row>
    <row r="451" spans="1:5" x14ac:dyDescent="0.35">
      <c r="A451" s="23">
        <v>45599</v>
      </c>
      <c r="B451" s="22">
        <v>156.22999999999999</v>
      </c>
      <c r="C451" s="22">
        <v>65755.31</v>
      </c>
      <c r="D451" s="24">
        <f t="shared" si="12"/>
        <v>9.5638126009692393E-3</v>
      </c>
      <c r="E451" s="24">
        <f t="shared" si="13"/>
        <v>-5.8440192504573523E-4</v>
      </c>
    </row>
    <row r="452" spans="1:5" x14ac:dyDescent="0.35">
      <c r="A452" s="23">
        <v>45507</v>
      </c>
      <c r="B452" s="22">
        <v>154.75</v>
      </c>
      <c r="C452" s="22">
        <v>65793.759999999995</v>
      </c>
      <c r="D452" s="24">
        <f t="shared" si="12"/>
        <v>4.87012987012987E-3</v>
      </c>
      <c r="E452" s="24">
        <f t="shared" si="13"/>
        <v>2.9064179751288888E-3</v>
      </c>
    </row>
    <row r="453" spans="1:5" x14ac:dyDescent="0.35">
      <c r="A453" s="23">
        <v>45476</v>
      </c>
      <c r="B453" s="22">
        <v>154</v>
      </c>
      <c r="C453" s="22">
        <v>65603.09</v>
      </c>
      <c r="D453" s="24">
        <f t="shared" ref="D453:D516" si="14">(B453-B454)/B454</f>
        <v>-2.5316455696202531E-2</v>
      </c>
      <c r="E453" s="24">
        <f t="shared" ref="E453:E516" si="15">(C453-C454)/C454</f>
        <v>-8.1530240210353261E-4</v>
      </c>
    </row>
    <row r="454" spans="1:5" x14ac:dyDescent="0.35">
      <c r="A454" s="23">
        <v>45446</v>
      </c>
      <c r="B454" s="22">
        <v>158</v>
      </c>
      <c r="C454" s="22">
        <v>65656.62</v>
      </c>
      <c r="D454" s="24">
        <f t="shared" si="14"/>
        <v>-1.1264080100125227E-2</v>
      </c>
      <c r="E454" s="24">
        <f t="shared" si="15"/>
        <v>-1.05620238188697E-3</v>
      </c>
    </row>
    <row r="455" spans="1:5" x14ac:dyDescent="0.35">
      <c r="A455" s="23">
        <v>45415</v>
      </c>
      <c r="B455" s="22">
        <v>159.80000000000001</v>
      </c>
      <c r="C455" s="22">
        <v>65726.039999999994</v>
      </c>
      <c r="D455" s="24">
        <f t="shared" si="14"/>
        <v>2.1086261980830745E-2</v>
      </c>
      <c r="E455" s="24">
        <f t="shared" si="15"/>
        <v>-3.4220482161726818E-3</v>
      </c>
    </row>
    <row r="456" spans="1:5" x14ac:dyDescent="0.35">
      <c r="A456" s="23">
        <v>45385</v>
      </c>
      <c r="B456" s="22">
        <v>156.5</v>
      </c>
      <c r="C456" s="22">
        <v>65951.73</v>
      </c>
      <c r="D456" s="24">
        <f t="shared" si="14"/>
        <v>3.8486209108402458E-3</v>
      </c>
      <c r="E456" s="24">
        <f t="shared" si="15"/>
        <v>9.5833660539979531E-3</v>
      </c>
    </row>
    <row r="457" spans="1:5" x14ac:dyDescent="0.35">
      <c r="A457" s="23">
        <v>45294</v>
      </c>
      <c r="B457" s="22">
        <v>155.9</v>
      </c>
      <c r="C457" s="22">
        <v>65325.69</v>
      </c>
      <c r="D457" s="24">
        <f t="shared" si="14"/>
        <v>-5.4226475279106493E-3</v>
      </c>
      <c r="E457" s="24">
        <f t="shared" si="15"/>
        <v>1.1569946167858997E-2</v>
      </c>
    </row>
    <row r="458" spans="1:5" x14ac:dyDescent="0.35">
      <c r="A458" s="22" t="s">
        <v>296</v>
      </c>
      <c r="B458" s="22">
        <v>156.75</v>
      </c>
      <c r="C458" s="22">
        <v>64578.52</v>
      </c>
      <c r="D458" s="24">
        <f t="shared" si="14"/>
        <v>2.8790786948175856E-3</v>
      </c>
      <c r="E458" s="24">
        <f t="shared" si="15"/>
        <v>1.3736618660370823E-2</v>
      </c>
    </row>
    <row r="459" spans="1:5" x14ac:dyDescent="0.35">
      <c r="A459" s="22" t="s">
        <v>297</v>
      </c>
      <c r="B459" s="22">
        <v>156.30000000000001</v>
      </c>
      <c r="C459" s="22">
        <v>63703.45</v>
      </c>
      <c r="D459" s="24">
        <f t="shared" si="14"/>
        <v>-9.8194488438389793E-3</v>
      </c>
      <c r="E459" s="24">
        <f t="shared" si="15"/>
        <v>7.6614504160925825E-3</v>
      </c>
    </row>
    <row r="460" spans="1:5" x14ac:dyDescent="0.35">
      <c r="A460" s="22" t="s">
        <v>298</v>
      </c>
      <c r="B460" s="22">
        <v>157.85</v>
      </c>
      <c r="C460" s="22">
        <v>63219.1</v>
      </c>
      <c r="D460" s="24">
        <f t="shared" si="14"/>
        <v>-7.2951386705238453E-3</v>
      </c>
      <c r="E460" s="24">
        <f t="shared" si="15"/>
        <v>-1.3715934668363887E-3</v>
      </c>
    </row>
    <row r="461" spans="1:5" x14ac:dyDescent="0.35">
      <c r="A461" s="22" t="s">
        <v>299</v>
      </c>
      <c r="B461" s="22">
        <v>159.01</v>
      </c>
      <c r="C461" s="22">
        <v>63305.93</v>
      </c>
      <c r="D461" s="24">
        <f t="shared" si="14"/>
        <v>-6.8082448469706652E-3</v>
      </c>
      <c r="E461" s="24">
        <f t="shared" si="15"/>
        <v>7.8023338706714419E-3</v>
      </c>
    </row>
    <row r="462" spans="1:5" x14ac:dyDescent="0.35">
      <c r="A462" s="22" t="s">
        <v>300</v>
      </c>
      <c r="B462" s="22">
        <v>160.1</v>
      </c>
      <c r="C462" s="22">
        <v>62815.82</v>
      </c>
      <c r="D462" s="24">
        <f t="shared" si="14"/>
        <v>7.0449113095987208E-3</v>
      </c>
      <c r="E462" s="24">
        <f t="shared" si="15"/>
        <v>1.4560116444752592E-2</v>
      </c>
    </row>
    <row r="463" spans="1:5" x14ac:dyDescent="0.35">
      <c r="A463" s="22" t="s">
        <v>301</v>
      </c>
      <c r="B463" s="22">
        <v>158.97999999999999</v>
      </c>
      <c r="C463" s="22">
        <v>61914.34</v>
      </c>
      <c r="D463" s="24">
        <f t="shared" si="14"/>
        <v>-1.2578616352207692E-4</v>
      </c>
      <c r="E463" s="24">
        <f t="shared" si="15"/>
        <v>5.769734349851314E-3</v>
      </c>
    </row>
    <row r="464" spans="1:5" x14ac:dyDescent="0.35">
      <c r="A464" s="22" t="s">
        <v>302</v>
      </c>
      <c r="B464" s="22">
        <v>159</v>
      </c>
      <c r="C464" s="22">
        <v>61559.16</v>
      </c>
      <c r="D464" s="24">
        <f t="shared" si="14"/>
        <v>1.8871485185884844E-4</v>
      </c>
      <c r="E464" s="24">
        <f t="shared" si="15"/>
        <v>1.8108554742439591E-2</v>
      </c>
    </row>
    <row r="465" spans="1:5" x14ac:dyDescent="0.35">
      <c r="A465" s="22" t="s">
        <v>303</v>
      </c>
      <c r="B465" s="22">
        <v>158.97</v>
      </c>
      <c r="C465" s="22">
        <v>60464.24</v>
      </c>
      <c r="D465" s="24">
        <f t="shared" si="14"/>
        <v>2.3329129886507224E-3</v>
      </c>
      <c r="E465" s="24">
        <f t="shared" si="15"/>
        <v>7.4264283262798192E-5</v>
      </c>
    </row>
    <row r="466" spans="1:5" x14ac:dyDescent="0.35">
      <c r="A466" s="22" t="s">
        <v>304</v>
      </c>
      <c r="B466" s="22">
        <v>158.6</v>
      </c>
      <c r="C466" s="22">
        <v>60459.75</v>
      </c>
      <c r="D466" s="24">
        <f t="shared" si="14"/>
        <v>9.9980895370310966E-3</v>
      </c>
      <c r="E466" s="24">
        <f t="shared" si="15"/>
        <v>9.8005844374489063E-3</v>
      </c>
    </row>
    <row r="467" spans="1:5" x14ac:dyDescent="0.35">
      <c r="A467" s="22" t="s">
        <v>305</v>
      </c>
      <c r="B467" s="22">
        <v>157.03</v>
      </c>
      <c r="C467" s="22">
        <v>59872.959999999999</v>
      </c>
      <c r="D467" s="24">
        <f t="shared" si="14"/>
        <v>-6.1392405063291069E-3</v>
      </c>
      <c r="E467" s="24">
        <f t="shared" si="15"/>
        <v>-1.8798736022219556E-2</v>
      </c>
    </row>
    <row r="468" spans="1:5" x14ac:dyDescent="0.35">
      <c r="A468" s="22" t="s">
        <v>306</v>
      </c>
      <c r="B468" s="22">
        <v>158</v>
      </c>
      <c r="C468" s="22">
        <v>61020.06</v>
      </c>
      <c r="D468" s="24">
        <f t="shared" si="14"/>
        <v>1.12E-2</v>
      </c>
      <c r="E468" s="24">
        <f t="shared" si="15"/>
        <v>-1.8241511707080351E-2</v>
      </c>
    </row>
    <row r="469" spans="1:5" x14ac:dyDescent="0.35">
      <c r="A469" s="22" t="s">
        <v>307</v>
      </c>
      <c r="B469" s="22">
        <v>156.25</v>
      </c>
      <c r="C469" s="22">
        <v>62153.84</v>
      </c>
      <c r="D469" s="24">
        <f t="shared" si="14"/>
        <v>5.1480484522207305E-2</v>
      </c>
      <c r="E469" s="24">
        <f t="shared" si="15"/>
        <v>1.5138926612848238E-2</v>
      </c>
    </row>
    <row r="470" spans="1:5" x14ac:dyDescent="0.35">
      <c r="A470" s="22" t="s">
        <v>308</v>
      </c>
      <c r="B470" s="22">
        <v>148.6</v>
      </c>
      <c r="C470" s="22">
        <v>61226.93</v>
      </c>
      <c r="D470" s="24">
        <f t="shared" si="14"/>
        <v>1.787793684498928E-2</v>
      </c>
      <c r="E470" s="24">
        <f t="shared" si="15"/>
        <v>2.6465103269744691E-3</v>
      </c>
    </row>
    <row r="471" spans="1:5" x14ac:dyDescent="0.35">
      <c r="A471" s="23">
        <v>45628</v>
      </c>
      <c r="B471" s="22">
        <v>145.99</v>
      </c>
      <c r="C471" s="22">
        <v>61065.32</v>
      </c>
      <c r="D471" s="24">
        <f t="shared" si="14"/>
        <v>-4.4255319148936108E-2</v>
      </c>
      <c r="E471" s="24">
        <f t="shared" si="15"/>
        <v>-2.9842994737364716E-2</v>
      </c>
    </row>
    <row r="472" spans="1:5" x14ac:dyDescent="0.35">
      <c r="A472" s="23">
        <v>45537</v>
      </c>
      <c r="B472" s="22">
        <v>152.75</v>
      </c>
      <c r="C472" s="22">
        <v>62943.75</v>
      </c>
      <c r="D472" s="24">
        <f t="shared" si="14"/>
        <v>-4.8286604361370715E-2</v>
      </c>
      <c r="E472" s="24">
        <f t="shared" si="15"/>
        <v>-1.8709815918497005E-2</v>
      </c>
    </row>
    <row r="473" spans="1:5" x14ac:dyDescent="0.35">
      <c r="A473" s="23">
        <v>45475</v>
      </c>
      <c r="B473" s="22">
        <v>160.5</v>
      </c>
      <c r="C473" s="22">
        <v>64143.87</v>
      </c>
      <c r="D473" s="24">
        <f t="shared" si="14"/>
        <v>3.1250000000000002E-3</v>
      </c>
      <c r="E473" s="24">
        <f t="shared" si="15"/>
        <v>5.4052554412278722E-3</v>
      </c>
    </row>
    <row r="474" spans="1:5" x14ac:dyDescent="0.35">
      <c r="A474" s="23">
        <v>45445</v>
      </c>
      <c r="B474" s="22">
        <v>160</v>
      </c>
      <c r="C474" s="22">
        <v>63799.02</v>
      </c>
      <c r="D474" s="24">
        <f t="shared" si="14"/>
        <v>-6.2111801242236021E-3</v>
      </c>
      <c r="E474" s="24">
        <f t="shared" si="15"/>
        <v>1.2635922271539137E-2</v>
      </c>
    </row>
    <row r="475" spans="1:5" x14ac:dyDescent="0.35">
      <c r="A475" s="23">
        <v>45324</v>
      </c>
      <c r="B475" s="22">
        <v>161</v>
      </c>
      <c r="C475" s="22">
        <v>63002.92</v>
      </c>
      <c r="D475" s="24">
        <f t="shared" si="14"/>
        <v>-1.1966861000306774E-2</v>
      </c>
      <c r="E475" s="24">
        <f t="shared" si="15"/>
        <v>9.7634794772680777E-3</v>
      </c>
    </row>
    <row r="476" spans="1:5" x14ac:dyDescent="0.35">
      <c r="A476" s="23">
        <v>45293</v>
      </c>
      <c r="B476" s="22">
        <v>162.94999999999999</v>
      </c>
      <c r="C476" s="22">
        <v>62393.74</v>
      </c>
      <c r="D476" s="24">
        <f t="shared" si="14"/>
        <v>3.1329113924050564E-2</v>
      </c>
      <c r="E476" s="24">
        <f t="shared" si="15"/>
        <v>6.6886977207507052E-3</v>
      </c>
    </row>
    <row r="477" spans="1:5" x14ac:dyDescent="0.35">
      <c r="A477" s="22" t="s">
        <v>309</v>
      </c>
      <c r="B477" s="22">
        <v>158</v>
      </c>
      <c r="C477" s="22">
        <v>61979.18</v>
      </c>
      <c r="D477" s="24">
        <f t="shared" si="14"/>
        <v>-2.1065675340768312E-2</v>
      </c>
      <c r="E477" s="24">
        <f t="shared" si="15"/>
        <v>2.2224471691773603E-3</v>
      </c>
    </row>
    <row r="478" spans="1:5" x14ac:dyDescent="0.35">
      <c r="A478" s="22" t="s">
        <v>310</v>
      </c>
      <c r="B478" s="22">
        <v>161.4</v>
      </c>
      <c r="C478" s="22">
        <v>61841.74</v>
      </c>
      <c r="D478" s="24">
        <f t="shared" si="14"/>
        <v>-2.1638330757341225E-3</v>
      </c>
      <c r="E478" s="24">
        <f t="shared" si="15"/>
        <v>-1.4846658761022976E-2</v>
      </c>
    </row>
    <row r="479" spans="1:5" x14ac:dyDescent="0.35">
      <c r="A479" s="22" t="s">
        <v>311</v>
      </c>
      <c r="B479" s="22">
        <v>161.75</v>
      </c>
      <c r="C479" s="22">
        <v>62773.72</v>
      </c>
      <c r="D479" s="24">
        <f t="shared" si="14"/>
        <v>-1.4815729366010808E-3</v>
      </c>
      <c r="E479" s="24">
        <f t="shared" si="15"/>
        <v>-1.6287261573101126E-2</v>
      </c>
    </row>
    <row r="480" spans="1:5" x14ac:dyDescent="0.35">
      <c r="A480" s="22" t="s">
        <v>312</v>
      </c>
      <c r="B480" s="22">
        <v>161.99</v>
      </c>
      <c r="C480" s="22">
        <v>63813.06</v>
      </c>
      <c r="D480" s="24">
        <f t="shared" si="14"/>
        <v>-6.1728395061672248E-5</v>
      </c>
      <c r="E480" s="24">
        <f t="shared" si="15"/>
        <v>-7.5422240906056716E-3</v>
      </c>
    </row>
    <row r="481" spans="1:5" x14ac:dyDescent="0.35">
      <c r="A481" s="22" t="s">
        <v>313</v>
      </c>
      <c r="B481" s="22">
        <v>162</v>
      </c>
      <c r="C481" s="22">
        <v>64298.01</v>
      </c>
      <c r="D481" s="24">
        <f t="shared" si="14"/>
        <v>-6.1349693251533744E-3</v>
      </c>
      <c r="E481" s="24">
        <f t="shared" si="15"/>
        <v>-8.0901009110580738E-3</v>
      </c>
    </row>
    <row r="482" spans="1:5" x14ac:dyDescent="0.35">
      <c r="A482" s="22" t="s">
        <v>314</v>
      </c>
      <c r="B482" s="22">
        <v>163</v>
      </c>
      <c r="C482" s="22">
        <v>64822.43</v>
      </c>
      <c r="D482" s="24">
        <f t="shared" si="14"/>
        <v>9.2879256965944269E-3</v>
      </c>
      <c r="E482" s="24">
        <f t="shared" si="15"/>
        <v>5.7127368851876432E-3</v>
      </c>
    </row>
    <row r="483" spans="1:5" x14ac:dyDescent="0.35">
      <c r="A483" s="22" t="s">
        <v>315</v>
      </c>
      <c r="B483" s="22">
        <v>161.5</v>
      </c>
      <c r="C483" s="22">
        <v>64454.22</v>
      </c>
      <c r="D483" s="24">
        <f t="shared" si="14"/>
        <v>9.3749999999999997E-3</v>
      </c>
      <c r="E483" s="24">
        <f t="shared" si="15"/>
        <v>8.0515287832652448E-3</v>
      </c>
    </row>
    <row r="484" spans="1:5" x14ac:dyDescent="0.35">
      <c r="A484" s="22" t="s">
        <v>316</v>
      </c>
      <c r="B484" s="22">
        <v>160</v>
      </c>
      <c r="C484" s="22">
        <v>63939.41</v>
      </c>
      <c r="D484" s="24">
        <f t="shared" si="14"/>
        <v>0</v>
      </c>
      <c r="E484" s="24">
        <f t="shared" si="15"/>
        <v>1.038490584165571E-2</v>
      </c>
    </row>
    <row r="485" spans="1:5" x14ac:dyDescent="0.35">
      <c r="A485" s="22" t="s">
        <v>317</v>
      </c>
      <c r="B485" s="22">
        <v>160</v>
      </c>
      <c r="C485" s="22">
        <v>63282.23</v>
      </c>
      <c r="D485" s="24">
        <f t="shared" si="14"/>
        <v>-2.7237354085603051E-2</v>
      </c>
      <c r="E485" s="24">
        <f t="shared" si="15"/>
        <v>1.2630849461413133E-3</v>
      </c>
    </row>
    <row r="486" spans="1:5" x14ac:dyDescent="0.35">
      <c r="A486" s="22" t="s">
        <v>318</v>
      </c>
      <c r="B486" s="22">
        <v>164.48</v>
      </c>
      <c r="C486" s="22">
        <v>63202.400000000001</v>
      </c>
      <c r="D486" s="24">
        <f t="shared" si="14"/>
        <v>6.116129032258058E-2</v>
      </c>
      <c r="E486" s="24">
        <f t="shared" si="15"/>
        <v>-5.7409984435402685E-3</v>
      </c>
    </row>
    <row r="487" spans="1:5" x14ac:dyDescent="0.35">
      <c r="A487" s="22" t="s">
        <v>319</v>
      </c>
      <c r="B487" s="22">
        <v>155</v>
      </c>
      <c r="C487" s="22">
        <v>63567.34</v>
      </c>
      <c r="D487" s="24">
        <f t="shared" si="14"/>
        <v>-1.2738853503184714E-2</v>
      </c>
      <c r="E487" s="24">
        <f t="shared" si="15"/>
        <v>-2.6690740421724153E-3</v>
      </c>
    </row>
    <row r="488" spans="1:5" x14ac:dyDescent="0.35">
      <c r="A488" s="22" t="s">
        <v>320</v>
      </c>
      <c r="B488" s="22">
        <v>157</v>
      </c>
      <c r="C488" s="22">
        <v>63737.46</v>
      </c>
      <c r="D488" s="24">
        <f t="shared" si="14"/>
        <v>-9.4637223974763408E-3</v>
      </c>
      <c r="E488" s="24">
        <f t="shared" si="15"/>
        <v>-8.2764140559625481E-3</v>
      </c>
    </row>
    <row r="489" spans="1:5" x14ac:dyDescent="0.35">
      <c r="A489" s="22" t="s">
        <v>321</v>
      </c>
      <c r="B489" s="22">
        <v>158.5</v>
      </c>
      <c r="C489" s="22">
        <v>64269.38</v>
      </c>
      <c r="D489" s="24">
        <f t="shared" si="14"/>
        <v>-9.3749999999999997E-3</v>
      </c>
      <c r="E489" s="24">
        <f t="shared" si="15"/>
        <v>-5.6972995920024621E-3</v>
      </c>
    </row>
    <row r="490" spans="1:5" x14ac:dyDescent="0.35">
      <c r="A490" s="23">
        <v>45627</v>
      </c>
      <c r="B490" s="22">
        <v>160</v>
      </c>
      <c r="C490" s="22">
        <v>64637.64</v>
      </c>
      <c r="D490" s="24">
        <f t="shared" si="14"/>
        <v>6.2893081761006293E-3</v>
      </c>
      <c r="E490" s="24">
        <f t="shared" si="15"/>
        <v>3.1059663803513054E-4</v>
      </c>
    </row>
    <row r="491" spans="1:5" x14ac:dyDescent="0.35">
      <c r="A491" s="23">
        <v>45597</v>
      </c>
      <c r="B491" s="22">
        <v>159</v>
      </c>
      <c r="C491" s="22">
        <v>64617.57</v>
      </c>
      <c r="D491" s="24">
        <f t="shared" si="14"/>
        <v>6.6476733143400538E-3</v>
      </c>
      <c r="E491" s="24">
        <f t="shared" si="15"/>
        <v>1.0915545014576868E-2</v>
      </c>
    </row>
    <row r="492" spans="1:5" x14ac:dyDescent="0.35">
      <c r="A492" s="23">
        <v>45566</v>
      </c>
      <c r="B492" s="22">
        <v>157.94999999999999</v>
      </c>
      <c r="C492" s="22">
        <v>63919.85</v>
      </c>
      <c r="D492" s="24">
        <f t="shared" si="14"/>
        <v>-1.281250000000007E-2</v>
      </c>
      <c r="E492" s="24">
        <f t="shared" si="15"/>
        <v>-3.9072422284480391E-3</v>
      </c>
    </row>
    <row r="493" spans="1:5" x14ac:dyDescent="0.35">
      <c r="A493" s="23">
        <v>45536</v>
      </c>
      <c r="B493" s="22">
        <v>160</v>
      </c>
      <c r="C493" s="22">
        <v>64170.58</v>
      </c>
      <c r="D493" s="24">
        <f t="shared" si="14"/>
        <v>2.9601029601029564E-2</v>
      </c>
      <c r="E493" s="24">
        <f t="shared" si="15"/>
        <v>-1.034450067196399E-3</v>
      </c>
    </row>
    <row r="494" spans="1:5" x14ac:dyDescent="0.35">
      <c r="A494" s="23">
        <v>45505</v>
      </c>
      <c r="B494" s="22">
        <v>155.4</v>
      </c>
      <c r="C494" s="22">
        <v>64237.03</v>
      </c>
      <c r="D494" s="24">
        <f t="shared" si="14"/>
        <v>3.2558139534883762E-2</v>
      </c>
      <c r="E494" s="24">
        <f t="shared" si="15"/>
        <v>-4.3070670496273356E-3</v>
      </c>
    </row>
    <row r="495" spans="1:5" x14ac:dyDescent="0.35">
      <c r="A495" s="23">
        <v>45413</v>
      </c>
      <c r="B495" s="22">
        <v>150.5</v>
      </c>
      <c r="C495" s="22">
        <v>64514.9</v>
      </c>
      <c r="D495" s="24">
        <f t="shared" si="14"/>
        <v>1.0067114093959731E-2</v>
      </c>
      <c r="E495" s="24">
        <f t="shared" si="15"/>
        <v>-1.9223640901274402E-3</v>
      </c>
    </row>
    <row r="496" spans="1:5" x14ac:dyDescent="0.35">
      <c r="A496" s="23">
        <v>45383</v>
      </c>
      <c r="B496" s="22">
        <v>149</v>
      </c>
      <c r="C496" s="22">
        <v>64639.16</v>
      </c>
      <c r="D496" s="24">
        <f t="shared" si="14"/>
        <v>-1.3245033112582781E-2</v>
      </c>
      <c r="E496" s="24">
        <f t="shared" si="15"/>
        <v>-1.1895397842269272E-4</v>
      </c>
    </row>
    <row r="497" spans="1:5" x14ac:dyDescent="0.35">
      <c r="A497" s="23">
        <v>45352</v>
      </c>
      <c r="B497" s="22">
        <v>151</v>
      </c>
      <c r="C497" s="22">
        <v>64646.85</v>
      </c>
      <c r="D497" s="24">
        <f t="shared" si="14"/>
        <v>1.0168584426010237E-2</v>
      </c>
      <c r="E497" s="24">
        <f t="shared" si="15"/>
        <v>4.6192983328567699E-3</v>
      </c>
    </row>
    <row r="498" spans="1:5" x14ac:dyDescent="0.35">
      <c r="A498" s="23">
        <v>45323</v>
      </c>
      <c r="B498" s="22">
        <v>149.47999999999999</v>
      </c>
      <c r="C498" s="22">
        <v>64349.599999999999</v>
      </c>
      <c r="D498" s="24">
        <f t="shared" si="14"/>
        <v>1.6870748299319657E-2</v>
      </c>
      <c r="E498" s="24">
        <f t="shared" si="15"/>
        <v>-4.8278906024548087E-3</v>
      </c>
    </row>
    <row r="499" spans="1:5" x14ac:dyDescent="0.35">
      <c r="A499" s="23">
        <v>45292</v>
      </c>
      <c r="B499" s="22">
        <v>147</v>
      </c>
      <c r="C499" s="22">
        <v>64661.78</v>
      </c>
      <c r="D499" s="24">
        <f t="shared" si="14"/>
        <v>1.3793103448275862E-2</v>
      </c>
      <c r="E499" s="24">
        <f t="shared" si="15"/>
        <v>3.5399570607631159E-2</v>
      </c>
    </row>
    <row r="500" spans="1:5" x14ac:dyDescent="0.35">
      <c r="A500" s="22" t="s">
        <v>322</v>
      </c>
      <c r="B500" s="22">
        <v>145</v>
      </c>
      <c r="C500" s="22">
        <v>62451.040000000001</v>
      </c>
      <c r="D500" s="24">
        <f t="shared" si="14"/>
        <v>0</v>
      </c>
      <c r="E500" s="24">
        <f t="shared" si="15"/>
        <v>6.426842931052979E-3</v>
      </c>
    </row>
    <row r="501" spans="1:5" x14ac:dyDescent="0.35">
      <c r="A501" s="22" t="s">
        <v>323</v>
      </c>
      <c r="B501" s="22">
        <v>145</v>
      </c>
      <c r="C501" s="22">
        <v>62052.24</v>
      </c>
      <c r="D501" s="24">
        <f t="shared" si="14"/>
        <v>5.8394160583941604E-2</v>
      </c>
      <c r="E501" s="24">
        <f t="shared" si="15"/>
        <v>1.9529236019809458E-2</v>
      </c>
    </row>
    <row r="502" spans="1:5" x14ac:dyDescent="0.35">
      <c r="A502" s="22" t="s">
        <v>324</v>
      </c>
      <c r="B502" s="22">
        <v>137</v>
      </c>
      <c r="C502" s="22">
        <v>60863.62</v>
      </c>
      <c r="D502" s="24">
        <f t="shared" si="14"/>
        <v>9.3812375249500993E-2</v>
      </c>
      <c r="E502" s="24">
        <f t="shared" si="15"/>
        <v>2.8605914588536462E-2</v>
      </c>
    </row>
    <row r="503" spans="1:5" x14ac:dyDescent="0.35">
      <c r="A503" s="22" t="s">
        <v>325</v>
      </c>
      <c r="B503" s="22">
        <v>125.25</v>
      </c>
      <c r="C503" s="22">
        <v>59170.98</v>
      </c>
      <c r="D503" s="24">
        <f t="shared" si="14"/>
        <v>-7.904411764705882E-2</v>
      </c>
      <c r="E503" s="24">
        <f t="shared" si="15"/>
        <v>-4.1068086927674739E-2</v>
      </c>
    </row>
    <row r="504" spans="1:5" x14ac:dyDescent="0.35">
      <c r="A504" s="22" t="s">
        <v>326</v>
      </c>
      <c r="B504" s="22">
        <v>136</v>
      </c>
      <c r="C504" s="22">
        <v>61705.09</v>
      </c>
      <c r="D504" s="24">
        <f t="shared" si="14"/>
        <v>1.228135467063644E-2</v>
      </c>
      <c r="E504" s="24">
        <f t="shared" si="15"/>
        <v>-1.5766848179167389E-2</v>
      </c>
    </row>
    <row r="505" spans="1:5" x14ac:dyDescent="0.35">
      <c r="A505" s="22" t="s">
        <v>327</v>
      </c>
      <c r="B505" s="22">
        <v>134.35</v>
      </c>
      <c r="C505" s="22">
        <v>62693.57</v>
      </c>
      <c r="D505" s="24">
        <f t="shared" si="14"/>
        <v>-1.1405445180279701E-2</v>
      </c>
      <c r="E505" s="24">
        <f t="shared" si="15"/>
        <v>3.932230987024209E-3</v>
      </c>
    </row>
    <row r="506" spans="1:5" x14ac:dyDescent="0.35">
      <c r="A506" s="22" t="s">
        <v>328</v>
      </c>
      <c r="B506" s="22">
        <v>135.9</v>
      </c>
      <c r="C506" s="22">
        <v>62448.01</v>
      </c>
      <c r="D506" s="24">
        <f t="shared" si="14"/>
        <v>-1.5217391304347785E-2</v>
      </c>
      <c r="E506" s="24">
        <f t="shared" si="15"/>
        <v>-6.1276688391439472E-3</v>
      </c>
    </row>
    <row r="507" spans="1:5" x14ac:dyDescent="0.35">
      <c r="A507" s="22" t="s">
        <v>329</v>
      </c>
      <c r="B507" s="22">
        <v>138</v>
      </c>
      <c r="C507" s="22">
        <v>62833.03</v>
      </c>
      <c r="D507" s="24">
        <f t="shared" si="14"/>
        <v>-3.4289713086074217E-2</v>
      </c>
      <c r="E507" s="24">
        <f t="shared" si="15"/>
        <v>-3.6372389221141818E-2</v>
      </c>
    </row>
    <row r="508" spans="1:5" x14ac:dyDescent="0.35">
      <c r="A508" s="22" t="s">
        <v>330</v>
      </c>
      <c r="B508" s="22">
        <v>142.9</v>
      </c>
      <c r="C508" s="22">
        <v>65204.68</v>
      </c>
      <c r="D508" s="24">
        <f t="shared" si="14"/>
        <v>-4.7206294172556236E-2</v>
      </c>
      <c r="E508" s="24">
        <f t="shared" si="15"/>
        <v>-1.3992737337747724E-2</v>
      </c>
    </row>
    <row r="509" spans="1:5" x14ac:dyDescent="0.35">
      <c r="A509" s="22" t="s">
        <v>331</v>
      </c>
      <c r="B509" s="22">
        <v>149.97999999999999</v>
      </c>
      <c r="C509" s="22">
        <v>66130.02</v>
      </c>
      <c r="D509" s="24">
        <f t="shared" si="14"/>
        <v>5.619718309859148E-2</v>
      </c>
      <c r="E509" s="24">
        <f t="shared" si="15"/>
        <v>1.0386982833816094E-2</v>
      </c>
    </row>
    <row r="510" spans="1:5" x14ac:dyDescent="0.35">
      <c r="A510" s="22" t="s">
        <v>332</v>
      </c>
      <c r="B510" s="22">
        <v>142</v>
      </c>
      <c r="C510" s="22">
        <v>65450.19</v>
      </c>
      <c r="D510" s="24">
        <f t="shared" si="14"/>
        <v>-3.7288135593220341E-2</v>
      </c>
      <c r="E510" s="24">
        <f t="shared" si="15"/>
        <v>2.6046198416180173E-3</v>
      </c>
    </row>
    <row r="511" spans="1:5" x14ac:dyDescent="0.35">
      <c r="A511" s="22" t="s">
        <v>333</v>
      </c>
      <c r="B511" s="22">
        <v>147.5</v>
      </c>
      <c r="C511" s="22">
        <v>65280.160000000003</v>
      </c>
      <c r="D511" s="24">
        <f t="shared" si="14"/>
        <v>-3.6954818490467466E-2</v>
      </c>
      <c r="E511" s="24">
        <f t="shared" si="15"/>
        <v>-1.726141173785626E-2</v>
      </c>
    </row>
    <row r="512" spans="1:5" x14ac:dyDescent="0.35">
      <c r="A512" s="23">
        <v>45272</v>
      </c>
      <c r="B512" s="22">
        <v>153.16</v>
      </c>
      <c r="C512" s="22">
        <v>66426.78</v>
      </c>
      <c r="D512" s="24">
        <f t="shared" si="14"/>
        <v>2.0386409060626266E-2</v>
      </c>
      <c r="E512" s="24">
        <f t="shared" si="15"/>
        <v>6.2783725404026349E-3</v>
      </c>
    </row>
    <row r="513" spans="1:5" x14ac:dyDescent="0.35">
      <c r="A513" s="23">
        <v>45242</v>
      </c>
      <c r="B513" s="22">
        <v>150.1</v>
      </c>
      <c r="C513" s="22">
        <v>66012.33</v>
      </c>
      <c r="D513" s="24">
        <f t="shared" si="14"/>
        <v>1.418918918918915E-2</v>
      </c>
      <c r="E513" s="24">
        <f t="shared" si="15"/>
        <v>-3.190703982853294E-3</v>
      </c>
    </row>
    <row r="514" spans="1:5" x14ac:dyDescent="0.35">
      <c r="A514" s="23">
        <v>45150</v>
      </c>
      <c r="B514" s="22">
        <v>148</v>
      </c>
      <c r="C514" s="22">
        <v>66223.63</v>
      </c>
      <c r="D514" s="24">
        <f t="shared" si="14"/>
        <v>1.1619958988379963E-2</v>
      </c>
      <c r="E514" s="24">
        <f t="shared" si="15"/>
        <v>2.3263205583354804E-2</v>
      </c>
    </row>
    <row r="515" spans="1:5" x14ac:dyDescent="0.35">
      <c r="A515" s="23">
        <v>45119</v>
      </c>
      <c r="B515" s="22">
        <v>146.30000000000001</v>
      </c>
      <c r="C515" s="22">
        <v>64718.080000000002</v>
      </c>
      <c r="D515" s="24">
        <f t="shared" si="14"/>
        <v>-3.09974831103456E-2</v>
      </c>
      <c r="E515" s="24">
        <f t="shared" si="15"/>
        <v>1.4727946220332034E-2</v>
      </c>
    </row>
    <row r="516" spans="1:5" x14ac:dyDescent="0.35">
      <c r="A516" s="23">
        <v>45089</v>
      </c>
      <c r="B516" s="22">
        <v>150.97999999999999</v>
      </c>
      <c r="C516" s="22">
        <v>63778.75</v>
      </c>
      <c r="D516" s="24">
        <f t="shared" si="14"/>
        <v>-9.6425057395867434E-3</v>
      </c>
      <c r="E516" s="24">
        <f t="shared" si="15"/>
        <v>1.190928558407179E-2</v>
      </c>
    </row>
    <row r="517" spans="1:5" x14ac:dyDescent="0.35">
      <c r="A517" s="23">
        <v>45058</v>
      </c>
      <c r="B517" s="22">
        <v>152.44999999999999</v>
      </c>
      <c r="C517" s="22">
        <v>63028.13</v>
      </c>
      <c r="D517" s="24">
        <f t="shared" ref="D517:D580" si="16">(B517-B518)/B518</f>
        <v>8.1973030518097817E-2</v>
      </c>
      <c r="E517" s="24">
        <f t="shared" ref="E517:E580" si="17">(C517-C518)/C518</f>
        <v>7.2357565718769263E-3</v>
      </c>
    </row>
    <row r="518" spans="1:5" x14ac:dyDescent="0.35">
      <c r="A518" s="23">
        <v>45028</v>
      </c>
      <c r="B518" s="22">
        <v>140.9</v>
      </c>
      <c r="C518" s="22">
        <v>62575.35</v>
      </c>
      <c r="D518" s="24">
        <f t="shared" si="16"/>
        <v>3.5192124017338858E-2</v>
      </c>
      <c r="E518" s="24">
        <f t="shared" si="17"/>
        <v>1.433104370554979E-2</v>
      </c>
    </row>
    <row r="519" spans="1:5" x14ac:dyDescent="0.35">
      <c r="A519" s="23">
        <v>44938</v>
      </c>
      <c r="B519" s="22">
        <v>136.11000000000001</v>
      </c>
      <c r="C519" s="22">
        <v>61691.25</v>
      </c>
      <c r="D519" s="24">
        <f t="shared" si="16"/>
        <v>3.9007633587786361E-2</v>
      </c>
      <c r="E519" s="24">
        <f t="shared" si="17"/>
        <v>1.9239090405782488E-2</v>
      </c>
    </row>
    <row r="520" spans="1:5" x14ac:dyDescent="0.35">
      <c r="A520" s="22" t="s">
        <v>334</v>
      </c>
      <c r="B520" s="22">
        <v>131</v>
      </c>
      <c r="C520" s="22">
        <v>60526.77</v>
      </c>
      <c r="D520" s="24">
        <f t="shared" si="16"/>
        <v>-2.9629629629629631E-2</v>
      </c>
      <c r="E520" s="24">
        <f t="shared" si="17"/>
        <v>4.5967732337874357E-4</v>
      </c>
    </row>
    <row r="521" spans="1:5" x14ac:dyDescent="0.35">
      <c r="A521" s="22" t="s">
        <v>335</v>
      </c>
      <c r="B521" s="22">
        <v>135</v>
      </c>
      <c r="C521" s="22">
        <v>60498.96</v>
      </c>
      <c r="D521" s="24">
        <f t="shared" si="16"/>
        <v>-2.5270758122743681E-2</v>
      </c>
      <c r="E521" s="24">
        <f t="shared" si="17"/>
        <v>-5.6958991071324339E-3</v>
      </c>
    </row>
    <row r="522" spans="1:5" x14ac:dyDescent="0.35">
      <c r="A522" s="22" t="s">
        <v>336</v>
      </c>
      <c r="B522" s="22">
        <v>138.5</v>
      </c>
      <c r="C522" s="22">
        <v>60845.53</v>
      </c>
      <c r="D522" s="24">
        <f t="shared" si="16"/>
        <v>-2.9432375613174414E-2</v>
      </c>
      <c r="E522" s="24">
        <f t="shared" si="17"/>
        <v>1.7925334166693733E-2</v>
      </c>
    </row>
    <row r="523" spans="1:5" x14ac:dyDescent="0.35">
      <c r="A523" s="22" t="s">
        <v>337</v>
      </c>
      <c r="B523" s="22">
        <v>142.69999999999999</v>
      </c>
      <c r="C523" s="22">
        <v>59774.06</v>
      </c>
      <c r="D523" s="24">
        <f t="shared" si="16"/>
        <v>7.2932330827067585E-2</v>
      </c>
      <c r="E523" s="24">
        <f t="shared" si="17"/>
        <v>1.0151869068063443E-2</v>
      </c>
    </row>
    <row r="524" spans="1:5" x14ac:dyDescent="0.35">
      <c r="A524" s="22" t="s">
        <v>338</v>
      </c>
      <c r="B524" s="22">
        <v>133</v>
      </c>
      <c r="C524" s="22">
        <v>59173.34</v>
      </c>
      <c r="D524" s="24">
        <f t="shared" si="16"/>
        <v>-9.3109869646182501E-3</v>
      </c>
      <c r="E524" s="24">
        <f t="shared" si="17"/>
        <v>4.4565682353659023E-3</v>
      </c>
    </row>
    <row r="525" spans="1:5" x14ac:dyDescent="0.35">
      <c r="A525" s="22" t="s">
        <v>339</v>
      </c>
      <c r="B525" s="22">
        <v>134.25</v>
      </c>
      <c r="C525" s="22">
        <v>58910.8</v>
      </c>
      <c r="D525" s="24">
        <f t="shared" si="16"/>
        <v>2.881446854165063E-2</v>
      </c>
      <c r="E525" s="24">
        <f t="shared" si="17"/>
        <v>1.25911272370252E-2</v>
      </c>
    </row>
    <row r="526" spans="1:5" x14ac:dyDescent="0.35">
      <c r="A526" s="22" t="s">
        <v>340</v>
      </c>
      <c r="B526" s="22">
        <v>130.49</v>
      </c>
      <c r="C526" s="22">
        <v>58178.27</v>
      </c>
      <c r="D526" s="24">
        <f t="shared" si="16"/>
        <v>2.8046955014574979E-2</v>
      </c>
      <c r="E526" s="24">
        <f t="shared" si="17"/>
        <v>1.341429043735573E-2</v>
      </c>
    </row>
    <row r="527" spans="1:5" x14ac:dyDescent="0.35">
      <c r="A527" s="22" t="s">
        <v>341</v>
      </c>
      <c r="B527" s="22">
        <v>126.93</v>
      </c>
      <c r="C527" s="22">
        <v>57408.18</v>
      </c>
      <c r="D527" s="24">
        <f t="shared" si="16"/>
        <v>8.1810961080222479E-3</v>
      </c>
      <c r="E527" s="24">
        <f t="shared" si="17"/>
        <v>5.9963911955264832E-3</v>
      </c>
    </row>
    <row r="528" spans="1:5" x14ac:dyDescent="0.35">
      <c r="A528" s="22" t="s">
        <v>342</v>
      </c>
      <c r="B528" s="22">
        <v>125.9</v>
      </c>
      <c r="C528" s="22">
        <v>57065.99</v>
      </c>
      <c r="D528" s="24">
        <f t="shared" si="16"/>
        <v>2.357723577235777E-2</v>
      </c>
      <c r="E528" s="24">
        <f t="shared" si="17"/>
        <v>8.599195748071949E-4</v>
      </c>
    </row>
    <row r="529" spans="1:5" x14ac:dyDescent="0.35">
      <c r="A529" s="22" t="s">
        <v>343</v>
      </c>
      <c r="B529" s="22">
        <v>123</v>
      </c>
      <c r="C529" s="22">
        <v>57016.959999999999</v>
      </c>
      <c r="D529" s="24">
        <f t="shared" si="16"/>
        <v>-4.1292203060481342E-3</v>
      </c>
      <c r="E529" s="24">
        <f t="shared" si="17"/>
        <v>-5.705899258093664E-3</v>
      </c>
    </row>
    <row r="530" spans="1:5" x14ac:dyDescent="0.35">
      <c r="A530" s="22" t="s">
        <v>344</v>
      </c>
      <c r="B530" s="22">
        <v>123.51</v>
      </c>
      <c r="C530" s="22">
        <v>57344.160000000003</v>
      </c>
      <c r="D530" s="24">
        <f t="shared" si="16"/>
        <v>8.2448979591837144E-3</v>
      </c>
      <c r="E530" s="24">
        <f t="shared" si="17"/>
        <v>1.0197782870092506E-2</v>
      </c>
    </row>
    <row r="531" spans="1:5" x14ac:dyDescent="0.35">
      <c r="A531" s="22" t="s">
        <v>345</v>
      </c>
      <c r="B531" s="22">
        <v>122.5</v>
      </c>
      <c r="C531" s="22">
        <v>56765.279999999999</v>
      </c>
      <c r="D531" s="24">
        <f t="shared" si="16"/>
        <v>3.1938416182130912E-3</v>
      </c>
      <c r="E531" s="24">
        <f t="shared" si="17"/>
        <v>2.1308305225318483E-3</v>
      </c>
    </row>
    <row r="532" spans="1:5" x14ac:dyDescent="0.35">
      <c r="A532" s="22" t="s">
        <v>346</v>
      </c>
      <c r="B532" s="22">
        <v>122.11</v>
      </c>
      <c r="C532" s="22">
        <v>56644.58</v>
      </c>
      <c r="D532" s="24">
        <f t="shared" si="16"/>
        <v>9.1735537190082601E-3</v>
      </c>
      <c r="E532" s="24">
        <f t="shared" si="17"/>
        <v>2.0852089215877348E-3</v>
      </c>
    </row>
    <row r="533" spans="1:5" x14ac:dyDescent="0.35">
      <c r="A533" s="22" t="s">
        <v>347</v>
      </c>
      <c r="B533" s="22">
        <v>121</v>
      </c>
      <c r="C533" s="22">
        <v>56526.71</v>
      </c>
      <c r="D533" s="24">
        <f t="shared" si="16"/>
        <v>-2.8034380271507713E-2</v>
      </c>
      <c r="E533" s="24">
        <f t="shared" si="17"/>
        <v>2.0343987670682375E-2</v>
      </c>
    </row>
    <row r="534" spans="1:5" x14ac:dyDescent="0.35">
      <c r="A534" s="23">
        <v>45210</v>
      </c>
      <c r="B534" s="22">
        <v>124.49</v>
      </c>
      <c r="C534" s="22">
        <v>55399.66</v>
      </c>
      <c r="D534" s="24">
        <f t="shared" si="16"/>
        <v>6.4017094017093976E-2</v>
      </c>
      <c r="E534" s="24">
        <f t="shared" si="17"/>
        <v>2.0113108036717682E-2</v>
      </c>
    </row>
    <row r="535" spans="1:5" x14ac:dyDescent="0.35">
      <c r="A535" s="23">
        <v>45149</v>
      </c>
      <c r="B535" s="22">
        <v>117</v>
      </c>
      <c r="C535" s="22">
        <v>54307.37</v>
      </c>
      <c r="D535" s="24">
        <f t="shared" si="16"/>
        <v>6.4516129032258064E-3</v>
      </c>
      <c r="E535" s="24">
        <f t="shared" si="17"/>
        <v>9.2276980726181627E-3</v>
      </c>
    </row>
    <row r="536" spans="1:5" x14ac:dyDescent="0.35">
      <c r="A536" s="23">
        <v>45118</v>
      </c>
      <c r="B536" s="22">
        <v>116.25</v>
      </c>
      <c r="C536" s="22">
        <v>53810.82</v>
      </c>
      <c r="D536" s="24">
        <f t="shared" si="16"/>
        <v>1.0869565217391304E-2</v>
      </c>
      <c r="E536" s="24">
        <f t="shared" si="17"/>
        <v>-2.4141173399697367E-3</v>
      </c>
    </row>
    <row r="537" spans="1:5" x14ac:dyDescent="0.35">
      <c r="A537" s="23">
        <v>45088</v>
      </c>
      <c r="B537" s="22">
        <v>115</v>
      </c>
      <c r="C537" s="22">
        <v>53941.04</v>
      </c>
      <c r="D537" s="24">
        <f t="shared" si="16"/>
        <v>2.2222222222222223E-2</v>
      </c>
      <c r="E537" s="24">
        <f t="shared" si="17"/>
        <v>1.4392282793726154E-2</v>
      </c>
    </row>
    <row r="538" spans="1:5" x14ac:dyDescent="0.35">
      <c r="A538" s="23">
        <v>44996</v>
      </c>
      <c r="B538" s="22">
        <v>112.5</v>
      </c>
      <c r="C538" s="22">
        <v>53175.72</v>
      </c>
      <c r="D538" s="24">
        <f t="shared" si="16"/>
        <v>3.6866359447004608E-2</v>
      </c>
      <c r="E538" s="24">
        <f t="shared" si="17"/>
        <v>8.9995660459308378E-3</v>
      </c>
    </row>
    <row r="539" spans="1:5" x14ac:dyDescent="0.35">
      <c r="A539" s="23">
        <v>44968</v>
      </c>
      <c r="B539" s="22">
        <v>108.5</v>
      </c>
      <c r="C539" s="22">
        <v>52701.43</v>
      </c>
      <c r="D539" s="24">
        <f t="shared" si="16"/>
        <v>2.3005845747689966E-2</v>
      </c>
      <c r="E539" s="24">
        <f t="shared" si="17"/>
        <v>6.577528718672984E-3</v>
      </c>
    </row>
    <row r="540" spans="1:5" x14ac:dyDescent="0.35">
      <c r="A540" s="23">
        <v>44937</v>
      </c>
      <c r="B540" s="22">
        <v>106.06</v>
      </c>
      <c r="C540" s="22">
        <v>52357.05</v>
      </c>
      <c r="D540" s="24">
        <f t="shared" si="16"/>
        <v>-4.1314553990610117E-3</v>
      </c>
      <c r="E540" s="24">
        <f t="shared" si="17"/>
        <v>7.3252602964697811E-3</v>
      </c>
    </row>
    <row r="541" spans="1:5" x14ac:dyDescent="0.35">
      <c r="A541" s="22" t="s">
        <v>348</v>
      </c>
      <c r="B541" s="22">
        <v>106.5</v>
      </c>
      <c r="C541" s="22">
        <v>51976.31</v>
      </c>
      <c r="D541" s="24">
        <f t="shared" si="16"/>
        <v>4.6222054523157707E-3</v>
      </c>
      <c r="E541" s="24">
        <f t="shared" si="17"/>
        <v>9.583370643434579E-3</v>
      </c>
    </row>
    <row r="542" spans="1:5" x14ac:dyDescent="0.35">
      <c r="A542" s="22" t="s">
        <v>349</v>
      </c>
      <c r="B542" s="22">
        <v>106.01</v>
      </c>
      <c r="C542" s="22">
        <v>51482.93</v>
      </c>
      <c r="D542" s="24">
        <f t="shared" si="16"/>
        <v>-2.7281279397929638E-3</v>
      </c>
      <c r="E542" s="24">
        <f t="shared" si="17"/>
        <v>1.0292306771497233E-2</v>
      </c>
    </row>
    <row r="543" spans="1:5" x14ac:dyDescent="0.35">
      <c r="A543" s="22" t="s">
        <v>350</v>
      </c>
      <c r="B543" s="22">
        <v>106.3</v>
      </c>
      <c r="C543" s="22">
        <v>50958.45</v>
      </c>
      <c r="D543" s="24">
        <f t="shared" si="16"/>
        <v>-2.913508082929946E-2</v>
      </c>
      <c r="E543" s="24">
        <f t="shared" si="17"/>
        <v>-3.9084490523551233E-3</v>
      </c>
    </row>
    <row r="544" spans="1:5" x14ac:dyDescent="0.35">
      <c r="A544" s="22" t="s">
        <v>351</v>
      </c>
      <c r="B544" s="22">
        <v>109.49</v>
      </c>
      <c r="C544" s="22">
        <v>51158.400000000001</v>
      </c>
      <c r="D544" s="24">
        <f t="shared" si="16"/>
        <v>1.8511627906976698E-2</v>
      </c>
      <c r="E544" s="24">
        <f t="shared" si="17"/>
        <v>6.4703751487524665E-4</v>
      </c>
    </row>
    <row r="545" spans="1:5" x14ac:dyDescent="0.35">
      <c r="A545" s="22" t="s">
        <v>352</v>
      </c>
      <c r="B545" s="22">
        <v>107.5</v>
      </c>
      <c r="C545" s="22">
        <v>51125.32</v>
      </c>
      <c r="D545" s="24">
        <f t="shared" si="16"/>
        <v>-1.3761467889908258E-2</v>
      </c>
      <c r="E545" s="24">
        <f t="shared" si="17"/>
        <v>1.1194844536173379E-3</v>
      </c>
    </row>
    <row r="546" spans="1:5" x14ac:dyDescent="0.35">
      <c r="A546" s="22" t="s">
        <v>353</v>
      </c>
      <c r="B546" s="22">
        <v>109</v>
      </c>
      <c r="C546" s="22">
        <v>51068.15</v>
      </c>
      <c r="D546" s="24">
        <f t="shared" si="16"/>
        <v>-1.8018018018018018E-2</v>
      </c>
      <c r="E546" s="24">
        <f t="shared" si="17"/>
        <v>-8.9676036507187803E-5</v>
      </c>
    </row>
    <row r="547" spans="1:5" x14ac:dyDescent="0.35">
      <c r="A547" s="22" t="s">
        <v>354</v>
      </c>
      <c r="B547" s="22">
        <v>111</v>
      </c>
      <c r="C547" s="22">
        <v>51072.73</v>
      </c>
      <c r="D547" s="24">
        <f t="shared" si="16"/>
        <v>-2.2471910112359553E-3</v>
      </c>
      <c r="E547" s="24">
        <f t="shared" si="17"/>
        <v>7.858189875306296E-3</v>
      </c>
    </row>
    <row r="548" spans="1:5" x14ac:dyDescent="0.35">
      <c r="A548" s="22" t="s">
        <v>355</v>
      </c>
      <c r="B548" s="22">
        <v>111.25</v>
      </c>
      <c r="C548" s="22">
        <v>50674.52</v>
      </c>
      <c r="D548" s="24">
        <f t="shared" si="16"/>
        <v>-2.4122807017543858E-2</v>
      </c>
      <c r="E548" s="24">
        <f t="shared" si="17"/>
        <v>6.965865371909164E-3</v>
      </c>
    </row>
    <row r="549" spans="1:5" x14ac:dyDescent="0.35">
      <c r="A549" s="22" t="s">
        <v>356</v>
      </c>
      <c r="B549" s="22">
        <v>114</v>
      </c>
      <c r="C549" s="22">
        <v>50323.97</v>
      </c>
      <c r="D549" s="24">
        <f t="shared" si="16"/>
        <v>2.2421524663677129E-2</v>
      </c>
      <c r="E549" s="24">
        <f t="shared" si="17"/>
        <v>1.8576214842715027E-2</v>
      </c>
    </row>
    <row r="550" spans="1:5" x14ac:dyDescent="0.35">
      <c r="A550" s="22" t="s">
        <v>357</v>
      </c>
      <c r="B550" s="22">
        <v>111.5</v>
      </c>
      <c r="C550" s="22">
        <v>49406.19</v>
      </c>
      <c r="D550" s="24">
        <f t="shared" si="16"/>
        <v>-2.3642732049036802E-2</v>
      </c>
      <c r="E550" s="24">
        <f t="shared" si="17"/>
        <v>-2.4569999765787485E-3</v>
      </c>
    </row>
    <row r="551" spans="1:5" x14ac:dyDescent="0.35">
      <c r="A551" s="22" t="s">
        <v>358</v>
      </c>
      <c r="B551" s="22">
        <v>114.2</v>
      </c>
      <c r="C551" s="22">
        <v>49527.88</v>
      </c>
      <c r="D551" s="24">
        <f t="shared" si="16"/>
        <v>3.2549728752260476E-2</v>
      </c>
      <c r="E551" s="24">
        <f t="shared" si="17"/>
        <v>-3.8614340705236203E-3</v>
      </c>
    </row>
    <row r="552" spans="1:5" x14ac:dyDescent="0.35">
      <c r="A552" s="22" t="s">
        <v>359</v>
      </c>
      <c r="B552" s="22">
        <v>110.6</v>
      </c>
      <c r="C552" s="22">
        <v>49719.87</v>
      </c>
      <c r="D552" s="24">
        <f t="shared" si="16"/>
        <v>1.9354838709677368E-2</v>
      </c>
      <c r="E552" s="24">
        <f t="shared" si="17"/>
        <v>4.5743408170815557E-3</v>
      </c>
    </row>
    <row r="553" spans="1:5" x14ac:dyDescent="0.35">
      <c r="A553" s="22" t="s">
        <v>360</v>
      </c>
      <c r="B553" s="22">
        <v>108.5</v>
      </c>
      <c r="C553" s="22">
        <v>49493.47</v>
      </c>
      <c r="D553" s="24">
        <f t="shared" si="16"/>
        <v>1.4018691588785047E-2</v>
      </c>
      <c r="E553" s="24">
        <f t="shared" si="17"/>
        <v>1.4798742959801943E-2</v>
      </c>
    </row>
    <row r="554" spans="1:5" x14ac:dyDescent="0.35">
      <c r="A554" s="23">
        <v>45270</v>
      </c>
      <c r="B554" s="22">
        <v>107</v>
      </c>
      <c r="C554" s="22">
        <v>48771.71</v>
      </c>
      <c r="D554" s="24">
        <f t="shared" si="16"/>
        <v>3.7523452157599032E-3</v>
      </c>
      <c r="E554" s="24">
        <f t="shared" si="17"/>
        <v>5.5649481050187048E-3</v>
      </c>
    </row>
    <row r="555" spans="1:5" x14ac:dyDescent="0.35">
      <c r="A555" s="23">
        <v>45240</v>
      </c>
      <c r="B555" s="22">
        <v>106.6</v>
      </c>
      <c r="C555" s="22">
        <v>48501.8</v>
      </c>
      <c r="D555" s="24">
        <f t="shared" si="16"/>
        <v>-2.2018348623853264E-2</v>
      </c>
      <c r="E555" s="24">
        <f t="shared" si="17"/>
        <v>7.4423338560761663E-3</v>
      </c>
    </row>
    <row r="556" spans="1:5" x14ac:dyDescent="0.35">
      <c r="A556" s="23">
        <v>45209</v>
      </c>
      <c r="B556" s="22">
        <v>109</v>
      </c>
      <c r="C556" s="22">
        <v>48143.5</v>
      </c>
      <c r="D556" s="24">
        <f t="shared" si="16"/>
        <v>6.3706028990859354E-3</v>
      </c>
      <c r="E556" s="24">
        <f t="shared" si="17"/>
        <v>8.5236467357024184E-3</v>
      </c>
    </row>
    <row r="557" spans="1:5" x14ac:dyDescent="0.35">
      <c r="A557" s="23">
        <v>45179</v>
      </c>
      <c r="B557" s="22">
        <v>108.31</v>
      </c>
      <c r="C557" s="22">
        <v>47736.61</v>
      </c>
      <c r="D557" s="24">
        <f t="shared" si="16"/>
        <v>2.8703703703703916E-3</v>
      </c>
      <c r="E557" s="24">
        <f t="shared" si="17"/>
        <v>4.7978611061939291E-3</v>
      </c>
    </row>
    <row r="558" spans="1:5" x14ac:dyDescent="0.35">
      <c r="A558" s="23">
        <v>45087</v>
      </c>
      <c r="B558" s="22">
        <v>108</v>
      </c>
      <c r="C558" s="22">
        <v>47508.67</v>
      </c>
      <c r="D558" s="24">
        <f t="shared" si="16"/>
        <v>-4.608294930875576E-3</v>
      </c>
      <c r="E558" s="24">
        <f t="shared" si="17"/>
        <v>5.0774399088884012E-4</v>
      </c>
    </row>
    <row r="559" spans="1:5" x14ac:dyDescent="0.35">
      <c r="A559" s="23">
        <v>45056</v>
      </c>
      <c r="B559" s="22">
        <v>108.5</v>
      </c>
      <c r="C559" s="22">
        <v>47484.56</v>
      </c>
      <c r="D559" s="24">
        <f t="shared" si="16"/>
        <v>-2.2522522522522521E-2</v>
      </c>
      <c r="E559" s="24">
        <f t="shared" si="17"/>
        <v>8.5966750517152656E-3</v>
      </c>
    </row>
    <row r="560" spans="1:5" x14ac:dyDescent="0.35">
      <c r="A560" s="23">
        <v>45026</v>
      </c>
      <c r="B560" s="22">
        <v>111</v>
      </c>
      <c r="C560" s="22">
        <v>47079.83</v>
      </c>
      <c r="D560" s="24">
        <f t="shared" si="16"/>
        <v>6.8027210884353739E-3</v>
      </c>
      <c r="E560" s="24">
        <f t="shared" si="17"/>
        <v>6.9087277144714524E-3</v>
      </c>
    </row>
    <row r="561" spans="1:5" x14ac:dyDescent="0.35">
      <c r="A561" s="23">
        <v>44995</v>
      </c>
      <c r="B561" s="22">
        <v>110.25</v>
      </c>
      <c r="C561" s="22">
        <v>46756.800000000003</v>
      </c>
      <c r="D561" s="24">
        <f t="shared" si="16"/>
        <v>3.1847133757961265E-3</v>
      </c>
      <c r="E561" s="24">
        <f t="shared" si="17"/>
        <v>2.7820742795817617E-3</v>
      </c>
    </row>
    <row r="562" spans="1:5" x14ac:dyDescent="0.35">
      <c r="A562" s="23">
        <v>44967</v>
      </c>
      <c r="B562" s="22">
        <v>109.9</v>
      </c>
      <c r="C562" s="22">
        <v>46627.08</v>
      </c>
      <c r="D562" s="24">
        <f t="shared" si="16"/>
        <v>1.2903225806451665E-2</v>
      </c>
      <c r="E562" s="24">
        <f t="shared" si="17"/>
        <v>8.532725508131932E-3</v>
      </c>
    </row>
    <row r="563" spans="1:5" x14ac:dyDescent="0.35">
      <c r="A563" s="22" t="s">
        <v>361</v>
      </c>
      <c r="B563" s="22">
        <v>108.5</v>
      </c>
      <c r="C563" s="22">
        <v>46232.59</v>
      </c>
      <c r="D563" s="24">
        <f t="shared" si="16"/>
        <v>2.8533510285335153E-2</v>
      </c>
      <c r="E563" s="24">
        <f t="shared" si="17"/>
        <v>-3.7801655834487293E-3</v>
      </c>
    </row>
    <row r="564" spans="1:5" x14ac:dyDescent="0.35">
      <c r="A564" s="22" t="s">
        <v>362</v>
      </c>
      <c r="B564" s="22">
        <v>105.49</v>
      </c>
      <c r="C564" s="22">
        <v>46408.02</v>
      </c>
      <c r="D564" s="24">
        <f t="shared" si="16"/>
        <v>-1.4112149532710328E-2</v>
      </c>
      <c r="E564" s="24">
        <f t="shared" si="17"/>
        <v>2.1481998784672529E-3</v>
      </c>
    </row>
    <row r="565" spans="1:5" x14ac:dyDescent="0.35">
      <c r="A565" s="22" t="s">
        <v>363</v>
      </c>
      <c r="B565" s="22">
        <v>107</v>
      </c>
      <c r="C565" s="22">
        <v>46308.54</v>
      </c>
      <c r="D565" s="24">
        <f t="shared" si="16"/>
        <v>-9.2592592592592587E-3</v>
      </c>
      <c r="E565" s="24">
        <f t="shared" si="17"/>
        <v>-1.8489332314817598E-3</v>
      </c>
    </row>
    <row r="566" spans="1:5" x14ac:dyDescent="0.35">
      <c r="A566" s="22" t="s">
        <v>364</v>
      </c>
      <c r="B566" s="22">
        <v>108</v>
      </c>
      <c r="C566" s="22">
        <v>46394.32</v>
      </c>
      <c r="D566" s="24">
        <f t="shared" si="16"/>
        <v>5.7268722466960291E-2</v>
      </c>
      <c r="E566" s="24">
        <f t="shared" si="17"/>
        <v>-9.0640081780662594E-4</v>
      </c>
    </row>
    <row r="567" spans="1:5" x14ac:dyDescent="0.35">
      <c r="A567" s="22" t="s">
        <v>365</v>
      </c>
      <c r="B567" s="22">
        <v>102.15</v>
      </c>
      <c r="C567" s="22">
        <v>46436.41</v>
      </c>
      <c r="D567" s="24">
        <f t="shared" si="16"/>
        <v>1.4705882352941734E-3</v>
      </c>
      <c r="E567" s="24">
        <f t="shared" si="17"/>
        <v>2.8437699561146405E-3</v>
      </c>
    </row>
    <row r="568" spans="1:5" x14ac:dyDescent="0.35">
      <c r="A568" s="22" t="s">
        <v>366</v>
      </c>
      <c r="B568" s="22">
        <v>102</v>
      </c>
      <c r="C568" s="22">
        <v>46304.73</v>
      </c>
      <c r="D568" s="24">
        <f t="shared" si="16"/>
        <v>4.8271106294945805E-3</v>
      </c>
      <c r="E568" s="24">
        <f t="shared" si="17"/>
        <v>8.103409087940449E-3</v>
      </c>
    </row>
    <row r="569" spans="1:5" x14ac:dyDescent="0.35">
      <c r="A569" s="22" t="s">
        <v>367</v>
      </c>
      <c r="B569" s="22">
        <v>101.51</v>
      </c>
      <c r="C569" s="22">
        <v>45932.52</v>
      </c>
      <c r="D569" s="24">
        <f t="shared" si="16"/>
        <v>9.8522167487735137E-5</v>
      </c>
      <c r="E569" s="24">
        <f t="shared" si="17"/>
        <v>3.9944086990111787E-4</v>
      </c>
    </row>
    <row r="570" spans="1:5" x14ac:dyDescent="0.35">
      <c r="A570" s="22" t="s">
        <v>368</v>
      </c>
      <c r="B570" s="22">
        <v>101.5</v>
      </c>
      <c r="C570" s="22">
        <v>45914.18</v>
      </c>
      <c r="D570" s="24">
        <f t="shared" si="16"/>
        <v>-4.804392587508529E-3</v>
      </c>
      <c r="E570" s="24">
        <f t="shared" si="17"/>
        <v>1.674614321661255E-3</v>
      </c>
    </row>
    <row r="571" spans="1:5" x14ac:dyDescent="0.35">
      <c r="A571" s="22" t="s">
        <v>369</v>
      </c>
      <c r="B571" s="22">
        <v>101.99</v>
      </c>
      <c r="C571" s="22">
        <v>45837.42</v>
      </c>
      <c r="D571" s="24">
        <f t="shared" si="16"/>
        <v>4.8275862068965017E-3</v>
      </c>
      <c r="E571" s="24">
        <f t="shared" si="17"/>
        <v>1.833957657019018E-3</v>
      </c>
    </row>
    <row r="572" spans="1:5" x14ac:dyDescent="0.35">
      <c r="A572" s="22" t="s">
        <v>370</v>
      </c>
      <c r="B572" s="22">
        <v>101.5</v>
      </c>
      <c r="C572" s="22">
        <v>45753.51</v>
      </c>
      <c r="D572" s="24">
        <f t="shared" si="16"/>
        <v>0</v>
      </c>
      <c r="E572" s="24">
        <f t="shared" si="17"/>
        <v>2.2663721069308604E-3</v>
      </c>
    </row>
    <row r="573" spans="1:5" x14ac:dyDescent="0.35">
      <c r="A573" s="22" t="s">
        <v>371</v>
      </c>
      <c r="B573" s="22">
        <v>101.5</v>
      </c>
      <c r="C573" s="22">
        <v>45650.05</v>
      </c>
      <c r="D573" s="24">
        <f t="shared" si="16"/>
        <v>0</v>
      </c>
      <c r="E573" s="24">
        <f t="shared" si="17"/>
        <v>1.2969687823804533E-3</v>
      </c>
    </row>
    <row r="574" spans="1:5" x14ac:dyDescent="0.35">
      <c r="A574" s="22" t="s">
        <v>372</v>
      </c>
      <c r="B574" s="22">
        <v>101.5</v>
      </c>
      <c r="C574" s="22">
        <v>45590.92</v>
      </c>
      <c r="D574" s="24">
        <f t="shared" si="16"/>
        <v>2.3185483870967711E-2</v>
      </c>
      <c r="E574" s="24">
        <f t="shared" si="17"/>
        <v>1.8135117502508622E-3</v>
      </c>
    </row>
    <row r="575" spans="1:5" x14ac:dyDescent="0.35">
      <c r="A575" s="23">
        <v>45269</v>
      </c>
      <c r="B575" s="22">
        <v>99.2</v>
      </c>
      <c r="C575" s="22">
        <v>45508.39</v>
      </c>
      <c r="D575" s="24">
        <f t="shared" si="16"/>
        <v>-1.7821782178217793E-2</v>
      </c>
      <c r="E575" s="24">
        <f t="shared" si="17"/>
        <v>-7.7910021272964312E-3</v>
      </c>
    </row>
    <row r="576" spans="1:5" x14ac:dyDescent="0.35">
      <c r="A576" s="23">
        <v>45239</v>
      </c>
      <c r="B576" s="22">
        <v>101</v>
      </c>
      <c r="C576" s="22">
        <v>45865.73</v>
      </c>
      <c r="D576" s="24">
        <f t="shared" si="16"/>
        <v>-3.3492822966507178E-2</v>
      </c>
      <c r="E576" s="24">
        <f t="shared" si="17"/>
        <v>-3.2110155545722685E-3</v>
      </c>
    </row>
    <row r="577" spans="1:5" x14ac:dyDescent="0.35">
      <c r="A577" s="23">
        <v>45147</v>
      </c>
      <c r="B577" s="22">
        <v>104.5</v>
      </c>
      <c r="C577" s="22">
        <v>46013.48</v>
      </c>
      <c r="D577" s="24">
        <f t="shared" si="16"/>
        <v>-3.2407407407407406E-2</v>
      </c>
      <c r="E577" s="24">
        <f t="shared" si="17"/>
        <v>5.6002078797164944E-3</v>
      </c>
    </row>
    <row r="578" spans="1:5" x14ac:dyDescent="0.35">
      <c r="A578" s="23">
        <v>45116</v>
      </c>
      <c r="B578" s="22">
        <v>108</v>
      </c>
      <c r="C578" s="22">
        <v>45757.23</v>
      </c>
      <c r="D578" s="24">
        <f t="shared" si="16"/>
        <v>5.6802309339789503E-3</v>
      </c>
      <c r="E578" s="24">
        <f t="shared" si="17"/>
        <v>-1.0989449997019381E-3</v>
      </c>
    </row>
    <row r="579" spans="1:5" x14ac:dyDescent="0.35">
      <c r="A579" s="23">
        <v>45086</v>
      </c>
      <c r="B579" s="22">
        <v>107.39</v>
      </c>
      <c r="C579" s="22">
        <v>45807.57</v>
      </c>
      <c r="D579" s="24">
        <f t="shared" si="16"/>
        <v>1.7914691943127968E-2</v>
      </c>
      <c r="E579" s="24">
        <f t="shared" si="17"/>
        <v>6.9483340616747682E-3</v>
      </c>
    </row>
    <row r="580" spans="1:5" x14ac:dyDescent="0.35">
      <c r="A580" s="23">
        <v>45055</v>
      </c>
      <c r="B580" s="22">
        <v>105.5</v>
      </c>
      <c r="C580" s="22">
        <v>45491.48</v>
      </c>
      <c r="D580" s="24">
        <f t="shared" si="16"/>
        <v>-4.7169811320754715E-3</v>
      </c>
      <c r="E580" s="24">
        <f t="shared" si="17"/>
        <v>-4.724397045381145E-3</v>
      </c>
    </row>
    <row r="581" spans="1:5" x14ac:dyDescent="0.35">
      <c r="A581" s="23">
        <v>45025</v>
      </c>
      <c r="B581" s="22">
        <v>106</v>
      </c>
      <c r="C581" s="22">
        <v>45707.42</v>
      </c>
      <c r="D581" s="24">
        <f t="shared" ref="D581:D644" si="18">(B581-B582)/B582</f>
        <v>-7.3976964135219238E-3</v>
      </c>
      <c r="E581" s="24">
        <f t="shared" ref="E581:E644" si="19">(C581-C582)/C582</f>
        <v>8.7121366770647225E-3</v>
      </c>
    </row>
    <row r="582" spans="1:5" x14ac:dyDescent="0.35">
      <c r="A582" s="23">
        <v>44935</v>
      </c>
      <c r="B582" s="22">
        <v>106.79</v>
      </c>
      <c r="C582" s="22">
        <v>45312.65</v>
      </c>
      <c r="D582" s="24">
        <f t="shared" si="18"/>
        <v>1.7047619047619107E-2</v>
      </c>
      <c r="E582" s="24">
        <f t="shared" si="19"/>
        <v>6.8938530180938738E-3</v>
      </c>
    </row>
    <row r="583" spans="1:5" x14ac:dyDescent="0.35">
      <c r="A583" s="22" t="s">
        <v>373</v>
      </c>
      <c r="B583" s="22">
        <v>105</v>
      </c>
      <c r="C583" s="22">
        <v>45002.41</v>
      </c>
      <c r="D583" s="24">
        <f t="shared" si="18"/>
        <v>-1.0460842521911219E-2</v>
      </c>
      <c r="E583" s="24">
        <f t="shared" si="19"/>
        <v>-2.6860246234421122E-2</v>
      </c>
    </row>
    <row r="584" spans="1:5" x14ac:dyDescent="0.35">
      <c r="A584" s="22" t="s">
        <v>374</v>
      </c>
      <c r="B584" s="22">
        <v>106.11</v>
      </c>
      <c r="C584" s="22">
        <v>46244.55</v>
      </c>
      <c r="D584" s="24">
        <f t="shared" si="18"/>
        <v>-1.3176470588235347E-3</v>
      </c>
      <c r="E584" s="24">
        <f t="shared" si="19"/>
        <v>-1.1243433615399149E-2</v>
      </c>
    </row>
    <row r="585" spans="1:5" x14ac:dyDescent="0.35">
      <c r="A585" s="22" t="s">
        <v>375</v>
      </c>
      <c r="B585" s="22">
        <v>106.25</v>
      </c>
      <c r="C585" s="22">
        <v>46770.41</v>
      </c>
      <c r="D585" s="24">
        <f t="shared" si="18"/>
        <v>-5.0067054090299462E-2</v>
      </c>
      <c r="E585" s="24">
        <f t="shared" si="19"/>
        <v>-1.4916190680392646E-2</v>
      </c>
    </row>
    <row r="586" spans="1:5" x14ac:dyDescent="0.35">
      <c r="A586" s="22" t="s">
        <v>376</v>
      </c>
      <c r="B586" s="22">
        <v>111.85</v>
      </c>
      <c r="C586" s="22">
        <v>47478.61</v>
      </c>
      <c r="D586" s="24">
        <f t="shared" si="18"/>
        <v>-5.7777777777778287E-3</v>
      </c>
      <c r="E586" s="24">
        <f t="shared" si="19"/>
        <v>-4.0401743526123747E-3</v>
      </c>
    </row>
    <row r="587" spans="1:5" x14ac:dyDescent="0.35">
      <c r="A587" s="22" t="s">
        <v>377</v>
      </c>
      <c r="B587" s="22">
        <v>112.5</v>
      </c>
      <c r="C587" s="22">
        <v>47671.21</v>
      </c>
      <c r="D587" s="24">
        <f t="shared" si="18"/>
        <v>-2.2172949002217295E-3</v>
      </c>
      <c r="E587" s="24">
        <f t="shared" si="19"/>
        <v>-1.6659420708697182E-3</v>
      </c>
    </row>
    <row r="588" spans="1:5" x14ac:dyDescent="0.35">
      <c r="A588" s="22" t="s">
        <v>378</v>
      </c>
      <c r="B588" s="22">
        <v>112.75</v>
      </c>
      <c r="C588" s="22">
        <v>47750.76</v>
      </c>
      <c r="D588" s="24">
        <f t="shared" si="18"/>
        <v>0</v>
      </c>
      <c r="E588" s="24">
        <f t="shared" si="19"/>
        <v>7.0042091051556038E-3</v>
      </c>
    </row>
    <row r="589" spans="1:5" x14ac:dyDescent="0.35">
      <c r="A589" s="22" t="s">
        <v>379</v>
      </c>
      <c r="B589" s="22">
        <v>112.75</v>
      </c>
      <c r="C589" s="22">
        <v>47418.63</v>
      </c>
      <c r="D589" s="24">
        <f t="shared" si="18"/>
        <v>-8.7912087912087912E-3</v>
      </c>
      <c r="E589" s="24">
        <f t="shared" si="19"/>
        <v>1.5395030146757352E-5</v>
      </c>
    </row>
    <row r="590" spans="1:5" x14ac:dyDescent="0.35">
      <c r="A590" s="22" t="s">
        <v>380</v>
      </c>
      <c r="B590" s="22">
        <v>113.75</v>
      </c>
      <c r="C590" s="22">
        <v>47417.9</v>
      </c>
      <c r="D590" s="24">
        <f t="shared" si="18"/>
        <v>6.6371681415929203E-3</v>
      </c>
      <c r="E590" s="24">
        <f t="shared" si="19"/>
        <v>-6.3332557044078056E-4</v>
      </c>
    </row>
    <row r="591" spans="1:5" x14ac:dyDescent="0.35">
      <c r="A591" s="22" t="s">
        <v>381</v>
      </c>
      <c r="B591" s="22">
        <v>113</v>
      </c>
      <c r="C591" s="22">
        <v>47447.95</v>
      </c>
      <c r="D591" s="24">
        <f t="shared" si="18"/>
        <v>-8.771929824561403E-3</v>
      </c>
      <c r="E591" s="24">
        <f t="shared" si="19"/>
        <v>-1.5980176898944803E-2</v>
      </c>
    </row>
    <row r="592" spans="1:5" x14ac:dyDescent="0.35">
      <c r="A592" s="22" t="s">
        <v>382</v>
      </c>
      <c r="B592" s="22">
        <v>114</v>
      </c>
      <c r="C592" s="22">
        <v>48218.49</v>
      </c>
      <c r="D592" s="24">
        <f t="shared" si="18"/>
        <v>8.7602867002919641E-3</v>
      </c>
      <c r="E592" s="24">
        <f t="shared" si="19"/>
        <v>-2.2213788730831899E-3</v>
      </c>
    </row>
    <row r="593" spans="1:5" x14ac:dyDescent="0.35">
      <c r="A593" s="22" t="s">
        <v>383</v>
      </c>
      <c r="B593" s="22">
        <v>113.01</v>
      </c>
      <c r="C593" s="22">
        <v>48325.84</v>
      </c>
      <c r="D593" s="24">
        <f t="shared" si="18"/>
        <v>-5.6313242410910734E-3</v>
      </c>
      <c r="E593" s="24">
        <f t="shared" si="19"/>
        <v>3.7263406653410486E-3</v>
      </c>
    </row>
    <row r="594" spans="1:5" x14ac:dyDescent="0.35">
      <c r="A594" s="22" t="s">
        <v>384</v>
      </c>
      <c r="B594" s="22">
        <v>113.65</v>
      </c>
      <c r="C594" s="22">
        <v>48146.43</v>
      </c>
      <c r="D594" s="24">
        <f t="shared" si="18"/>
        <v>-1.1825058690548642E-2</v>
      </c>
      <c r="E594" s="24">
        <f t="shared" si="19"/>
        <v>-8.6340682476848344E-3</v>
      </c>
    </row>
    <row r="595" spans="1:5" x14ac:dyDescent="0.35">
      <c r="A595" s="22" t="s">
        <v>385</v>
      </c>
      <c r="B595" s="22">
        <v>115.01</v>
      </c>
      <c r="C595" s="22">
        <v>48565.75</v>
      </c>
      <c r="D595" s="24">
        <f t="shared" si="18"/>
        <v>-1.2789699570815407E-2</v>
      </c>
      <c r="E595" s="24">
        <f t="shared" si="19"/>
        <v>2.9189829920453023E-3</v>
      </c>
    </row>
    <row r="596" spans="1:5" x14ac:dyDescent="0.35">
      <c r="A596" s="23">
        <v>45238</v>
      </c>
      <c r="B596" s="22">
        <v>116.5</v>
      </c>
      <c r="C596" s="22">
        <v>48424.4</v>
      </c>
      <c r="D596" s="24">
        <f t="shared" si="18"/>
        <v>2.2019475392578342E-2</v>
      </c>
      <c r="E596" s="24">
        <f t="shared" si="19"/>
        <v>1.288603620205188E-2</v>
      </c>
    </row>
    <row r="597" spans="1:5" x14ac:dyDescent="0.35">
      <c r="A597" s="23">
        <v>45207</v>
      </c>
      <c r="B597" s="22">
        <v>113.99</v>
      </c>
      <c r="C597" s="22">
        <v>47808.34</v>
      </c>
      <c r="D597" s="24">
        <f t="shared" si="18"/>
        <v>-4.4541484716157653E-3</v>
      </c>
      <c r="E597" s="24">
        <f t="shared" si="19"/>
        <v>-8.6933623070607289E-3</v>
      </c>
    </row>
    <row r="598" spans="1:5" x14ac:dyDescent="0.35">
      <c r="A598" s="23">
        <v>45177</v>
      </c>
      <c r="B598" s="22">
        <v>114.5</v>
      </c>
      <c r="C598" s="22">
        <v>48227.6</v>
      </c>
      <c r="D598" s="24">
        <f t="shared" si="18"/>
        <v>1.7777777777777778E-2</v>
      </c>
      <c r="E598" s="24">
        <f t="shared" si="19"/>
        <v>1.6820219853248417E-2</v>
      </c>
    </row>
    <row r="599" spans="1:5" x14ac:dyDescent="0.35">
      <c r="A599" s="23">
        <v>45146</v>
      </c>
      <c r="B599" s="22">
        <v>112.5</v>
      </c>
      <c r="C599" s="22">
        <v>47429.82</v>
      </c>
      <c r="D599" s="24">
        <f t="shared" si="18"/>
        <v>-1.7896115233522455E-2</v>
      </c>
      <c r="E599" s="24">
        <f t="shared" si="19"/>
        <v>-1.9766565914903517E-2</v>
      </c>
    </row>
    <row r="600" spans="1:5" x14ac:dyDescent="0.35">
      <c r="A600" s="23">
        <v>45115</v>
      </c>
      <c r="B600" s="22">
        <v>114.55</v>
      </c>
      <c r="C600" s="22">
        <v>48386.25</v>
      </c>
      <c r="D600" s="24">
        <f t="shared" si="18"/>
        <v>2.0944741532976777E-2</v>
      </c>
      <c r="E600" s="24">
        <f t="shared" si="19"/>
        <v>-4.1053223262559942E-3</v>
      </c>
    </row>
    <row r="601" spans="1:5" x14ac:dyDescent="0.35">
      <c r="A601" s="23">
        <v>45024</v>
      </c>
      <c r="B601" s="22">
        <v>112.2</v>
      </c>
      <c r="C601" s="22">
        <v>48585.71</v>
      </c>
      <c r="D601" s="24">
        <f t="shared" si="18"/>
        <v>-8.9047195013352025E-4</v>
      </c>
      <c r="E601" s="24">
        <f t="shared" si="19"/>
        <v>-5.2395354319728844E-4</v>
      </c>
    </row>
    <row r="602" spans="1:5" x14ac:dyDescent="0.35">
      <c r="A602" s="23">
        <v>44993</v>
      </c>
      <c r="B602" s="22">
        <v>112.3</v>
      </c>
      <c r="C602" s="22">
        <v>48611.18</v>
      </c>
      <c r="D602" s="24">
        <f t="shared" si="18"/>
        <v>-1.4912280701754412E-2</v>
      </c>
      <c r="E602" s="24">
        <f t="shared" si="19"/>
        <v>-3.1451125869100117E-3</v>
      </c>
    </row>
    <row r="603" spans="1:5" x14ac:dyDescent="0.35">
      <c r="A603" s="23">
        <v>44965</v>
      </c>
      <c r="B603" s="22">
        <v>114</v>
      </c>
      <c r="C603" s="22">
        <v>48764.55</v>
      </c>
      <c r="D603" s="24">
        <f t="shared" si="18"/>
        <v>2.2880215343203204E-2</v>
      </c>
      <c r="E603" s="24">
        <f t="shared" si="19"/>
        <v>1.1072868827816483E-2</v>
      </c>
    </row>
    <row r="604" spans="1:5" x14ac:dyDescent="0.35">
      <c r="A604" s="23">
        <v>44934</v>
      </c>
      <c r="B604" s="22">
        <v>111.45</v>
      </c>
      <c r="C604" s="22">
        <v>48230.5</v>
      </c>
      <c r="D604" s="24">
        <f t="shared" si="18"/>
        <v>-6.2416406598306091E-3</v>
      </c>
      <c r="E604" s="24">
        <f t="shared" si="19"/>
        <v>4.0785192503985882E-3</v>
      </c>
    </row>
    <row r="605" spans="1:5" x14ac:dyDescent="0.35">
      <c r="A605" s="22" t="s">
        <v>386</v>
      </c>
      <c r="B605" s="22">
        <v>112.15</v>
      </c>
      <c r="C605" s="22">
        <v>48034.59</v>
      </c>
      <c r="D605" s="24">
        <f t="shared" si="18"/>
        <v>-8.908685968819093E-4</v>
      </c>
      <c r="E605" s="24">
        <f t="shared" si="19"/>
        <v>1.8997621081116148E-2</v>
      </c>
    </row>
    <row r="606" spans="1:5" x14ac:dyDescent="0.35">
      <c r="A606" s="22" t="s">
        <v>387</v>
      </c>
      <c r="B606" s="22">
        <v>112.25</v>
      </c>
      <c r="C606" s="22">
        <v>47139.06</v>
      </c>
      <c r="D606" s="24">
        <f t="shared" si="18"/>
        <v>-1.6897901102810185E-3</v>
      </c>
      <c r="E606" s="24">
        <f t="shared" si="19"/>
        <v>8.8707057398909935E-3</v>
      </c>
    </row>
    <row r="607" spans="1:5" x14ac:dyDescent="0.35">
      <c r="A607" s="22" t="s">
        <v>388</v>
      </c>
      <c r="B607" s="22">
        <v>112.44</v>
      </c>
      <c r="C607" s="22">
        <v>46724.58</v>
      </c>
      <c r="D607" s="24">
        <f t="shared" si="18"/>
        <v>1.6926503340757035E-3</v>
      </c>
      <c r="E607" s="24">
        <f t="shared" si="19"/>
        <v>7.012186842796077E-3</v>
      </c>
    </row>
    <row r="608" spans="1:5" x14ac:dyDescent="0.35">
      <c r="A608" s="22" t="s">
        <v>389</v>
      </c>
      <c r="B608" s="22">
        <v>112.25</v>
      </c>
      <c r="C608" s="22">
        <v>46399.22</v>
      </c>
      <c r="D608" s="24">
        <f t="shared" si="18"/>
        <v>-9.2674315975286598E-3</v>
      </c>
      <c r="E608" s="24">
        <f t="shared" si="19"/>
        <v>7.2433738444455395E-3</v>
      </c>
    </row>
    <row r="609" spans="1:5" x14ac:dyDescent="0.35">
      <c r="A609" s="22" t="s">
        <v>390</v>
      </c>
      <c r="B609" s="22">
        <v>113.3</v>
      </c>
      <c r="C609" s="22">
        <v>46065.55</v>
      </c>
      <c r="D609" s="24">
        <f t="shared" si="18"/>
        <v>-1.8197573656845826E-2</v>
      </c>
      <c r="E609" s="24">
        <f t="shared" si="19"/>
        <v>3.863515417668939E-3</v>
      </c>
    </row>
    <row r="610" spans="1:5" x14ac:dyDescent="0.35">
      <c r="A610" s="22" t="s">
        <v>391</v>
      </c>
      <c r="B610" s="22">
        <v>115.4</v>
      </c>
      <c r="C610" s="22">
        <v>45888.26</v>
      </c>
      <c r="D610" s="24">
        <f t="shared" si="18"/>
        <v>2.3049645390070997E-2</v>
      </c>
      <c r="E610" s="24">
        <f t="shared" si="19"/>
        <v>1.0163212815052339E-2</v>
      </c>
    </row>
    <row r="611" spans="1:5" x14ac:dyDescent="0.35">
      <c r="A611" s="22" t="s">
        <v>392</v>
      </c>
      <c r="B611" s="22">
        <v>112.8</v>
      </c>
      <c r="C611" s="22">
        <v>45426.58</v>
      </c>
      <c r="D611" s="24">
        <f t="shared" si="18"/>
        <v>4.0053404539386103E-3</v>
      </c>
      <c r="E611" s="24">
        <f t="shared" si="19"/>
        <v>7.5466333143549271E-3</v>
      </c>
    </row>
    <row r="612" spans="1:5" x14ac:dyDescent="0.35">
      <c r="A612" s="22" t="s">
        <v>393</v>
      </c>
      <c r="B612" s="22">
        <v>112.35</v>
      </c>
      <c r="C612" s="22">
        <v>45086.33</v>
      </c>
      <c r="D612" s="24">
        <f t="shared" si="18"/>
        <v>-2.3043478260869613E-2</v>
      </c>
      <c r="E612" s="24">
        <f t="shared" si="19"/>
        <v>1.482465744357184E-3</v>
      </c>
    </row>
    <row r="613" spans="1:5" x14ac:dyDescent="0.35">
      <c r="A613" s="22" t="s">
        <v>394</v>
      </c>
      <c r="B613" s="22">
        <v>115</v>
      </c>
      <c r="C613" s="22">
        <v>45019.59</v>
      </c>
      <c r="D613" s="24">
        <f t="shared" si="18"/>
        <v>-6.0501296456352879E-3</v>
      </c>
      <c r="E613" s="24">
        <f t="shared" si="19"/>
        <v>-6.1624046697535009E-4</v>
      </c>
    </row>
    <row r="614" spans="1:5" x14ac:dyDescent="0.35">
      <c r="A614" s="22" t="s">
        <v>395</v>
      </c>
      <c r="B614" s="22">
        <v>115.7</v>
      </c>
      <c r="C614" s="22">
        <v>45047.35</v>
      </c>
      <c r="D614" s="24">
        <f t="shared" si="18"/>
        <v>-2.5862068965516998E-3</v>
      </c>
      <c r="E614" s="24">
        <f t="shared" si="19"/>
        <v>-5.455722562641808E-4</v>
      </c>
    </row>
    <row r="615" spans="1:5" x14ac:dyDescent="0.35">
      <c r="A615" s="22" t="s">
        <v>396</v>
      </c>
      <c r="B615" s="22">
        <v>116</v>
      </c>
      <c r="C615" s="22">
        <v>45071.94</v>
      </c>
      <c r="D615" s="24">
        <f t="shared" si="18"/>
        <v>2.4282560706401765E-2</v>
      </c>
      <c r="E615" s="24">
        <f t="shared" si="19"/>
        <v>-4.9579967732619303E-3</v>
      </c>
    </row>
    <row r="616" spans="1:5" x14ac:dyDescent="0.35">
      <c r="A616" s="22" t="s">
        <v>397</v>
      </c>
      <c r="B616" s="22">
        <v>113.25</v>
      </c>
      <c r="C616" s="22">
        <v>45296.52</v>
      </c>
      <c r="D616" s="24">
        <f t="shared" si="18"/>
        <v>-2.3706896551724137E-2</v>
      </c>
      <c r="E616" s="24">
        <f t="shared" si="19"/>
        <v>-6.2440312471410998E-3</v>
      </c>
    </row>
    <row r="617" spans="1:5" x14ac:dyDescent="0.35">
      <c r="A617" s="23">
        <v>45267</v>
      </c>
      <c r="B617" s="22">
        <v>116</v>
      </c>
      <c r="C617" s="22">
        <v>45581.13</v>
      </c>
      <c r="D617" s="24">
        <f t="shared" si="18"/>
        <v>1.7543859649122806E-2</v>
      </c>
      <c r="E617" s="24">
        <f t="shared" si="19"/>
        <v>8.895680603675498E-3</v>
      </c>
    </row>
    <row r="618" spans="1:5" x14ac:dyDescent="0.35">
      <c r="A618" s="23">
        <v>45237</v>
      </c>
      <c r="B618" s="22">
        <v>114</v>
      </c>
      <c r="C618" s="22">
        <v>45179.23</v>
      </c>
      <c r="D618" s="24">
        <f t="shared" si="18"/>
        <v>3.6363636363636362E-2</v>
      </c>
      <c r="E618" s="24">
        <f t="shared" si="19"/>
        <v>1.3855134283115085E-2</v>
      </c>
    </row>
    <row r="619" spans="1:5" x14ac:dyDescent="0.35">
      <c r="A619" s="23">
        <v>45206</v>
      </c>
      <c r="B619" s="22">
        <v>110</v>
      </c>
      <c r="C619" s="22">
        <v>44561.82</v>
      </c>
      <c r="D619" s="24">
        <f t="shared" si="18"/>
        <v>1.1959521619135207E-2</v>
      </c>
      <c r="E619" s="24">
        <f t="shared" si="19"/>
        <v>6.2526927902320124E-3</v>
      </c>
    </row>
    <row r="620" spans="1:5" x14ac:dyDescent="0.35">
      <c r="A620" s="23">
        <v>45114</v>
      </c>
      <c r="B620" s="22">
        <v>108.7</v>
      </c>
      <c r="C620" s="22">
        <v>44284.92</v>
      </c>
      <c r="D620" s="24">
        <f t="shared" si="18"/>
        <v>-1.1818181818181792E-2</v>
      </c>
      <c r="E620" s="24">
        <f t="shared" si="19"/>
        <v>1.6556695826354887E-3</v>
      </c>
    </row>
    <row r="621" spans="1:5" x14ac:dyDescent="0.35">
      <c r="A621" s="23">
        <v>45084</v>
      </c>
      <c r="B621" s="22">
        <v>110</v>
      </c>
      <c r="C621" s="22">
        <v>44211.72</v>
      </c>
      <c r="D621" s="24">
        <f t="shared" si="18"/>
        <v>9.1743119266055051E-3</v>
      </c>
      <c r="E621" s="24">
        <f t="shared" si="19"/>
        <v>1.5105681913935968E-2</v>
      </c>
    </row>
    <row r="622" spans="1:5" x14ac:dyDescent="0.35">
      <c r="A622" s="23">
        <v>45053</v>
      </c>
      <c r="B622" s="22">
        <v>109</v>
      </c>
      <c r="C622" s="22">
        <v>43553.81</v>
      </c>
      <c r="D622" s="24">
        <f t="shared" si="18"/>
        <v>2.8301886792452831E-2</v>
      </c>
      <c r="E622" s="24">
        <f t="shared" si="19"/>
        <v>1.17049694859349E-3</v>
      </c>
    </row>
    <row r="623" spans="1:5" x14ac:dyDescent="0.35">
      <c r="A623" s="23">
        <v>45023</v>
      </c>
      <c r="B623" s="22">
        <v>106</v>
      </c>
      <c r="C623" s="22">
        <v>43502.89</v>
      </c>
      <c r="D623" s="24">
        <f t="shared" si="18"/>
        <v>2.0797882397428518E-3</v>
      </c>
      <c r="E623" s="24">
        <f t="shared" si="19"/>
        <v>-9.1200454453413734E-3</v>
      </c>
    </row>
    <row r="624" spans="1:5" x14ac:dyDescent="0.35">
      <c r="A624" s="23">
        <v>44992</v>
      </c>
      <c r="B624" s="22">
        <v>105.78</v>
      </c>
      <c r="C624" s="22">
        <v>43903.29</v>
      </c>
      <c r="D624" s="24">
        <f t="shared" si="18"/>
        <v>6.8484848484848496E-2</v>
      </c>
      <c r="E624" s="24">
        <f t="shared" si="19"/>
        <v>5.9118252426622372E-2</v>
      </c>
    </row>
    <row r="625" spans="1:5" x14ac:dyDescent="0.35">
      <c r="A625" s="22" t="s">
        <v>398</v>
      </c>
      <c r="B625" s="22">
        <v>99</v>
      </c>
      <c r="C625" s="22">
        <v>41452.68</v>
      </c>
      <c r="D625" s="24">
        <f t="shared" si="18"/>
        <v>0</v>
      </c>
      <c r="E625" s="24">
        <f t="shared" si="19"/>
        <v>1.597378086659527E-3</v>
      </c>
    </row>
    <row r="626" spans="1:5" x14ac:dyDescent="0.35">
      <c r="A626" s="22" t="s">
        <v>399</v>
      </c>
      <c r="B626" s="22">
        <v>99</v>
      </c>
      <c r="C626" s="22">
        <v>41386.57</v>
      </c>
      <c r="D626" s="24">
        <f t="shared" si="18"/>
        <v>1.5176374077112429E-2</v>
      </c>
      <c r="E626" s="24">
        <f t="shared" si="19"/>
        <v>3.2332211534144346E-2</v>
      </c>
    </row>
    <row r="627" spans="1:5" x14ac:dyDescent="0.35">
      <c r="A627" s="22" t="s">
        <v>400</v>
      </c>
      <c r="B627" s="22">
        <v>97.52</v>
      </c>
      <c r="C627" s="22">
        <v>40090.36</v>
      </c>
      <c r="D627" s="24">
        <f t="shared" si="18"/>
        <v>-1.8423746161720248E-3</v>
      </c>
      <c r="E627" s="24">
        <f t="shared" si="19"/>
        <v>-2.276650347520072E-3</v>
      </c>
    </row>
    <row r="628" spans="1:5" x14ac:dyDescent="0.35">
      <c r="A628" s="22" t="s">
        <v>401</v>
      </c>
      <c r="B628" s="22">
        <v>97.7</v>
      </c>
      <c r="C628" s="22">
        <v>40181.839999999997</v>
      </c>
      <c r="D628" s="24">
        <f t="shared" si="18"/>
        <v>-3.0612244897958892E-3</v>
      </c>
      <c r="E628" s="24">
        <f t="shared" si="19"/>
        <v>-1.1911579885141132E-3</v>
      </c>
    </row>
    <row r="629" spans="1:5" x14ac:dyDescent="0.35">
      <c r="A629" s="22" t="s">
        <v>402</v>
      </c>
      <c r="B629" s="22">
        <v>98</v>
      </c>
      <c r="C629" s="22">
        <v>40229.760000000002</v>
      </c>
      <c r="D629" s="24">
        <f t="shared" si="18"/>
        <v>-4.9751243781094015E-3</v>
      </c>
      <c r="E629" s="24">
        <f t="shared" si="19"/>
        <v>-1.0276651836719056E-2</v>
      </c>
    </row>
    <row r="630" spans="1:5" x14ac:dyDescent="0.35">
      <c r="A630" s="22" t="s">
        <v>403</v>
      </c>
      <c r="B630" s="22">
        <v>98.49</v>
      </c>
      <c r="C630" s="22">
        <v>40647.480000000003</v>
      </c>
      <c r="D630" s="24">
        <f t="shared" si="18"/>
        <v>-1.6083916083916079E-2</v>
      </c>
      <c r="E630" s="24">
        <f t="shared" si="19"/>
        <v>-7.3061921823593299E-5</v>
      </c>
    </row>
    <row r="631" spans="1:5" x14ac:dyDescent="0.35">
      <c r="A631" s="22" t="s">
        <v>404</v>
      </c>
      <c r="B631" s="22">
        <v>100.1</v>
      </c>
      <c r="C631" s="22">
        <v>40650.449999999997</v>
      </c>
      <c r="D631" s="24">
        <f t="shared" si="18"/>
        <v>3.4411491164617114E-2</v>
      </c>
      <c r="E631" s="24">
        <f t="shared" si="19"/>
        <v>-1.6573635320510025E-2</v>
      </c>
    </row>
    <row r="632" spans="1:5" x14ac:dyDescent="0.35">
      <c r="A632" s="22" t="s">
        <v>405</v>
      </c>
      <c r="B632" s="22">
        <v>96.77</v>
      </c>
      <c r="C632" s="22">
        <v>41335.53</v>
      </c>
      <c r="D632" s="24">
        <f t="shared" si="18"/>
        <v>-7.181696932389482E-3</v>
      </c>
      <c r="E632" s="24">
        <f t="shared" si="19"/>
        <v>-1.6657609680107515E-3</v>
      </c>
    </row>
    <row r="633" spans="1:5" x14ac:dyDescent="0.35">
      <c r="A633" s="22" t="s">
        <v>406</v>
      </c>
      <c r="B633" s="22">
        <v>97.47</v>
      </c>
      <c r="C633" s="22">
        <v>41404.5</v>
      </c>
      <c r="D633" s="24">
        <f t="shared" si="18"/>
        <v>-1.5454545454545466E-2</v>
      </c>
      <c r="E633" s="24">
        <f t="shared" si="19"/>
        <v>-3.1868072871163045E-3</v>
      </c>
    </row>
    <row r="634" spans="1:5" x14ac:dyDescent="0.35">
      <c r="A634" s="22" t="s">
        <v>407</v>
      </c>
      <c r="B634" s="22">
        <v>99</v>
      </c>
      <c r="C634" s="22">
        <v>41536.870000000003</v>
      </c>
      <c r="D634" s="24">
        <f t="shared" si="18"/>
        <v>0</v>
      </c>
      <c r="E634" s="24">
        <f t="shared" si="19"/>
        <v>1.7093539701289834E-5</v>
      </c>
    </row>
    <row r="635" spans="1:5" x14ac:dyDescent="0.35">
      <c r="A635" s="22" t="s">
        <v>408</v>
      </c>
      <c r="B635" s="22">
        <v>99</v>
      </c>
      <c r="C635" s="22">
        <v>41536.160000000003</v>
      </c>
      <c r="D635" s="24">
        <f t="shared" si="18"/>
        <v>-3.0211480362537478E-3</v>
      </c>
      <c r="E635" s="24">
        <f t="shared" si="19"/>
        <v>-5.6537425611642503E-3</v>
      </c>
    </row>
    <row r="636" spans="1:5" x14ac:dyDescent="0.35">
      <c r="A636" s="23">
        <v>45266</v>
      </c>
      <c r="B636" s="22">
        <v>99.3</v>
      </c>
      <c r="C636" s="22">
        <v>41772.33</v>
      </c>
      <c r="D636" s="24">
        <f t="shared" si="18"/>
        <v>-6.5032516258129629E-3</v>
      </c>
      <c r="E636" s="24">
        <f t="shared" si="19"/>
        <v>-3.162640323819214E-3</v>
      </c>
    </row>
    <row r="637" spans="1:5" x14ac:dyDescent="0.35">
      <c r="A637" s="23">
        <v>45175</v>
      </c>
      <c r="B637" s="22">
        <v>99.95</v>
      </c>
      <c r="C637" s="22">
        <v>41904.86</v>
      </c>
      <c r="D637" s="24">
        <f t="shared" si="18"/>
        <v>-4.999999999999716E-4</v>
      </c>
      <c r="E637" s="24">
        <f t="shared" si="19"/>
        <v>5.6827686043534262E-3</v>
      </c>
    </row>
    <row r="638" spans="1:5" x14ac:dyDescent="0.35">
      <c r="A638" s="23">
        <v>45144</v>
      </c>
      <c r="B638" s="22">
        <v>100</v>
      </c>
      <c r="C638" s="22">
        <v>41668.07</v>
      </c>
      <c r="D638" s="24">
        <f t="shared" si="18"/>
        <v>0</v>
      </c>
      <c r="E638" s="24">
        <f t="shared" si="19"/>
        <v>-1.0711261984433744E-2</v>
      </c>
    </row>
    <row r="639" spans="1:5" x14ac:dyDescent="0.35">
      <c r="A639" s="23">
        <v>45113</v>
      </c>
      <c r="B639" s="22">
        <v>100</v>
      </c>
      <c r="C639" s="22">
        <v>42119.22</v>
      </c>
      <c r="D639" s="24">
        <f t="shared" si="18"/>
        <v>3.0927835051546393E-2</v>
      </c>
      <c r="E639" s="24">
        <f t="shared" si="19"/>
        <v>4.9230689945430565E-3</v>
      </c>
    </row>
    <row r="640" spans="1:5" x14ac:dyDescent="0.35">
      <c r="A640" s="23">
        <v>45083</v>
      </c>
      <c r="B640" s="22">
        <v>97</v>
      </c>
      <c r="C640" s="22">
        <v>41912.879999999997</v>
      </c>
      <c r="D640" s="24">
        <f t="shared" si="18"/>
        <v>0</v>
      </c>
      <c r="E640" s="24">
        <f t="shared" si="19"/>
        <v>6.5888493181675374E-3</v>
      </c>
    </row>
    <row r="641" spans="1:5" x14ac:dyDescent="0.35">
      <c r="A641" s="23">
        <v>45052</v>
      </c>
      <c r="B641" s="22">
        <v>97</v>
      </c>
      <c r="C641" s="22">
        <v>41638.53</v>
      </c>
      <c r="D641" s="24">
        <f t="shared" si="18"/>
        <v>-5.1282051282051282E-3</v>
      </c>
      <c r="E641" s="24">
        <f t="shared" si="19"/>
        <v>6.8258139521388036E-3</v>
      </c>
    </row>
    <row r="642" spans="1:5" x14ac:dyDescent="0.35">
      <c r="A642" s="23">
        <v>44963</v>
      </c>
      <c r="B642" s="22">
        <v>97.5</v>
      </c>
      <c r="C642" s="22">
        <v>41356.239999999998</v>
      </c>
      <c r="D642" s="24">
        <f t="shared" si="18"/>
        <v>2.6315789473684209E-2</v>
      </c>
      <c r="E642" s="24">
        <f t="shared" si="19"/>
        <v>1.9993351701760053E-3</v>
      </c>
    </row>
    <row r="643" spans="1:5" x14ac:dyDescent="0.35">
      <c r="A643" s="23">
        <v>44932</v>
      </c>
      <c r="B643" s="22">
        <v>95</v>
      </c>
      <c r="C643" s="22">
        <v>41273.72</v>
      </c>
      <c r="D643" s="24">
        <f t="shared" si="18"/>
        <v>4.1221858154529183E-3</v>
      </c>
      <c r="E643" s="24">
        <f t="shared" si="19"/>
        <v>-1.5506381323446314E-3</v>
      </c>
    </row>
    <row r="644" spans="1:5" x14ac:dyDescent="0.35">
      <c r="A644" s="22" t="s">
        <v>409</v>
      </c>
      <c r="B644" s="22">
        <v>94.61</v>
      </c>
      <c r="C644" s="22">
        <v>41337.82</v>
      </c>
      <c r="D644" s="24">
        <f t="shared" si="18"/>
        <v>-9.4230970578997562E-3</v>
      </c>
      <c r="E644" s="24">
        <f t="shared" si="19"/>
        <v>-7.8728743083364156E-3</v>
      </c>
    </row>
    <row r="645" spans="1:5" x14ac:dyDescent="0.35">
      <c r="A645" s="22" t="s">
        <v>410</v>
      </c>
      <c r="B645" s="22">
        <v>95.51</v>
      </c>
      <c r="C645" s="22">
        <v>41665.85</v>
      </c>
      <c r="D645" s="24">
        <f t="shared" ref="D645:D708" si="20">(B645-B646)/B646</f>
        <v>1.0471204188487032E-4</v>
      </c>
      <c r="E645" s="24">
        <f t="shared" ref="E645:E708" si="21">(C645-C646)/C646</f>
        <v>7.6323601429253403E-3</v>
      </c>
    </row>
    <row r="646" spans="1:5" x14ac:dyDescent="0.35">
      <c r="A646" s="22" t="s">
        <v>411</v>
      </c>
      <c r="B646" s="22">
        <v>95.5</v>
      </c>
      <c r="C646" s="22">
        <v>41350.25</v>
      </c>
      <c r="D646" s="24">
        <f t="shared" si="20"/>
        <v>-1.5463917525773196E-2</v>
      </c>
      <c r="E646" s="24">
        <f t="shared" si="21"/>
        <v>8.4787306170828556E-3</v>
      </c>
    </row>
    <row r="647" spans="1:5" x14ac:dyDescent="0.35">
      <c r="A647" s="22" t="s">
        <v>412</v>
      </c>
      <c r="B647" s="22">
        <v>97</v>
      </c>
      <c r="C647" s="22">
        <v>41002.6</v>
      </c>
      <c r="D647" s="24">
        <f t="shared" si="20"/>
        <v>-1.5128439435475632E-2</v>
      </c>
      <c r="E647" s="24">
        <f t="shared" si="21"/>
        <v>-1.648393121063259E-3</v>
      </c>
    </row>
    <row r="648" spans="1:5" x14ac:dyDescent="0.35">
      <c r="A648" s="22" t="s">
        <v>413</v>
      </c>
      <c r="B648" s="22">
        <v>98.49</v>
      </c>
      <c r="C648" s="22">
        <v>41070.300000000003</v>
      </c>
      <c r="D648" s="24">
        <f t="shared" si="20"/>
        <v>4.9999999999999481E-3</v>
      </c>
      <c r="E648" s="24">
        <f t="shared" si="21"/>
        <v>-6.8567012697307267E-4</v>
      </c>
    </row>
    <row r="649" spans="1:5" x14ac:dyDescent="0.35">
      <c r="A649" s="22" t="s">
        <v>414</v>
      </c>
      <c r="B649" s="22">
        <v>98</v>
      </c>
      <c r="C649" s="22">
        <v>41098.480000000003</v>
      </c>
      <c r="D649" s="24">
        <f t="shared" si="20"/>
        <v>3.5940803382663908E-2</v>
      </c>
      <c r="E649" s="24">
        <f t="shared" si="21"/>
        <v>-4.4142722786362065E-4</v>
      </c>
    </row>
    <row r="650" spans="1:5" x14ac:dyDescent="0.35">
      <c r="A650" s="22" t="s">
        <v>415</v>
      </c>
      <c r="B650" s="22">
        <v>94.6</v>
      </c>
      <c r="C650" s="22">
        <v>41116.629999999997</v>
      </c>
      <c r="D650" s="24">
        <f t="shared" si="20"/>
        <v>1.5881418740073211E-3</v>
      </c>
      <c r="E650" s="24">
        <f t="shared" si="21"/>
        <v>-2.1083160411130759E-3</v>
      </c>
    </row>
    <row r="651" spans="1:5" x14ac:dyDescent="0.35">
      <c r="A651" s="22" t="s">
        <v>416</v>
      </c>
      <c r="B651" s="22">
        <v>94.45</v>
      </c>
      <c r="C651" s="22">
        <v>41203.5</v>
      </c>
      <c r="D651" s="24">
        <f t="shared" si="20"/>
        <v>8.5424452749599256E-3</v>
      </c>
      <c r="E651" s="24">
        <f t="shared" si="21"/>
        <v>-9.8851684506043782E-3</v>
      </c>
    </row>
    <row r="652" spans="1:5" x14ac:dyDescent="0.35">
      <c r="A652" s="22" t="s">
        <v>417</v>
      </c>
      <c r="B652" s="22">
        <v>93.65</v>
      </c>
      <c r="C652" s="22">
        <v>41614.870000000003</v>
      </c>
      <c r="D652" s="24">
        <f t="shared" si="20"/>
        <v>6.4481461579796728E-3</v>
      </c>
      <c r="E652" s="24">
        <f t="shared" si="21"/>
        <v>3.440135801814361E-3</v>
      </c>
    </row>
    <row r="653" spans="1:5" x14ac:dyDescent="0.35">
      <c r="A653" s="22" t="s">
        <v>418</v>
      </c>
      <c r="B653" s="22">
        <v>93.05</v>
      </c>
      <c r="C653" s="22">
        <v>41472.199999999997</v>
      </c>
      <c r="D653" s="24">
        <f t="shared" si="20"/>
        <v>-1.1158342189160437E-2</v>
      </c>
      <c r="E653" s="24">
        <f t="shared" si="21"/>
        <v>-8.685671068901479E-3</v>
      </c>
    </row>
    <row r="654" spans="1:5" x14ac:dyDescent="0.35">
      <c r="A654" s="22" t="s">
        <v>419</v>
      </c>
      <c r="B654" s="22">
        <v>94.1</v>
      </c>
      <c r="C654" s="22">
        <v>41835.57</v>
      </c>
      <c r="D654" s="24">
        <f t="shared" si="20"/>
        <v>-4.2328042328042929E-3</v>
      </c>
      <c r="E654" s="24">
        <f t="shared" si="21"/>
        <v>-3.44353388138621E-3</v>
      </c>
    </row>
    <row r="655" spans="1:5" x14ac:dyDescent="0.35">
      <c r="A655" s="22" t="s">
        <v>420</v>
      </c>
      <c r="B655" s="22">
        <v>94.5</v>
      </c>
      <c r="C655" s="22">
        <v>41980.13</v>
      </c>
      <c r="D655" s="24">
        <f t="shared" si="20"/>
        <v>1.06951871657754E-2</v>
      </c>
      <c r="E655" s="24">
        <f t="shared" si="21"/>
        <v>6.3253513138520883E-3</v>
      </c>
    </row>
    <row r="656" spans="1:5" x14ac:dyDescent="0.35">
      <c r="A656" s="22" t="s">
        <v>421</v>
      </c>
      <c r="B656" s="22">
        <v>93.5</v>
      </c>
      <c r="C656" s="22">
        <v>41716.26</v>
      </c>
      <c r="D656" s="24">
        <f t="shared" si="20"/>
        <v>-9.5338983050848054E-3</v>
      </c>
      <c r="E656" s="24">
        <f t="shared" si="21"/>
        <v>5.5120110645161821E-3</v>
      </c>
    </row>
    <row r="657" spans="1:5" x14ac:dyDescent="0.35">
      <c r="A657" s="23">
        <v>45265</v>
      </c>
      <c r="B657" s="22">
        <v>94.4</v>
      </c>
      <c r="C657" s="22">
        <v>41487.58</v>
      </c>
      <c r="D657" s="24">
        <f t="shared" si="20"/>
        <v>2.2751895991332705E-2</v>
      </c>
      <c r="E657" s="24">
        <f t="shared" si="21"/>
        <v>3.9188755259146535E-3</v>
      </c>
    </row>
    <row r="658" spans="1:5" x14ac:dyDescent="0.35">
      <c r="A658" s="23">
        <v>45235</v>
      </c>
      <c r="B658" s="22">
        <v>92.3</v>
      </c>
      <c r="C658" s="22">
        <v>41325.629999999997</v>
      </c>
      <c r="D658" s="24">
        <f t="shared" si="20"/>
        <v>1.4285714285714254E-2</v>
      </c>
      <c r="E658" s="24">
        <f t="shared" si="21"/>
        <v>6.102989778441612E-3</v>
      </c>
    </row>
    <row r="659" spans="1:5" x14ac:dyDescent="0.35">
      <c r="A659" s="23">
        <v>45204</v>
      </c>
      <c r="B659" s="22">
        <v>91</v>
      </c>
      <c r="C659" s="22">
        <v>41074.949999999997</v>
      </c>
      <c r="D659" s="24">
        <f t="shared" si="20"/>
        <v>-2.5591605096905456E-2</v>
      </c>
      <c r="E659" s="24">
        <f t="shared" si="21"/>
        <v>-7.2234101717971004E-3</v>
      </c>
    </row>
    <row r="660" spans="1:5" x14ac:dyDescent="0.35">
      <c r="A660" s="23">
        <v>45174</v>
      </c>
      <c r="B660" s="22">
        <v>93.39</v>
      </c>
      <c r="C660" s="22">
        <v>41373.81</v>
      </c>
      <c r="D660" s="24">
        <f t="shared" si="20"/>
        <v>-5.4313099041534089E-3</v>
      </c>
      <c r="E660" s="24">
        <f t="shared" si="21"/>
        <v>-1.0893749840124761E-2</v>
      </c>
    </row>
    <row r="661" spans="1:5" x14ac:dyDescent="0.35">
      <c r="A661" s="23">
        <v>45143</v>
      </c>
      <c r="B661" s="22">
        <v>93.9</v>
      </c>
      <c r="C661" s="22">
        <v>41829.49</v>
      </c>
      <c r="D661" s="24">
        <f t="shared" si="20"/>
        <v>-5.2966101694915252E-3</v>
      </c>
      <c r="E661" s="24">
        <f t="shared" si="21"/>
        <v>-9.7649305264574538E-3</v>
      </c>
    </row>
    <row r="662" spans="1:5" x14ac:dyDescent="0.35">
      <c r="A662" s="23">
        <v>45051</v>
      </c>
      <c r="B662" s="22">
        <v>94.4</v>
      </c>
      <c r="C662" s="22">
        <v>42241.98</v>
      </c>
      <c r="D662" s="24">
        <f t="shared" si="20"/>
        <v>-3.6734693877550961E-2</v>
      </c>
      <c r="E662" s="24">
        <f t="shared" si="21"/>
        <v>3.520233383538675E-3</v>
      </c>
    </row>
    <row r="663" spans="1:5" x14ac:dyDescent="0.35">
      <c r="A663" s="23">
        <v>45021</v>
      </c>
      <c r="B663" s="22">
        <v>98</v>
      </c>
      <c r="C663" s="22">
        <v>42093.8</v>
      </c>
      <c r="D663" s="24">
        <f t="shared" si="20"/>
        <v>-2.4875621890547265E-2</v>
      </c>
      <c r="E663" s="24">
        <f t="shared" si="21"/>
        <v>1.3946991453375396E-4</v>
      </c>
    </row>
    <row r="664" spans="1:5" x14ac:dyDescent="0.35">
      <c r="A664" s="23">
        <v>44990</v>
      </c>
      <c r="B664" s="22">
        <v>100.5</v>
      </c>
      <c r="C664" s="22">
        <v>42087.93</v>
      </c>
      <c r="D664" s="24">
        <f t="shared" si="20"/>
        <v>4.2969921055262001E-3</v>
      </c>
      <c r="E664" s="24">
        <f t="shared" si="21"/>
        <v>3.8230150802668807E-3</v>
      </c>
    </row>
    <row r="665" spans="1:5" x14ac:dyDescent="0.35">
      <c r="A665" s="23">
        <v>44962</v>
      </c>
      <c r="B665" s="22">
        <v>100.07</v>
      </c>
      <c r="C665" s="22">
        <v>41927.64</v>
      </c>
      <c r="D665" s="24">
        <f t="shared" si="20"/>
        <v>2.0809956135876689E-2</v>
      </c>
      <c r="E665" s="24">
        <f t="shared" si="21"/>
        <v>8.3401373468796544E-3</v>
      </c>
    </row>
    <row r="666" spans="1:5" x14ac:dyDescent="0.35">
      <c r="A666" s="22" t="s">
        <v>422</v>
      </c>
      <c r="B666" s="22">
        <v>98.03</v>
      </c>
      <c r="C666" s="22">
        <v>41580.85</v>
      </c>
      <c r="D666" s="24">
        <f t="shared" si="20"/>
        <v>3.5831285831285247E-3</v>
      </c>
      <c r="E666" s="24">
        <f t="shared" si="21"/>
        <v>2.8202839529604187E-3</v>
      </c>
    </row>
    <row r="667" spans="1:5" x14ac:dyDescent="0.35">
      <c r="A667" s="22" t="s">
        <v>423</v>
      </c>
      <c r="B667" s="22">
        <v>97.68</v>
      </c>
      <c r="C667" s="22">
        <v>41463.910000000003</v>
      </c>
      <c r="D667" s="24">
        <f t="shared" si="20"/>
        <v>8.049535603715182E-3</v>
      </c>
      <c r="E667" s="24">
        <f t="shared" si="21"/>
        <v>8.8645674724656971E-3</v>
      </c>
    </row>
    <row r="668" spans="1:5" x14ac:dyDescent="0.35">
      <c r="A668" s="22" t="s">
        <v>424</v>
      </c>
      <c r="B668" s="22">
        <v>96.9</v>
      </c>
      <c r="C668" s="22">
        <v>41099.58</v>
      </c>
      <c r="D668" s="24">
        <f t="shared" si="20"/>
        <v>7.1718116619895224E-3</v>
      </c>
      <c r="E668" s="24">
        <f t="shared" si="21"/>
        <v>2.2376219950244135E-3</v>
      </c>
    </row>
    <row r="669" spans="1:5" x14ac:dyDescent="0.35">
      <c r="A669" s="22" t="s">
        <v>425</v>
      </c>
      <c r="B669" s="22">
        <v>96.21</v>
      </c>
      <c r="C669" s="22">
        <v>41007.82</v>
      </c>
      <c r="D669" s="24">
        <f t="shared" si="20"/>
        <v>2.083116342047585E-3</v>
      </c>
      <c r="E669" s="24">
        <f t="shared" si="21"/>
        <v>1.255526633273538E-2</v>
      </c>
    </row>
    <row r="670" spans="1:5" x14ac:dyDescent="0.35">
      <c r="A670" s="22" t="s">
        <v>426</v>
      </c>
      <c r="B670" s="22">
        <v>96.01</v>
      </c>
      <c r="C670" s="22">
        <v>40499.339999999997</v>
      </c>
      <c r="D670" s="24">
        <f t="shared" si="20"/>
        <v>-1.0206185567010256E-2</v>
      </c>
      <c r="E670" s="24">
        <f t="shared" si="21"/>
        <v>1.2680462964220424E-3</v>
      </c>
    </row>
    <row r="671" spans="1:5" x14ac:dyDescent="0.35">
      <c r="A671" s="22" t="s">
        <v>427</v>
      </c>
      <c r="B671" s="22">
        <v>97</v>
      </c>
      <c r="C671" s="22">
        <v>40448.050000000003</v>
      </c>
      <c r="D671" s="24">
        <f t="shared" si="20"/>
        <v>1.0521929367642516E-2</v>
      </c>
      <c r="E671" s="24">
        <f t="shared" si="21"/>
        <v>5.0038934907890341E-3</v>
      </c>
    </row>
    <row r="672" spans="1:5" x14ac:dyDescent="0.35">
      <c r="A672" s="22" t="s">
        <v>428</v>
      </c>
      <c r="B672" s="22">
        <v>95.99</v>
      </c>
      <c r="C672" s="22">
        <v>40246.660000000003</v>
      </c>
      <c r="D672" s="24">
        <f t="shared" si="20"/>
        <v>1.6089763946226274E-2</v>
      </c>
      <c r="E672" s="24">
        <f t="shared" si="21"/>
        <v>1.0227446267355846E-3</v>
      </c>
    </row>
    <row r="673" spans="1:5" x14ac:dyDescent="0.35">
      <c r="A673" s="22" t="s">
        <v>429</v>
      </c>
      <c r="B673" s="22">
        <v>94.47</v>
      </c>
      <c r="C673" s="22">
        <v>40205.54</v>
      </c>
      <c r="D673" s="24">
        <f t="shared" si="20"/>
        <v>2.8662420382165182E-3</v>
      </c>
      <c r="E673" s="24">
        <f t="shared" si="21"/>
        <v>1.9810073505864135E-3</v>
      </c>
    </row>
    <row r="674" spans="1:5" x14ac:dyDescent="0.35">
      <c r="A674" s="23">
        <v>45264</v>
      </c>
      <c r="B674" s="22">
        <v>94.2</v>
      </c>
      <c r="C674" s="22">
        <v>40126.050000000003</v>
      </c>
      <c r="D674" s="24">
        <f t="shared" si="20"/>
        <v>2.1276595744681155E-3</v>
      </c>
      <c r="E674" s="24">
        <f t="shared" si="21"/>
        <v>8.0729139842999429E-3</v>
      </c>
    </row>
    <row r="675" spans="1:5" x14ac:dyDescent="0.35">
      <c r="A675" s="23">
        <v>45234</v>
      </c>
      <c r="B675" s="22">
        <v>94</v>
      </c>
      <c r="C675" s="22">
        <v>39804.71</v>
      </c>
      <c r="D675" s="24">
        <f t="shared" si="20"/>
        <v>0</v>
      </c>
      <c r="E675" s="24">
        <f t="shared" si="21"/>
        <v>-7.8296210202361005E-4</v>
      </c>
    </row>
    <row r="676" spans="1:5" x14ac:dyDescent="0.35">
      <c r="A676" s="23">
        <v>45203</v>
      </c>
      <c r="B676" s="22">
        <v>94</v>
      </c>
      <c r="C676" s="22">
        <v>39835.9</v>
      </c>
      <c r="D676" s="24">
        <f t="shared" si="20"/>
        <v>0</v>
      </c>
      <c r="E676" s="24">
        <f t="shared" si="21"/>
        <v>-5.337125293229778E-3</v>
      </c>
    </row>
    <row r="677" spans="1:5" x14ac:dyDescent="0.35">
      <c r="A677" s="23">
        <v>45111</v>
      </c>
      <c r="B677" s="22">
        <v>94</v>
      </c>
      <c r="C677" s="22">
        <v>40049.65</v>
      </c>
      <c r="D677" s="24">
        <f t="shared" si="20"/>
        <v>-1.0213751711066641E-2</v>
      </c>
      <c r="E677" s="24">
        <f t="shared" si="21"/>
        <v>-7.4655106739900398E-3</v>
      </c>
    </row>
    <row r="678" spans="1:5" x14ac:dyDescent="0.35">
      <c r="A678" s="23">
        <v>45081</v>
      </c>
      <c r="B678" s="22">
        <v>94.97</v>
      </c>
      <c r="C678" s="22">
        <v>40350.89</v>
      </c>
      <c r="D678" s="24">
        <f t="shared" si="20"/>
        <v>1.7932489451476974E-3</v>
      </c>
      <c r="E678" s="24">
        <f t="shared" si="21"/>
        <v>1.5956331207047786E-2</v>
      </c>
    </row>
    <row r="679" spans="1:5" x14ac:dyDescent="0.35">
      <c r="A679" s="23">
        <v>45050</v>
      </c>
      <c r="B679" s="22">
        <v>94.8</v>
      </c>
      <c r="C679" s="22">
        <v>39717.15</v>
      </c>
      <c r="D679" s="24">
        <f t="shared" si="20"/>
        <v>5.2770448548809671E-4</v>
      </c>
      <c r="E679" s="24">
        <f t="shared" si="21"/>
        <v>7.5313841267952021E-4</v>
      </c>
    </row>
    <row r="680" spans="1:5" x14ac:dyDescent="0.35">
      <c r="A680" s="23">
        <v>45020</v>
      </c>
      <c r="B680" s="22">
        <v>94.75</v>
      </c>
      <c r="C680" s="22">
        <v>39687.26</v>
      </c>
      <c r="D680" s="24">
        <f t="shared" si="20"/>
        <v>-1.3020833333333334E-2</v>
      </c>
      <c r="E680" s="24">
        <f t="shared" si="21"/>
        <v>-5.0799826522503044E-3</v>
      </c>
    </row>
    <row r="681" spans="1:5" x14ac:dyDescent="0.35">
      <c r="A681" s="23">
        <v>44989</v>
      </c>
      <c r="B681" s="22">
        <v>96</v>
      </c>
      <c r="C681" s="22">
        <v>39889.9</v>
      </c>
      <c r="D681" s="24">
        <f t="shared" si="20"/>
        <v>0</v>
      </c>
      <c r="E681" s="24">
        <f t="shared" si="21"/>
        <v>-2.7731924562565398E-3</v>
      </c>
    </row>
    <row r="682" spans="1:5" x14ac:dyDescent="0.35">
      <c r="A682" s="22" t="s">
        <v>430</v>
      </c>
      <c r="B682" s="22">
        <v>96</v>
      </c>
      <c r="C682" s="22">
        <v>40000.83</v>
      </c>
      <c r="D682" s="24">
        <f t="shared" si="20"/>
        <v>-7.7519379844961239E-3</v>
      </c>
      <c r="E682" s="24">
        <f t="shared" si="21"/>
        <v>3.8265072455949422E-3</v>
      </c>
    </row>
    <row r="683" spans="1:5" x14ac:dyDescent="0.35">
      <c r="A683" s="22" t="s">
        <v>431</v>
      </c>
      <c r="B683" s="22">
        <v>96.75</v>
      </c>
      <c r="C683" s="22">
        <v>39848.35</v>
      </c>
      <c r="D683" s="24">
        <f t="shared" si="20"/>
        <v>-2.5773195876288659E-3</v>
      </c>
      <c r="E683" s="24">
        <f t="shared" si="21"/>
        <v>-7.9087479930363077E-4</v>
      </c>
    </row>
    <row r="684" spans="1:5" x14ac:dyDescent="0.35">
      <c r="A684" s="22" t="s">
        <v>432</v>
      </c>
      <c r="B684" s="22">
        <v>97</v>
      </c>
      <c r="C684" s="22">
        <v>39879.89</v>
      </c>
      <c r="D684" s="24">
        <f t="shared" si="20"/>
        <v>-5.1282051282051282E-3</v>
      </c>
      <c r="E684" s="24">
        <f t="shared" si="21"/>
        <v>-5.0515974978526269E-3</v>
      </c>
    </row>
    <row r="685" spans="1:5" x14ac:dyDescent="0.35">
      <c r="A685" s="22" t="s">
        <v>433</v>
      </c>
      <c r="B685" s="22">
        <v>97.5</v>
      </c>
      <c r="C685" s="22">
        <v>40082.370000000003</v>
      </c>
      <c r="D685" s="24">
        <f t="shared" si="20"/>
        <v>-4.5941807044410704E-3</v>
      </c>
      <c r="E685" s="24">
        <f t="shared" si="21"/>
        <v>2.0499810376754012E-3</v>
      </c>
    </row>
    <row r="686" spans="1:5" x14ac:dyDescent="0.35">
      <c r="A686" s="22" t="s">
        <v>434</v>
      </c>
      <c r="B686" s="22">
        <v>97.95</v>
      </c>
      <c r="C686" s="22">
        <v>40000.370000000003</v>
      </c>
      <c r="D686" s="24">
        <f t="shared" si="20"/>
        <v>-5.1020408163262405E-4</v>
      </c>
      <c r="E686" s="24">
        <f t="shared" si="21"/>
        <v>1.4601153421018628E-3</v>
      </c>
    </row>
    <row r="687" spans="1:5" x14ac:dyDescent="0.35">
      <c r="A687" s="22" t="s">
        <v>435</v>
      </c>
      <c r="B687" s="22">
        <v>98</v>
      </c>
      <c r="C687" s="22">
        <v>39942.050000000003</v>
      </c>
      <c r="D687" s="24">
        <f t="shared" si="20"/>
        <v>-1.0203040506076028E-4</v>
      </c>
      <c r="E687" s="24">
        <f t="shared" si="21"/>
        <v>-1.0750171512354974E-2</v>
      </c>
    </row>
    <row r="688" spans="1:5" x14ac:dyDescent="0.35">
      <c r="A688" s="22" t="s">
        <v>436</v>
      </c>
      <c r="B688" s="22">
        <v>98.01</v>
      </c>
      <c r="C688" s="22">
        <v>40376.1</v>
      </c>
      <c r="D688" s="24">
        <f t="shared" si="20"/>
        <v>-9.9999999999999482E-3</v>
      </c>
      <c r="E688" s="24">
        <f t="shared" si="21"/>
        <v>-1.2277514691283782E-2</v>
      </c>
    </row>
    <row r="689" spans="1:5" x14ac:dyDescent="0.35">
      <c r="A689" s="22" t="s">
        <v>437</v>
      </c>
      <c r="B689" s="22">
        <v>99</v>
      </c>
      <c r="C689" s="22">
        <v>40877.980000000003</v>
      </c>
      <c r="D689" s="24">
        <f t="shared" si="20"/>
        <v>-1.0099989900015267E-4</v>
      </c>
      <c r="E689" s="24">
        <f t="shared" si="21"/>
        <v>-9.8904039620254175E-4</v>
      </c>
    </row>
    <row r="690" spans="1:5" x14ac:dyDescent="0.35">
      <c r="A690" s="22" t="s">
        <v>438</v>
      </c>
      <c r="B690" s="22">
        <v>99.01</v>
      </c>
      <c r="C690" s="22">
        <v>40918.449999999997</v>
      </c>
      <c r="D690" s="24">
        <f t="shared" si="20"/>
        <v>1.0101010101015269E-4</v>
      </c>
      <c r="E690" s="24">
        <f t="shared" si="21"/>
        <v>-9.9564601457296717E-3</v>
      </c>
    </row>
    <row r="691" spans="1:5" x14ac:dyDescent="0.35">
      <c r="A691" s="22" t="s">
        <v>439</v>
      </c>
      <c r="B691" s="22">
        <v>99</v>
      </c>
      <c r="C691" s="22">
        <v>41329.949999999997</v>
      </c>
      <c r="D691" s="24">
        <f t="shared" si="20"/>
        <v>0</v>
      </c>
      <c r="E691" s="24">
        <f t="shared" si="21"/>
        <v>-8.7336118860010959E-3</v>
      </c>
    </row>
    <row r="692" spans="1:5" x14ac:dyDescent="0.35">
      <c r="A692" s="22" t="s">
        <v>440</v>
      </c>
      <c r="B692" s="22">
        <v>99</v>
      </c>
      <c r="C692" s="22">
        <v>41694.089999999997</v>
      </c>
      <c r="D692" s="24">
        <f t="shared" si="20"/>
        <v>0</v>
      </c>
      <c r="E692" s="24">
        <f t="shared" si="21"/>
        <v>-4.2974119526084506E-3</v>
      </c>
    </row>
    <row r="693" spans="1:5" x14ac:dyDescent="0.35">
      <c r="A693" s="22" t="s">
        <v>441</v>
      </c>
      <c r="B693" s="22">
        <v>99</v>
      </c>
      <c r="C693" s="22">
        <v>41874.04</v>
      </c>
      <c r="D693" s="24">
        <f t="shared" si="20"/>
        <v>0</v>
      </c>
      <c r="E693" s="24">
        <f t="shared" si="21"/>
        <v>1.3776881479361242E-3</v>
      </c>
    </row>
    <row r="694" spans="1:5" x14ac:dyDescent="0.35">
      <c r="A694" s="22" t="s">
        <v>442</v>
      </c>
      <c r="B694" s="22">
        <v>99</v>
      </c>
      <c r="C694" s="22">
        <v>41816.43</v>
      </c>
      <c r="D694" s="24">
        <f t="shared" si="20"/>
        <v>-3.0293850348380428E-4</v>
      </c>
      <c r="E694" s="24">
        <f t="shared" si="21"/>
        <v>-9.6567228542038534E-4</v>
      </c>
    </row>
    <row r="695" spans="1:5" x14ac:dyDescent="0.35">
      <c r="A695" s="22" t="s">
        <v>443</v>
      </c>
      <c r="B695" s="22">
        <v>99.03</v>
      </c>
      <c r="C695" s="22">
        <v>41856.85</v>
      </c>
      <c r="D695" s="24">
        <f t="shared" si="20"/>
        <v>-9.6999999999999881E-3</v>
      </c>
      <c r="E695" s="24">
        <f t="shared" si="21"/>
        <v>1.5069195554275284E-3</v>
      </c>
    </row>
    <row r="696" spans="1:5" x14ac:dyDescent="0.35">
      <c r="A696" s="23">
        <v>45202</v>
      </c>
      <c r="B696" s="22">
        <v>100</v>
      </c>
      <c r="C696" s="22">
        <v>41793.870000000003</v>
      </c>
      <c r="D696" s="24">
        <f t="shared" si="20"/>
        <v>1.0101010101010102E-2</v>
      </c>
      <c r="E696" s="24">
        <f t="shared" si="21"/>
        <v>5.009674035734578E-3</v>
      </c>
    </row>
    <row r="697" spans="1:5" x14ac:dyDescent="0.35">
      <c r="A697" s="23">
        <v>45172</v>
      </c>
      <c r="B697" s="22">
        <v>99</v>
      </c>
      <c r="C697" s="22">
        <v>41585.54</v>
      </c>
      <c r="D697" s="24">
        <f t="shared" si="20"/>
        <v>-2.0161290322580931E-3</v>
      </c>
      <c r="E697" s="24">
        <f t="shared" si="21"/>
        <v>5.4791069304742793E-3</v>
      </c>
    </row>
    <row r="698" spans="1:5" x14ac:dyDescent="0.35">
      <c r="A698" s="23">
        <v>45141</v>
      </c>
      <c r="B698" s="22">
        <v>99.2</v>
      </c>
      <c r="C698" s="22">
        <v>41358.93</v>
      </c>
      <c r="D698" s="24">
        <f t="shared" si="20"/>
        <v>-7.9999999999999724E-3</v>
      </c>
      <c r="E698" s="24">
        <f t="shared" si="21"/>
        <v>5.8643236467959383E-4</v>
      </c>
    </row>
    <row r="699" spans="1:5" x14ac:dyDescent="0.35">
      <c r="A699" s="23">
        <v>45110</v>
      </c>
      <c r="B699" s="22">
        <v>100</v>
      </c>
      <c r="C699" s="22">
        <v>41334.69</v>
      </c>
      <c r="D699" s="24">
        <f t="shared" si="20"/>
        <v>1.0101010101010102E-2</v>
      </c>
      <c r="E699" s="24">
        <f t="shared" si="21"/>
        <v>-2.4047691853590829E-3</v>
      </c>
    </row>
    <row r="700" spans="1:5" x14ac:dyDescent="0.35">
      <c r="A700" s="23">
        <v>45080</v>
      </c>
      <c r="B700" s="22">
        <v>99</v>
      </c>
      <c r="C700" s="22">
        <v>41434.33</v>
      </c>
      <c r="D700" s="24">
        <f t="shared" si="20"/>
        <v>0</v>
      </c>
      <c r="E700" s="24">
        <f t="shared" si="21"/>
        <v>2.3545491932167729E-3</v>
      </c>
    </row>
    <row r="701" spans="1:5" x14ac:dyDescent="0.35">
      <c r="A701" s="23">
        <v>44988</v>
      </c>
      <c r="B701" s="22">
        <v>99</v>
      </c>
      <c r="C701" s="22">
        <v>41337</v>
      </c>
      <c r="D701" s="24">
        <f t="shared" si="20"/>
        <v>1.020408163265306E-2</v>
      </c>
      <c r="E701" s="24">
        <f t="shared" si="21"/>
        <v>1.6378303100400154E-2</v>
      </c>
    </row>
    <row r="702" spans="1:5" x14ac:dyDescent="0.35">
      <c r="A702" s="23">
        <v>44960</v>
      </c>
      <c r="B702" s="22">
        <v>98</v>
      </c>
      <c r="C702" s="22">
        <v>40670.879999999997</v>
      </c>
      <c r="D702" s="24">
        <f t="shared" si="20"/>
        <v>8.4379501955134089E-3</v>
      </c>
      <c r="E702" s="24">
        <f t="shared" si="21"/>
        <v>6.3868425747604183E-3</v>
      </c>
    </row>
    <row r="703" spans="1:5" x14ac:dyDescent="0.35">
      <c r="A703" s="23">
        <v>44929</v>
      </c>
      <c r="B703" s="22">
        <v>97.18</v>
      </c>
      <c r="C703" s="22">
        <v>40412.769999999997</v>
      </c>
      <c r="D703" s="24">
        <f t="shared" si="20"/>
        <v>-1.5499949346570631E-2</v>
      </c>
      <c r="E703" s="24">
        <f t="shared" si="21"/>
        <v>-2.4092596537628715E-3</v>
      </c>
    </row>
    <row r="704" spans="1:5" x14ac:dyDescent="0.35">
      <c r="A704" s="22" t="s">
        <v>444</v>
      </c>
      <c r="B704" s="22">
        <v>98.71</v>
      </c>
      <c r="C704" s="22">
        <v>40510.370000000003</v>
      </c>
      <c r="D704" s="24">
        <f t="shared" si="20"/>
        <v>-7.9396984924623749E-3</v>
      </c>
      <c r="E704" s="24">
        <f t="shared" si="21"/>
        <v>-6.7124148535225537E-3</v>
      </c>
    </row>
    <row r="705" spans="1:5" x14ac:dyDescent="0.35">
      <c r="A705" s="22" t="s">
        <v>445</v>
      </c>
      <c r="B705" s="22">
        <v>99.5</v>
      </c>
      <c r="C705" s="22">
        <v>40784.129999999997</v>
      </c>
      <c r="D705" s="24">
        <f t="shared" si="20"/>
        <v>-7.3822825219472758E-3</v>
      </c>
      <c r="E705" s="24">
        <f t="shared" si="21"/>
        <v>1.8760550813897729E-3</v>
      </c>
    </row>
    <row r="706" spans="1:5" x14ac:dyDescent="0.35">
      <c r="A706" s="22" t="s">
        <v>446</v>
      </c>
      <c r="B706" s="22">
        <v>100.24</v>
      </c>
      <c r="C706" s="22">
        <v>40707.760000000002</v>
      </c>
      <c r="D706" s="24">
        <f t="shared" si="20"/>
        <v>-2.395326192794555E-2</v>
      </c>
      <c r="E706" s="24">
        <f t="shared" si="21"/>
        <v>-3.201634927425119E-3</v>
      </c>
    </row>
    <row r="707" spans="1:5" x14ac:dyDescent="0.35">
      <c r="A707" s="22" t="s">
        <v>447</v>
      </c>
      <c r="B707" s="22">
        <v>102.7</v>
      </c>
      <c r="C707" s="22">
        <v>40838.51</v>
      </c>
      <c r="D707" s="24">
        <f t="shared" si="20"/>
        <v>1.032956222331527E-2</v>
      </c>
      <c r="E707" s="24">
        <f t="shared" si="21"/>
        <v>-7.993907830429671E-3</v>
      </c>
    </row>
    <row r="708" spans="1:5" x14ac:dyDescent="0.35">
      <c r="A708" s="22" t="s">
        <v>448</v>
      </c>
      <c r="B708" s="22">
        <v>101.65</v>
      </c>
      <c r="C708" s="22">
        <v>41167.599999999999</v>
      </c>
      <c r="D708" s="24">
        <f t="shared" si="20"/>
        <v>-3.4313725490195523E-3</v>
      </c>
      <c r="E708" s="24">
        <f t="shared" si="21"/>
        <v>5.3177252951416183E-3</v>
      </c>
    </row>
    <row r="709" spans="1:5" x14ac:dyDescent="0.35">
      <c r="A709" s="22" t="s">
        <v>449</v>
      </c>
      <c r="B709" s="22">
        <v>102</v>
      </c>
      <c r="C709" s="22">
        <v>40949.839999999997</v>
      </c>
      <c r="D709" s="24">
        <f t="shared" ref="D709:D772" si="22">(B709-B710)/B710</f>
        <v>-2.9325513196480661E-3</v>
      </c>
      <c r="E709" s="24">
        <f t="shared" ref="E709:E772" si="23">(C709-C710)/C710</f>
        <v>6.7906388511084102E-3</v>
      </c>
    </row>
    <row r="710" spans="1:5" x14ac:dyDescent="0.35">
      <c r="A710" s="22" t="s">
        <v>450</v>
      </c>
      <c r="B710" s="22">
        <v>102.3</v>
      </c>
      <c r="C710" s="22">
        <v>40673.64</v>
      </c>
      <c r="D710" s="24">
        <f t="shared" si="22"/>
        <v>-7.2780203784570596E-3</v>
      </c>
      <c r="E710" s="24">
        <f t="shared" si="23"/>
        <v>-1.0821620672488715E-2</v>
      </c>
    </row>
    <row r="711" spans="1:5" x14ac:dyDescent="0.35">
      <c r="A711" s="22" t="s">
        <v>451</v>
      </c>
      <c r="B711" s="22">
        <v>103.05</v>
      </c>
      <c r="C711" s="22">
        <v>41118.61</v>
      </c>
      <c r="D711" s="24">
        <f t="shared" si="22"/>
        <v>7.8239608801955705E-3</v>
      </c>
      <c r="E711" s="24">
        <f t="shared" si="23"/>
        <v>9.7276809242755361E-4</v>
      </c>
    </row>
    <row r="712" spans="1:5" x14ac:dyDescent="0.35">
      <c r="A712" s="22" t="s">
        <v>452</v>
      </c>
      <c r="B712" s="22">
        <v>102.25</v>
      </c>
      <c r="C712" s="22">
        <v>41078.65</v>
      </c>
      <c r="D712" s="24">
        <f t="shared" si="22"/>
        <v>-1.2554321583775927E-2</v>
      </c>
      <c r="E712" s="24">
        <f t="shared" si="23"/>
        <v>-6.005780745447502E-3</v>
      </c>
    </row>
    <row r="713" spans="1:5" x14ac:dyDescent="0.35">
      <c r="A713" s="22" t="s">
        <v>453</v>
      </c>
      <c r="B713" s="22">
        <v>103.55</v>
      </c>
      <c r="C713" s="22">
        <v>41326.85</v>
      </c>
      <c r="D713" s="24">
        <f t="shared" si="22"/>
        <v>-4.3269230769231041E-3</v>
      </c>
      <c r="E713" s="24">
        <f t="shared" si="23"/>
        <v>4.2937864640136278E-3</v>
      </c>
    </row>
    <row r="714" spans="1:5" x14ac:dyDescent="0.35">
      <c r="A714" s="22" t="s">
        <v>454</v>
      </c>
      <c r="B714" s="22">
        <v>104</v>
      </c>
      <c r="C714" s="22">
        <v>41150.160000000003</v>
      </c>
      <c r="D714" s="24">
        <f t="shared" si="22"/>
        <v>-1.8867924528301886E-2</v>
      </c>
      <c r="E714" s="24">
        <f t="shared" si="23"/>
        <v>-1.3586563734884588E-2</v>
      </c>
    </row>
    <row r="715" spans="1:5" x14ac:dyDescent="0.35">
      <c r="A715" s="22" t="s">
        <v>455</v>
      </c>
      <c r="B715" s="22">
        <v>106</v>
      </c>
      <c r="C715" s="22">
        <v>41716.949999999997</v>
      </c>
      <c r="D715" s="24">
        <f t="shared" si="22"/>
        <v>4.7393364928909956E-3</v>
      </c>
      <c r="E715" s="24">
        <f t="shared" si="23"/>
        <v>-5.9484765623319725E-4</v>
      </c>
    </row>
    <row r="716" spans="1:5" x14ac:dyDescent="0.35">
      <c r="A716" s="23">
        <v>45201</v>
      </c>
      <c r="B716" s="22">
        <v>105.5</v>
      </c>
      <c r="C716" s="22">
        <v>41741.78</v>
      </c>
      <c r="D716" s="24">
        <f t="shared" si="22"/>
        <v>-9.3896713615023476E-3</v>
      </c>
      <c r="E716" s="24">
        <f t="shared" si="23"/>
        <v>-1.7067770216539584E-2</v>
      </c>
    </row>
    <row r="717" spans="1:5" x14ac:dyDescent="0.35">
      <c r="A717" s="23">
        <v>45171</v>
      </c>
      <c r="B717" s="22">
        <v>106.5</v>
      </c>
      <c r="C717" s="22">
        <v>42466.59</v>
      </c>
      <c r="D717" s="24">
        <f t="shared" si="22"/>
        <v>9.3829968723343274E-3</v>
      </c>
      <c r="E717" s="24">
        <f t="shared" si="23"/>
        <v>1.7814258309261987E-2</v>
      </c>
    </row>
    <row r="718" spans="1:5" x14ac:dyDescent="0.35">
      <c r="A718" s="23">
        <v>45140</v>
      </c>
      <c r="B718" s="22">
        <v>105.51</v>
      </c>
      <c r="C718" s="22">
        <v>41723.32</v>
      </c>
      <c r="D718" s="24">
        <f t="shared" si="22"/>
        <v>-8.5227272727262499E-4</v>
      </c>
      <c r="E718" s="24">
        <f t="shared" si="23"/>
        <v>4.8301220824434037E-3</v>
      </c>
    </row>
    <row r="719" spans="1:5" x14ac:dyDescent="0.35">
      <c r="A719" s="23">
        <v>45109</v>
      </c>
      <c r="B719" s="22">
        <v>105.6</v>
      </c>
      <c r="C719" s="22">
        <v>41522.76</v>
      </c>
      <c r="D719" s="24">
        <f t="shared" si="22"/>
        <v>1.062302612690209E-2</v>
      </c>
      <c r="E719" s="24">
        <f t="shared" si="23"/>
        <v>8.0598153421265317E-3</v>
      </c>
    </row>
    <row r="720" spans="1:5" x14ac:dyDescent="0.35">
      <c r="A720" s="23">
        <v>45079</v>
      </c>
      <c r="B720" s="22">
        <v>104.49</v>
      </c>
      <c r="C720" s="22">
        <v>41190.769999999997</v>
      </c>
      <c r="D720" s="24">
        <f t="shared" si="22"/>
        <v>1.5353221261296263E-2</v>
      </c>
      <c r="E720" s="24">
        <f t="shared" si="23"/>
        <v>1.7780809840884058E-2</v>
      </c>
    </row>
    <row r="721" spans="1:5" x14ac:dyDescent="0.35">
      <c r="A721" s="23">
        <v>44987</v>
      </c>
      <c r="B721" s="22">
        <v>102.91</v>
      </c>
      <c r="C721" s="22">
        <v>40471.160000000003</v>
      </c>
      <c r="D721" s="24">
        <f t="shared" si="22"/>
        <v>-1.3043061283207053E-2</v>
      </c>
      <c r="E721" s="24">
        <f t="shared" si="23"/>
        <v>-6.4406430970470885E-3</v>
      </c>
    </row>
    <row r="722" spans="1:5" x14ac:dyDescent="0.35">
      <c r="A722" s="23">
        <v>44959</v>
      </c>
      <c r="B722" s="22">
        <v>104.27</v>
      </c>
      <c r="C722" s="22">
        <v>40733.51</v>
      </c>
      <c r="D722" s="24">
        <f t="shared" si="22"/>
        <v>-1.6320754716981169E-2</v>
      </c>
      <c r="E722" s="24">
        <f t="shared" si="23"/>
        <v>2.7959174730440199E-3</v>
      </c>
    </row>
    <row r="723" spans="1:5" x14ac:dyDescent="0.35">
      <c r="A723" s="23">
        <v>44928</v>
      </c>
      <c r="B723" s="22">
        <v>106</v>
      </c>
      <c r="C723" s="22">
        <v>40619.94</v>
      </c>
      <c r="D723" s="24">
        <f t="shared" si="22"/>
        <v>6.3082940527529899E-2</v>
      </c>
      <c r="E723" s="24">
        <f t="shared" si="23"/>
        <v>-1.3060241840666855E-3</v>
      </c>
    </row>
    <row r="724" spans="1:5" x14ac:dyDescent="0.35">
      <c r="A724" s="22" t="s">
        <v>456</v>
      </c>
      <c r="B724" s="22">
        <v>99.71</v>
      </c>
      <c r="C724" s="22">
        <v>40673.06</v>
      </c>
      <c r="D724" s="24">
        <f t="shared" si="22"/>
        <v>1.3313008130081178E-2</v>
      </c>
      <c r="E724" s="24">
        <f t="shared" si="23"/>
        <v>2.0109467293116093E-2</v>
      </c>
    </row>
    <row r="725" spans="1:5" x14ac:dyDescent="0.35">
      <c r="A725" s="22" t="s">
        <v>457</v>
      </c>
      <c r="B725" s="22">
        <v>98.4</v>
      </c>
      <c r="C725" s="22">
        <v>39871.269999999997</v>
      </c>
      <c r="D725" s="24">
        <f t="shared" si="22"/>
        <v>-3.0395136778115211E-3</v>
      </c>
      <c r="E725" s="24">
        <f t="shared" si="23"/>
        <v>-1.4320207918165771E-2</v>
      </c>
    </row>
    <row r="726" spans="1:5" x14ac:dyDescent="0.35">
      <c r="A726" s="22" t="s">
        <v>458</v>
      </c>
      <c r="B726" s="22">
        <v>98.7</v>
      </c>
      <c r="C726" s="22">
        <v>40450.53</v>
      </c>
      <c r="D726" s="24">
        <f t="shared" si="22"/>
        <v>-5.0403225806451612E-3</v>
      </c>
      <c r="E726" s="24">
        <f t="shared" si="23"/>
        <v>-9.6948259742014806E-3</v>
      </c>
    </row>
    <row r="727" spans="1:5" x14ac:dyDescent="0.35">
      <c r="A727" s="22" t="s">
        <v>459</v>
      </c>
      <c r="B727" s="22">
        <v>99.2</v>
      </c>
      <c r="C727" s="22">
        <v>40846.53</v>
      </c>
      <c r="D727" s="24">
        <f t="shared" si="22"/>
        <v>2.1214264067078289E-3</v>
      </c>
      <c r="E727" s="24">
        <f t="shared" si="23"/>
        <v>2.668424452493276E-2</v>
      </c>
    </row>
    <row r="728" spans="1:5" x14ac:dyDescent="0.35">
      <c r="A728" s="22" t="s">
        <v>460</v>
      </c>
      <c r="B728" s="22">
        <v>98.99</v>
      </c>
      <c r="C728" s="22">
        <v>39784.9</v>
      </c>
      <c r="D728" s="24">
        <f t="shared" si="22"/>
        <v>-5.1256281407035687E-3</v>
      </c>
      <c r="E728" s="24">
        <f t="shared" si="23"/>
        <v>1.8672074334955376E-2</v>
      </c>
    </row>
    <row r="729" spans="1:5" x14ac:dyDescent="0.35">
      <c r="A729" s="22" t="s">
        <v>461</v>
      </c>
      <c r="B729" s="22">
        <v>99.5</v>
      </c>
      <c r="C729" s="22">
        <v>39055.65</v>
      </c>
      <c r="D729" s="24">
        <f t="shared" si="22"/>
        <v>5.0505050505050509E-3</v>
      </c>
      <c r="E729" s="24">
        <f t="shared" si="23"/>
        <v>1.5920989689048422E-2</v>
      </c>
    </row>
    <row r="730" spans="1:5" x14ac:dyDescent="0.35">
      <c r="A730" s="22" t="s">
        <v>462</v>
      </c>
      <c r="B730" s="22">
        <v>99</v>
      </c>
      <c r="C730" s="22">
        <v>38443.589999999997</v>
      </c>
      <c r="D730" s="24">
        <f t="shared" si="22"/>
        <v>2.0242914979757371E-3</v>
      </c>
      <c r="E730" s="24">
        <f t="shared" si="23"/>
        <v>9.2715107641675777E-4</v>
      </c>
    </row>
    <row r="731" spans="1:5" x14ac:dyDescent="0.35">
      <c r="A731" s="22" t="s">
        <v>463</v>
      </c>
      <c r="B731" s="22">
        <v>98.8</v>
      </c>
      <c r="C731" s="22">
        <v>38407.980000000003</v>
      </c>
      <c r="D731" s="24">
        <f t="shared" si="22"/>
        <v>-7.0351758793970138E-3</v>
      </c>
      <c r="E731" s="24">
        <f t="shared" si="23"/>
        <v>-1.0908647034192235E-2</v>
      </c>
    </row>
    <row r="732" spans="1:5" x14ac:dyDescent="0.35">
      <c r="A732" s="22" t="s">
        <v>464</v>
      </c>
      <c r="B732" s="22">
        <v>99.5</v>
      </c>
      <c r="C732" s="22">
        <v>38831.58</v>
      </c>
      <c r="D732" s="24">
        <f t="shared" si="22"/>
        <v>-9.8517265399541733E-3</v>
      </c>
      <c r="E732" s="24">
        <f t="shared" si="23"/>
        <v>1.0437963975749389E-3</v>
      </c>
    </row>
    <row r="733" spans="1:5" x14ac:dyDescent="0.35">
      <c r="A733" s="22" t="s">
        <v>465</v>
      </c>
      <c r="B733" s="22">
        <v>100.49</v>
      </c>
      <c r="C733" s="22">
        <v>38791.089999999997</v>
      </c>
      <c r="D733" s="24">
        <f t="shared" si="22"/>
        <v>2.1239837398373873E-2</v>
      </c>
      <c r="E733" s="24">
        <f t="shared" si="23"/>
        <v>1.1707202062687503E-2</v>
      </c>
    </row>
    <row r="734" spans="1:5" x14ac:dyDescent="0.35">
      <c r="A734" s="22" t="s">
        <v>466</v>
      </c>
      <c r="B734" s="22">
        <v>98.4</v>
      </c>
      <c r="C734" s="22">
        <v>38342.21</v>
      </c>
      <c r="D734" s="24">
        <f t="shared" si="22"/>
        <v>-1.5999999999999945E-2</v>
      </c>
      <c r="E734" s="24">
        <f t="shared" si="23"/>
        <v>-3.4705789795006409E-2</v>
      </c>
    </row>
    <row r="735" spans="1:5" x14ac:dyDescent="0.35">
      <c r="A735" s="22" t="s">
        <v>467</v>
      </c>
      <c r="B735" s="22">
        <v>100</v>
      </c>
      <c r="C735" s="22">
        <v>39720.75</v>
      </c>
      <c r="D735" s="24">
        <f t="shared" si="22"/>
        <v>0</v>
      </c>
      <c r="E735" s="24">
        <f t="shared" si="23"/>
        <v>-1.4946637750490028E-2</v>
      </c>
    </row>
    <row r="736" spans="1:5" x14ac:dyDescent="0.35">
      <c r="A736" s="22" t="s">
        <v>468</v>
      </c>
      <c r="B736" s="22">
        <v>100</v>
      </c>
      <c r="C736" s="22">
        <v>40323.449999999997</v>
      </c>
      <c r="D736" s="24">
        <f t="shared" si="22"/>
        <v>-5.4699154649427862E-3</v>
      </c>
      <c r="E736" s="24">
        <f t="shared" si="23"/>
        <v>-1.1774367590933177E-2</v>
      </c>
    </row>
    <row r="737" spans="1:5" x14ac:dyDescent="0.35">
      <c r="A737" s="23">
        <v>45261</v>
      </c>
      <c r="B737" s="22">
        <v>100.55</v>
      </c>
      <c r="C737" s="22">
        <v>40803.89</v>
      </c>
      <c r="D737" s="24">
        <f t="shared" si="22"/>
        <v>4.9751243781091694E-4</v>
      </c>
      <c r="E737" s="24">
        <f t="shared" si="23"/>
        <v>1.1210014181196012E-3</v>
      </c>
    </row>
    <row r="738" spans="1:5" x14ac:dyDescent="0.35">
      <c r="A738" s="23">
        <v>45231</v>
      </c>
      <c r="B738" s="22">
        <v>100.5</v>
      </c>
      <c r="C738" s="22">
        <v>40758.199999999997</v>
      </c>
      <c r="D738" s="24">
        <f t="shared" si="22"/>
        <v>8.9632506722441409E-4</v>
      </c>
      <c r="E738" s="24">
        <f t="shared" si="23"/>
        <v>-1.0612354937931917E-3</v>
      </c>
    </row>
    <row r="739" spans="1:5" x14ac:dyDescent="0.35">
      <c r="A739" s="23">
        <v>45200</v>
      </c>
      <c r="B739" s="22">
        <v>100.41</v>
      </c>
      <c r="C739" s="22">
        <v>40801.5</v>
      </c>
      <c r="D739" s="24">
        <f t="shared" si="22"/>
        <v>9.1457286432160469E-3</v>
      </c>
      <c r="E739" s="24">
        <f t="shared" si="23"/>
        <v>7.3260525429603325E-3</v>
      </c>
    </row>
    <row r="740" spans="1:5" x14ac:dyDescent="0.35">
      <c r="A740" s="23">
        <v>45170</v>
      </c>
      <c r="B740" s="22">
        <v>99.5</v>
      </c>
      <c r="C740" s="22">
        <v>40504.76</v>
      </c>
      <c r="D740" s="24">
        <f t="shared" si="22"/>
        <v>-1.0934393638170918E-2</v>
      </c>
      <c r="E740" s="24">
        <f t="shared" si="23"/>
        <v>-1.2260190326066896E-2</v>
      </c>
    </row>
    <row r="741" spans="1:5" x14ac:dyDescent="0.35">
      <c r="A741" s="23">
        <v>45078</v>
      </c>
      <c r="B741" s="22">
        <v>100.6</v>
      </c>
      <c r="C741" s="22">
        <v>41007.519999999997</v>
      </c>
      <c r="D741" s="24">
        <f t="shared" si="22"/>
        <v>-3.6644547885511E-3</v>
      </c>
      <c r="E741" s="24">
        <f t="shared" si="23"/>
        <v>7.1415344155744999E-3</v>
      </c>
    </row>
    <row r="742" spans="1:5" x14ac:dyDescent="0.35">
      <c r="A742" s="23">
        <v>45047</v>
      </c>
      <c r="B742" s="22">
        <v>100.97</v>
      </c>
      <c r="C742" s="22">
        <v>40716.74</v>
      </c>
      <c r="D742" s="24">
        <f t="shared" si="22"/>
        <v>3.6779324055666459E-3</v>
      </c>
      <c r="E742" s="24">
        <f t="shared" si="23"/>
        <v>4.3769872691436472E-3</v>
      </c>
    </row>
    <row r="743" spans="1:5" x14ac:dyDescent="0.35">
      <c r="A743" s="23">
        <v>45017</v>
      </c>
      <c r="B743" s="22">
        <v>100.6</v>
      </c>
      <c r="C743" s="22">
        <v>40539.300000000003</v>
      </c>
      <c r="D743" s="24">
        <f t="shared" si="22"/>
        <v>-3.9603960396040168E-3</v>
      </c>
      <c r="E743" s="24">
        <f t="shared" si="23"/>
        <v>-2.248057131268336E-3</v>
      </c>
    </row>
    <row r="744" spans="1:5" x14ac:dyDescent="0.35">
      <c r="A744" s="23">
        <v>44986</v>
      </c>
      <c r="B744" s="22">
        <v>101</v>
      </c>
      <c r="C744" s="22">
        <v>40630.639999999999</v>
      </c>
      <c r="D744" s="24">
        <f t="shared" si="22"/>
        <v>-9.8911968348164509E-4</v>
      </c>
      <c r="E744" s="24">
        <f t="shared" si="23"/>
        <v>-4.5389174316872111E-3</v>
      </c>
    </row>
    <row r="745" spans="1:5" x14ac:dyDescent="0.35">
      <c r="A745" s="23">
        <v>44958</v>
      </c>
      <c r="B745" s="22">
        <v>101.1</v>
      </c>
      <c r="C745" s="22">
        <v>40815.9</v>
      </c>
      <c r="D745" s="24">
        <f t="shared" si="22"/>
        <v>3.0757019545588652E-3</v>
      </c>
      <c r="E745" s="24">
        <f t="shared" si="23"/>
        <v>9.783414088660675E-3</v>
      </c>
    </row>
    <row r="746" spans="1:5" x14ac:dyDescent="0.35">
      <c r="A746" s="22" t="s">
        <v>469</v>
      </c>
      <c r="B746" s="22">
        <v>100.79</v>
      </c>
      <c r="C746" s="22">
        <v>40420.449999999997</v>
      </c>
      <c r="D746" s="24">
        <f t="shared" si="22"/>
        <v>1.8080808080808145E-2</v>
      </c>
      <c r="E746" s="24">
        <f t="shared" si="23"/>
        <v>1.6934462297486463E-2</v>
      </c>
    </row>
    <row r="747" spans="1:5" x14ac:dyDescent="0.35">
      <c r="A747" s="22" t="s">
        <v>470</v>
      </c>
      <c r="B747" s="22">
        <v>99</v>
      </c>
      <c r="C747" s="22">
        <v>39747.35</v>
      </c>
      <c r="D747" s="24">
        <f t="shared" si="22"/>
        <v>-1.4925373134328358E-2</v>
      </c>
      <c r="E747" s="24">
        <f t="shared" si="23"/>
        <v>1.1912596491344152E-2</v>
      </c>
    </row>
    <row r="748" spans="1:5" x14ac:dyDescent="0.35">
      <c r="A748" s="22" t="s">
        <v>471</v>
      </c>
      <c r="B748" s="22">
        <v>100.5</v>
      </c>
      <c r="C748" s="22">
        <v>39279.43</v>
      </c>
      <c r="D748" s="24">
        <f t="shared" si="22"/>
        <v>-1.4705882352941176E-2</v>
      </c>
      <c r="E748" s="24">
        <f t="shared" si="23"/>
        <v>-1.3151802217476138E-2</v>
      </c>
    </row>
    <row r="749" spans="1:5" x14ac:dyDescent="0.35">
      <c r="A749" s="22" t="s">
        <v>472</v>
      </c>
      <c r="B749" s="22">
        <v>102</v>
      </c>
      <c r="C749" s="22">
        <v>39802.910000000003</v>
      </c>
      <c r="D749" s="24">
        <f t="shared" si="22"/>
        <v>-3.7735849056603772E-2</v>
      </c>
      <c r="E749" s="24">
        <f t="shared" si="23"/>
        <v>-8.7722225487334628E-3</v>
      </c>
    </row>
    <row r="750" spans="1:5" x14ac:dyDescent="0.35">
      <c r="A750" s="22" t="s">
        <v>473</v>
      </c>
      <c r="B750" s="22">
        <v>106</v>
      </c>
      <c r="C750" s="22">
        <v>40155.160000000003</v>
      </c>
      <c r="D750" s="24">
        <f t="shared" si="22"/>
        <v>3.8197845249755197E-2</v>
      </c>
      <c r="E750" s="24">
        <f t="shared" si="23"/>
        <v>1.2250310064231355E-2</v>
      </c>
    </row>
    <row r="751" spans="1:5" x14ac:dyDescent="0.35">
      <c r="A751" s="22" t="s">
        <v>474</v>
      </c>
      <c r="B751" s="22">
        <v>102.1</v>
      </c>
      <c r="C751" s="22">
        <v>39669.199999999997</v>
      </c>
      <c r="D751" s="24">
        <f t="shared" si="22"/>
        <v>-6.3260340632603955E-3</v>
      </c>
      <c r="E751" s="24">
        <f t="shared" si="23"/>
        <v>-4.245408881346298E-3</v>
      </c>
    </row>
    <row r="752" spans="1:5" x14ac:dyDescent="0.35">
      <c r="A752" s="22" t="s">
        <v>475</v>
      </c>
      <c r="B752" s="22">
        <v>102.75</v>
      </c>
      <c r="C752" s="22">
        <v>39838.33</v>
      </c>
      <c r="D752" s="24">
        <f t="shared" si="22"/>
        <v>-1.1829197922677476E-2</v>
      </c>
      <c r="E752" s="24">
        <f t="shared" si="23"/>
        <v>1.2592872562234302E-2</v>
      </c>
    </row>
    <row r="753" spans="1:5" x14ac:dyDescent="0.35">
      <c r="A753" s="22" t="s">
        <v>476</v>
      </c>
      <c r="B753" s="22">
        <v>103.98</v>
      </c>
      <c r="C753" s="22">
        <v>39342.89</v>
      </c>
      <c r="D753" s="24">
        <f t="shared" si="22"/>
        <v>2.9606891771462612E-2</v>
      </c>
      <c r="E753" s="24">
        <f t="shared" si="23"/>
        <v>-1.2290481755453097E-2</v>
      </c>
    </row>
    <row r="754" spans="1:5" x14ac:dyDescent="0.35">
      <c r="A754" s="22" t="s">
        <v>477</v>
      </c>
      <c r="B754" s="22">
        <v>100.99</v>
      </c>
      <c r="C754" s="22">
        <v>39832.449999999997</v>
      </c>
      <c r="D754" s="24">
        <f t="shared" si="22"/>
        <v>-6.9216589861751193E-2</v>
      </c>
      <c r="E754" s="24">
        <f t="shared" si="23"/>
        <v>-2.7784896665480521E-2</v>
      </c>
    </row>
    <row r="755" spans="1:5" x14ac:dyDescent="0.35">
      <c r="A755" s="22" t="s">
        <v>478</v>
      </c>
      <c r="B755" s="22">
        <v>108.5</v>
      </c>
      <c r="C755" s="22">
        <v>40970.82</v>
      </c>
      <c r="D755" s="24">
        <f t="shared" si="22"/>
        <v>-2.8648164726947204E-2</v>
      </c>
      <c r="E755" s="24">
        <f t="shared" si="23"/>
        <v>-8.0060085013903496E-3</v>
      </c>
    </row>
    <row r="756" spans="1:5" x14ac:dyDescent="0.35">
      <c r="A756" s="22" t="s">
        <v>479</v>
      </c>
      <c r="B756" s="22">
        <v>111.7</v>
      </c>
      <c r="C756" s="22">
        <v>41301.480000000003</v>
      </c>
      <c r="D756" s="24">
        <f t="shared" si="22"/>
        <v>-1.1416939552172689E-2</v>
      </c>
      <c r="E756" s="24">
        <f t="shared" si="23"/>
        <v>2.9558210149840882E-3</v>
      </c>
    </row>
    <row r="757" spans="1:5" x14ac:dyDescent="0.35">
      <c r="A757" s="22" t="s">
        <v>480</v>
      </c>
      <c r="B757" s="22">
        <v>112.99</v>
      </c>
      <c r="C757" s="22">
        <v>41179.760000000002</v>
      </c>
      <c r="D757" s="24">
        <f t="shared" si="22"/>
        <v>-1.1461067366579198E-2</v>
      </c>
      <c r="E757" s="24">
        <f t="shared" si="23"/>
        <v>-1.3365879511098154E-2</v>
      </c>
    </row>
    <row r="758" spans="1:5" x14ac:dyDescent="0.35">
      <c r="A758" s="22" t="s">
        <v>481</v>
      </c>
      <c r="B758" s="22">
        <v>114.3</v>
      </c>
      <c r="C758" s="22">
        <v>41737.620000000003</v>
      </c>
      <c r="D758" s="24">
        <f t="shared" si="22"/>
        <v>-4.3554006968641113E-3</v>
      </c>
      <c r="E758" s="24">
        <f t="shared" si="23"/>
        <v>5.5904090443803945E-4</v>
      </c>
    </row>
    <row r="759" spans="1:5" x14ac:dyDescent="0.35">
      <c r="A759" s="22" t="s">
        <v>482</v>
      </c>
      <c r="B759" s="22">
        <v>114.8</v>
      </c>
      <c r="C759" s="22">
        <v>41714.300000000003</v>
      </c>
      <c r="D759" s="24">
        <f t="shared" si="22"/>
        <v>-6.4906966681090436E-3</v>
      </c>
      <c r="E759" s="24">
        <f t="shared" si="23"/>
        <v>4.1826600755165734E-3</v>
      </c>
    </row>
    <row r="760" spans="1:5" x14ac:dyDescent="0.35">
      <c r="A760" s="23">
        <v>44907</v>
      </c>
      <c r="B760" s="22">
        <v>115.55</v>
      </c>
      <c r="C760" s="22">
        <v>41540.550000000003</v>
      </c>
      <c r="D760" s="24">
        <f t="shared" si="22"/>
        <v>-4.7372954349698291E-3</v>
      </c>
      <c r="E760" s="24">
        <f t="shared" si="23"/>
        <v>-3.7826500277708319E-3</v>
      </c>
    </row>
    <row r="761" spans="1:5" x14ac:dyDescent="0.35">
      <c r="A761" s="23">
        <v>44816</v>
      </c>
      <c r="B761" s="22">
        <v>116.1</v>
      </c>
      <c r="C761" s="22">
        <v>41698.28</v>
      </c>
      <c r="D761" s="24">
        <f t="shared" si="22"/>
        <v>-2.0629190304281338E-3</v>
      </c>
      <c r="E761" s="24">
        <f t="shared" si="23"/>
        <v>1.1204848984228521E-3</v>
      </c>
    </row>
    <row r="762" spans="1:5" x14ac:dyDescent="0.35">
      <c r="A762" s="23">
        <v>44785</v>
      </c>
      <c r="B762" s="22">
        <v>116.34</v>
      </c>
      <c r="C762" s="22">
        <v>41651.61</v>
      </c>
      <c r="D762" s="24">
        <f t="shared" si="22"/>
        <v>2.0671834625323781E-3</v>
      </c>
      <c r="E762" s="24">
        <f t="shared" si="23"/>
        <v>-4.0096328751635978E-3</v>
      </c>
    </row>
    <row r="763" spans="1:5" x14ac:dyDescent="0.35">
      <c r="A763" s="23">
        <v>44754</v>
      </c>
      <c r="B763" s="22">
        <v>116.1</v>
      </c>
      <c r="C763" s="22">
        <v>41819.29</v>
      </c>
      <c r="D763" s="24">
        <f t="shared" si="22"/>
        <v>-7.1831708568496954E-3</v>
      </c>
      <c r="E763" s="24">
        <f t="shared" si="23"/>
        <v>6.7248532376310254E-3</v>
      </c>
    </row>
    <row r="764" spans="1:5" x14ac:dyDescent="0.35">
      <c r="A764" s="23">
        <v>44724</v>
      </c>
      <c r="B764" s="22">
        <v>116.94</v>
      </c>
      <c r="C764" s="22">
        <v>41539.94</v>
      </c>
      <c r="D764" s="24">
        <f t="shared" si="22"/>
        <v>-6.8364382156894802E-4</v>
      </c>
      <c r="E764" s="24">
        <f t="shared" si="23"/>
        <v>-1.7477849895235257E-3</v>
      </c>
    </row>
    <row r="765" spans="1:5" x14ac:dyDescent="0.35">
      <c r="A765" s="23">
        <v>44693</v>
      </c>
      <c r="B765" s="22">
        <v>117.02</v>
      </c>
      <c r="C765" s="22">
        <v>41612.67</v>
      </c>
      <c r="D765" s="24">
        <f t="shared" si="22"/>
        <v>-9.1447925486875387E-3</v>
      </c>
      <c r="E765" s="24">
        <f t="shared" si="23"/>
        <v>-1.2750384933843581E-2</v>
      </c>
    </row>
    <row r="766" spans="1:5" x14ac:dyDescent="0.35">
      <c r="A766" s="23">
        <v>44604</v>
      </c>
      <c r="B766" s="22">
        <v>118.1</v>
      </c>
      <c r="C766" s="22">
        <v>42150.1</v>
      </c>
      <c r="D766" s="24">
        <f t="shared" si="22"/>
        <v>-1.632517074795942E-2</v>
      </c>
      <c r="E766" s="24">
        <f t="shared" si="23"/>
        <v>-5.7419152738436979E-3</v>
      </c>
    </row>
    <row r="767" spans="1:5" x14ac:dyDescent="0.35">
      <c r="A767" s="23">
        <v>44573</v>
      </c>
      <c r="B767" s="22">
        <v>120.06</v>
      </c>
      <c r="C767" s="22">
        <v>42393.52</v>
      </c>
      <c r="D767" s="24">
        <f t="shared" si="22"/>
        <v>5.0000000000001898E-4</v>
      </c>
      <c r="E767" s="24">
        <f t="shared" si="23"/>
        <v>1.0600106780313653E-3</v>
      </c>
    </row>
    <row r="768" spans="1:5" x14ac:dyDescent="0.35">
      <c r="A768" s="22" t="s">
        <v>483</v>
      </c>
      <c r="B768" s="22">
        <v>120</v>
      </c>
      <c r="C768" s="22">
        <v>42348.63</v>
      </c>
      <c r="D768" s="24">
        <f t="shared" si="22"/>
        <v>4.1841004184100415E-3</v>
      </c>
      <c r="E768" s="24">
        <f t="shared" si="23"/>
        <v>-5.8904614879218709E-4</v>
      </c>
    </row>
    <row r="769" spans="1:5" x14ac:dyDescent="0.35">
      <c r="A769" s="22" t="s">
        <v>484</v>
      </c>
      <c r="B769" s="22">
        <v>119.5</v>
      </c>
      <c r="C769" s="22">
        <v>42373.59</v>
      </c>
      <c r="D769" s="24">
        <f t="shared" si="22"/>
        <v>-2.5041736227044841E-3</v>
      </c>
      <c r="E769" s="24">
        <f t="shared" si="23"/>
        <v>7.1842256510013715E-3</v>
      </c>
    </row>
    <row r="770" spans="1:5" x14ac:dyDescent="0.35">
      <c r="A770" s="22" t="s">
        <v>485</v>
      </c>
      <c r="B770" s="22">
        <v>119.8</v>
      </c>
      <c r="C770" s="22">
        <v>42071.34</v>
      </c>
      <c r="D770" s="24">
        <f t="shared" si="22"/>
        <v>-2.212064321279902E-2</v>
      </c>
      <c r="E770" s="24">
        <f t="shared" si="23"/>
        <v>-2.0155004817553796E-2</v>
      </c>
    </row>
    <row r="771" spans="1:5" x14ac:dyDescent="0.35">
      <c r="A771" s="22" t="s">
        <v>486</v>
      </c>
      <c r="B771" s="22">
        <v>122.51</v>
      </c>
      <c r="C771" s="22">
        <v>42936.73</v>
      </c>
      <c r="D771" s="24">
        <f t="shared" si="22"/>
        <v>1.6680497925311247E-2</v>
      </c>
      <c r="E771" s="24">
        <f t="shared" si="23"/>
        <v>7.7102997064356401E-4</v>
      </c>
    </row>
    <row r="772" spans="1:5" x14ac:dyDescent="0.35">
      <c r="A772" s="22" t="s">
        <v>487</v>
      </c>
      <c r="B772" s="22">
        <v>120.5</v>
      </c>
      <c r="C772" s="22">
        <v>42903.65</v>
      </c>
      <c r="D772" s="24">
        <f t="shared" si="22"/>
        <v>8.2994439372604501E-5</v>
      </c>
      <c r="E772" s="24">
        <f t="shared" si="23"/>
        <v>5.4430576644627301E-4</v>
      </c>
    </row>
    <row r="773" spans="1:5" x14ac:dyDescent="0.35">
      <c r="A773" s="22" t="s">
        <v>488</v>
      </c>
      <c r="B773" s="22">
        <v>120.49</v>
      </c>
      <c r="C773" s="22">
        <v>42880.31</v>
      </c>
      <c r="D773" s="24">
        <f t="shared" ref="D773:D836" si="24">(B773-B774)/B774</f>
        <v>-8.2987551867262375E-5</v>
      </c>
      <c r="E773" s="24">
        <f t="shared" ref="E773:E836" si="25">(C773-C774)/C774</f>
        <v>-1.1253564638230846E-3</v>
      </c>
    </row>
    <row r="774" spans="1:5" x14ac:dyDescent="0.35">
      <c r="A774" s="22" t="s">
        <v>489</v>
      </c>
      <c r="B774" s="22">
        <v>120.5</v>
      </c>
      <c r="C774" s="22">
        <v>42928.62</v>
      </c>
      <c r="D774" s="24">
        <f t="shared" si="24"/>
        <v>4.1666666666666666E-3</v>
      </c>
      <c r="E774" s="24">
        <f t="shared" si="25"/>
        <v>3.9154663375832221E-3</v>
      </c>
    </row>
    <row r="775" spans="1:5" x14ac:dyDescent="0.35">
      <c r="A775" s="22" t="s">
        <v>490</v>
      </c>
      <c r="B775" s="22">
        <v>120</v>
      </c>
      <c r="C775" s="22">
        <v>42761.19</v>
      </c>
      <c r="D775" s="24">
        <f t="shared" si="24"/>
        <v>-5.7995028997514736E-3</v>
      </c>
      <c r="E775" s="24">
        <f t="shared" si="25"/>
        <v>7.2431140101259363E-4</v>
      </c>
    </row>
    <row r="776" spans="1:5" x14ac:dyDescent="0.35">
      <c r="A776" s="22" t="s">
        <v>491</v>
      </c>
      <c r="B776" s="22">
        <v>120.7</v>
      </c>
      <c r="C776" s="22">
        <v>42730.239999999998</v>
      </c>
      <c r="D776" s="24">
        <f t="shared" si="24"/>
        <v>-9.0311986863710544E-3</v>
      </c>
      <c r="E776" s="24">
        <f t="shared" si="25"/>
        <v>-2.0896913851842841E-3</v>
      </c>
    </row>
    <row r="777" spans="1:5" x14ac:dyDescent="0.35">
      <c r="A777" s="22" t="s">
        <v>492</v>
      </c>
      <c r="B777" s="22">
        <v>121.8</v>
      </c>
      <c r="C777" s="22">
        <v>42819.72</v>
      </c>
      <c r="D777" s="24">
        <f t="shared" si="24"/>
        <v>-7.658465048069071E-3</v>
      </c>
      <c r="E777" s="24">
        <f t="shared" si="25"/>
        <v>-3.8160932910692724E-3</v>
      </c>
    </row>
    <row r="778" spans="1:5" x14ac:dyDescent="0.35">
      <c r="A778" s="22" t="s">
        <v>493</v>
      </c>
      <c r="B778" s="22">
        <v>122.74</v>
      </c>
      <c r="C778" s="22">
        <v>42983.75</v>
      </c>
      <c r="D778" s="24">
        <f t="shared" si="24"/>
        <v>1.1419249592169705E-3</v>
      </c>
      <c r="E778" s="24">
        <f t="shared" si="25"/>
        <v>4.3671438435305748E-3</v>
      </c>
    </row>
    <row r="779" spans="1:5" x14ac:dyDescent="0.35">
      <c r="A779" s="22" t="s">
        <v>494</v>
      </c>
      <c r="B779" s="22">
        <v>122.6</v>
      </c>
      <c r="C779" s="22">
        <v>42796.85</v>
      </c>
      <c r="D779" s="24">
        <f t="shared" si="24"/>
        <v>0</v>
      </c>
      <c r="E779" s="24">
        <f t="shared" si="25"/>
        <v>-1.259718889925894E-3</v>
      </c>
    </row>
    <row r="780" spans="1:5" x14ac:dyDescent="0.35">
      <c r="A780" s="22" t="s">
        <v>495</v>
      </c>
      <c r="B780" s="22">
        <v>122.6</v>
      </c>
      <c r="C780" s="22">
        <v>42850.83</v>
      </c>
      <c r="D780" s="24">
        <f t="shared" si="24"/>
        <v>-9.8530124374091345E-3</v>
      </c>
      <c r="E780" s="24">
        <f t="shared" si="25"/>
        <v>-5.6185524546357437E-3</v>
      </c>
    </row>
    <row r="781" spans="1:5" x14ac:dyDescent="0.35">
      <c r="A781" s="23">
        <v>44876</v>
      </c>
      <c r="B781" s="22">
        <v>123.82</v>
      </c>
      <c r="C781" s="22">
        <v>43092.95</v>
      </c>
      <c r="D781" s="24">
        <f t="shared" si="24"/>
        <v>-6.4568200161430587E-4</v>
      </c>
      <c r="E781" s="24">
        <f t="shared" si="25"/>
        <v>4.4679330005848381E-3</v>
      </c>
    </row>
    <row r="782" spans="1:5" x14ac:dyDescent="0.35">
      <c r="A782" s="23">
        <v>44845</v>
      </c>
      <c r="B782" s="22">
        <v>123.9</v>
      </c>
      <c r="C782" s="22">
        <v>42901.27</v>
      </c>
      <c r="D782" s="24">
        <f t="shared" si="24"/>
        <v>1.5573770491803324E-2</v>
      </c>
      <c r="E782" s="24">
        <f t="shared" si="25"/>
        <v>1.5045654408243446E-2</v>
      </c>
    </row>
    <row r="783" spans="1:5" x14ac:dyDescent="0.35">
      <c r="A783" s="23">
        <v>44784</v>
      </c>
      <c r="B783" s="22">
        <v>122</v>
      </c>
      <c r="C783" s="22">
        <v>42265.36</v>
      </c>
      <c r="D783" s="24">
        <f t="shared" si="24"/>
        <v>-4.0816326530612249E-3</v>
      </c>
      <c r="E783" s="24">
        <f t="shared" si="25"/>
        <v>5.1846299030426646E-3</v>
      </c>
    </row>
    <row r="784" spans="1:5" x14ac:dyDescent="0.35">
      <c r="A784" s="23">
        <v>44753</v>
      </c>
      <c r="B784" s="22">
        <v>122.5</v>
      </c>
      <c r="C784" s="22">
        <v>42047.360000000001</v>
      </c>
      <c r="D784" s="24">
        <f t="shared" si="24"/>
        <v>1.3317892298784014E-2</v>
      </c>
      <c r="E784" s="24">
        <f t="shared" si="25"/>
        <v>4.5644252921483745E-3</v>
      </c>
    </row>
    <row r="785" spans="1:5" x14ac:dyDescent="0.35">
      <c r="A785" s="23">
        <v>44662</v>
      </c>
      <c r="B785" s="22">
        <v>120.89</v>
      </c>
      <c r="C785" s="22">
        <v>41856.31</v>
      </c>
      <c r="D785" s="24">
        <f t="shared" si="24"/>
        <v>-9.0983606557377E-3</v>
      </c>
      <c r="E785" s="24">
        <f t="shared" si="25"/>
        <v>-5.5689248292557069E-3</v>
      </c>
    </row>
    <row r="786" spans="1:5" x14ac:dyDescent="0.35">
      <c r="A786" s="23">
        <v>44631</v>
      </c>
      <c r="B786" s="22">
        <v>122</v>
      </c>
      <c r="C786" s="22">
        <v>42090.71</v>
      </c>
      <c r="D786" s="24">
        <f t="shared" si="24"/>
        <v>4.280540006585413E-3</v>
      </c>
      <c r="E786" s="24">
        <f t="shared" si="25"/>
        <v>3.4836435402039365E-3</v>
      </c>
    </row>
    <row r="787" spans="1:5" x14ac:dyDescent="0.35">
      <c r="A787" s="23">
        <v>44603</v>
      </c>
      <c r="B787" s="22">
        <v>121.48</v>
      </c>
      <c r="C787" s="22">
        <v>41944.59</v>
      </c>
      <c r="D787" s="24">
        <f t="shared" si="24"/>
        <v>1.2333333333333366E-2</v>
      </c>
      <c r="E787" s="24">
        <f t="shared" si="25"/>
        <v>3.2505204061642249E-3</v>
      </c>
    </row>
    <row r="788" spans="1:5" x14ac:dyDescent="0.35">
      <c r="A788" s="23">
        <v>44572</v>
      </c>
      <c r="B788" s="22">
        <v>120</v>
      </c>
      <c r="C788" s="22">
        <v>41808.69</v>
      </c>
      <c r="D788" s="24">
        <f t="shared" si="24"/>
        <v>8.4033613445378148E-3</v>
      </c>
      <c r="E788" s="24">
        <f t="shared" si="25"/>
        <v>1.3183920575136177E-2</v>
      </c>
    </row>
    <row r="789" spans="1:5" x14ac:dyDescent="0.35">
      <c r="A789" s="22" t="s">
        <v>496</v>
      </c>
      <c r="B789" s="22">
        <v>119</v>
      </c>
      <c r="C789" s="22">
        <v>41264.660000000003</v>
      </c>
      <c r="D789" s="24">
        <f t="shared" si="24"/>
        <v>-8.3333333333333332E-3</v>
      </c>
      <c r="E789" s="24">
        <f t="shared" si="25"/>
        <v>3.0220953502317978E-3</v>
      </c>
    </row>
    <row r="790" spans="1:5" x14ac:dyDescent="0.35">
      <c r="A790" s="22" t="s">
        <v>497</v>
      </c>
      <c r="B790" s="22">
        <v>120</v>
      </c>
      <c r="C790" s="22">
        <v>41140.33</v>
      </c>
      <c r="D790" s="24">
        <f t="shared" si="24"/>
        <v>-1.7199017199017154E-2</v>
      </c>
      <c r="E790" s="24">
        <f t="shared" si="25"/>
        <v>-1.1117507574601183E-2</v>
      </c>
    </row>
    <row r="791" spans="1:5" x14ac:dyDescent="0.35">
      <c r="A791" s="22" t="s">
        <v>498</v>
      </c>
      <c r="B791" s="22">
        <v>122.1</v>
      </c>
      <c r="C791" s="22">
        <v>41602.85</v>
      </c>
      <c r="D791" s="24">
        <f t="shared" si="24"/>
        <v>2.9945170814002508E-2</v>
      </c>
      <c r="E791" s="24">
        <f t="shared" si="25"/>
        <v>1.512276230903052E-3</v>
      </c>
    </row>
    <row r="792" spans="1:5" x14ac:dyDescent="0.35">
      <c r="A792" s="22" t="s">
        <v>499</v>
      </c>
      <c r="B792" s="22">
        <v>118.55</v>
      </c>
      <c r="C792" s="22">
        <v>41540.03</v>
      </c>
      <c r="D792" s="24">
        <f t="shared" si="24"/>
        <v>-2.6203384261540973E-2</v>
      </c>
      <c r="E792" s="24">
        <f t="shared" si="25"/>
        <v>-1.5406250103697462E-2</v>
      </c>
    </row>
    <row r="793" spans="1:5" x14ac:dyDescent="0.35">
      <c r="A793" s="22" t="s">
        <v>500</v>
      </c>
      <c r="B793" s="22">
        <v>121.74</v>
      </c>
      <c r="C793" s="22">
        <v>42190.02</v>
      </c>
      <c r="D793" s="24">
        <f t="shared" si="24"/>
        <v>-9.4385679414158725E-3</v>
      </c>
      <c r="E793" s="24">
        <f t="shared" si="25"/>
        <v>-3.7124033850621727E-3</v>
      </c>
    </row>
    <row r="794" spans="1:5" x14ac:dyDescent="0.35">
      <c r="A794" s="22" t="s">
        <v>501</v>
      </c>
      <c r="B794" s="22">
        <v>122.9</v>
      </c>
      <c r="C794" s="22">
        <v>42347.23</v>
      </c>
      <c r="D794" s="24">
        <f t="shared" si="24"/>
        <v>0</v>
      </c>
      <c r="E794" s="24">
        <f t="shared" si="25"/>
        <v>3.1684191874254385E-3</v>
      </c>
    </row>
    <row r="795" spans="1:5" x14ac:dyDescent="0.35">
      <c r="A795" s="22" t="s">
        <v>502</v>
      </c>
      <c r="B795" s="22">
        <v>122.9</v>
      </c>
      <c r="C795" s="22">
        <v>42213.48</v>
      </c>
      <c r="D795" s="24">
        <f t="shared" si="24"/>
        <v>-2.0014352922414408E-2</v>
      </c>
      <c r="E795" s="24">
        <f t="shared" si="25"/>
        <v>1.8140809131349123E-3</v>
      </c>
    </row>
    <row r="796" spans="1:5" x14ac:dyDescent="0.35">
      <c r="A796" s="22" t="s">
        <v>503</v>
      </c>
      <c r="B796" s="22">
        <v>125.41</v>
      </c>
      <c r="C796" s="22">
        <v>42137.04</v>
      </c>
      <c r="D796" s="24">
        <f t="shared" si="24"/>
        <v>-2.0999219359875081E-2</v>
      </c>
      <c r="E796" s="24">
        <f t="shared" si="25"/>
        <v>-2.1079404775014958E-3</v>
      </c>
    </row>
    <row r="797" spans="1:5" x14ac:dyDescent="0.35">
      <c r="A797" s="22" t="s">
        <v>504</v>
      </c>
      <c r="B797" s="22">
        <v>128.1</v>
      </c>
      <c r="C797" s="22">
        <v>42226.05</v>
      </c>
      <c r="D797" s="24">
        <f t="shared" si="24"/>
        <v>5.5734359054870376E-3</v>
      </c>
      <c r="E797" s="24">
        <f t="shared" si="25"/>
        <v>9.2446663731624527E-3</v>
      </c>
    </row>
    <row r="798" spans="1:5" x14ac:dyDescent="0.35">
      <c r="A798" s="22" t="s">
        <v>505</v>
      </c>
      <c r="B798" s="22">
        <v>127.39</v>
      </c>
      <c r="C798" s="22">
        <v>41839.26</v>
      </c>
      <c r="D798" s="24">
        <f t="shared" si="24"/>
        <v>1.0229976209357703E-2</v>
      </c>
      <c r="E798" s="24">
        <f t="shared" si="25"/>
        <v>2.0071631367882506E-3</v>
      </c>
    </row>
    <row r="799" spans="1:5" x14ac:dyDescent="0.35">
      <c r="A799" s="22" t="s">
        <v>506</v>
      </c>
      <c r="B799" s="22">
        <v>126.1</v>
      </c>
      <c r="C799" s="22">
        <v>41755.449999999997</v>
      </c>
      <c r="D799" s="24">
        <f t="shared" si="24"/>
        <v>-1.1057956238726459E-2</v>
      </c>
      <c r="E799" s="24">
        <f t="shared" si="25"/>
        <v>-4.6020715877803237E-3</v>
      </c>
    </row>
    <row r="800" spans="1:5" x14ac:dyDescent="0.35">
      <c r="A800" s="22" t="s">
        <v>507</v>
      </c>
      <c r="B800" s="22">
        <v>127.51</v>
      </c>
      <c r="C800" s="22">
        <v>41948.5</v>
      </c>
      <c r="D800" s="24">
        <f t="shared" si="24"/>
        <v>-1.8786692759295098E-3</v>
      </c>
      <c r="E800" s="24">
        <f t="shared" si="25"/>
        <v>-3.260488355670312E-3</v>
      </c>
    </row>
    <row r="801" spans="1:5" x14ac:dyDescent="0.35">
      <c r="A801" s="22" t="s">
        <v>508</v>
      </c>
      <c r="B801" s="22">
        <v>127.75</v>
      </c>
      <c r="C801" s="22">
        <v>42085.72</v>
      </c>
      <c r="D801" s="24">
        <f t="shared" si="24"/>
        <v>-1.953125E-3</v>
      </c>
      <c r="E801" s="24">
        <f t="shared" si="25"/>
        <v>1.8706343731089939E-3</v>
      </c>
    </row>
    <row r="802" spans="1:5" x14ac:dyDescent="0.35">
      <c r="A802" s="23">
        <v>44905</v>
      </c>
      <c r="B802" s="22">
        <v>128</v>
      </c>
      <c r="C802" s="22">
        <v>42007.14</v>
      </c>
      <c r="D802" s="24">
        <f t="shared" si="24"/>
        <v>-3.7593984962406013E-2</v>
      </c>
      <c r="E802" s="24">
        <f t="shared" si="25"/>
        <v>-3.5188782099030485E-3</v>
      </c>
    </row>
    <row r="803" spans="1:5" x14ac:dyDescent="0.35">
      <c r="A803" s="23">
        <v>44875</v>
      </c>
      <c r="B803" s="22">
        <v>133</v>
      </c>
      <c r="C803" s="22">
        <v>42155.48</v>
      </c>
      <c r="D803" s="24">
        <f t="shared" si="24"/>
        <v>-1.1152416356877323E-2</v>
      </c>
      <c r="E803" s="24">
        <f t="shared" si="25"/>
        <v>-1.3304387131131655E-3</v>
      </c>
    </row>
    <row r="804" spans="1:5" x14ac:dyDescent="0.35">
      <c r="A804" s="23">
        <v>44844</v>
      </c>
      <c r="B804" s="22">
        <v>134.5</v>
      </c>
      <c r="C804" s="22">
        <v>42211.64</v>
      </c>
      <c r="D804" s="24">
        <f t="shared" si="24"/>
        <v>-3.7037037037037038E-3</v>
      </c>
      <c r="E804" s="24">
        <f t="shared" si="25"/>
        <v>3.0031899537248659E-3</v>
      </c>
    </row>
    <row r="805" spans="1:5" x14ac:dyDescent="0.35">
      <c r="A805" s="23">
        <v>44752</v>
      </c>
      <c r="B805" s="22">
        <v>135</v>
      </c>
      <c r="C805" s="22">
        <v>42085.25</v>
      </c>
      <c r="D805" s="24">
        <f t="shared" si="24"/>
        <v>-3.6900369003690036E-3</v>
      </c>
      <c r="E805" s="24">
        <f t="shared" si="25"/>
        <v>-1.7865033608416515E-3</v>
      </c>
    </row>
    <row r="806" spans="1:5" x14ac:dyDescent="0.35">
      <c r="A806" s="23">
        <v>44722</v>
      </c>
      <c r="B806" s="22">
        <v>135.5</v>
      </c>
      <c r="C806" s="22">
        <v>42160.57</v>
      </c>
      <c r="D806" s="24">
        <f t="shared" si="24"/>
        <v>0</v>
      </c>
      <c r="E806" s="24">
        <f t="shared" si="25"/>
        <v>1.3197098296573428E-2</v>
      </c>
    </row>
    <row r="807" spans="1:5" x14ac:dyDescent="0.35">
      <c r="A807" s="23">
        <v>44691</v>
      </c>
      <c r="B807" s="22">
        <v>135.5</v>
      </c>
      <c r="C807" s="22">
        <v>41611.42</v>
      </c>
      <c r="D807" s="24">
        <f t="shared" si="24"/>
        <v>-1.2318682119688007E-2</v>
      </c>
      <c r="E807" s="24">
        <f t="shared" si="25"/>
        <v>6.3116635062802967E-3</v>
      </c>
    </row>
    <row r="808" spans="1:5" x14ac:dyDescent="0.35">
      <c r="A808" s="23">
        <v>44661</v>
      </c>
      <c r="B808" s="22">
        <v>137.19</v>
      </c>
      <c r="C808" s="22">
        <v>41350.43</v>
      </c>
      <c r="D808" s="24">
        <f t="shared" si="24"/>
        <v>8.3792723263505058E-3</v>
      </c>
      <c r="E808" s="24">
        <f t="shared" si="25"/>
        <v>3.3662770523905398E-3</v>
      </c>
    </row>
    <row r="809" spans="1:5" x14ac:dyDescent="0.35">
      <c r="A809" s="23">
        <v>44630</v>
      </c>
      <c r="B809" s="22">
        <v>136.05000000000001</v>
      </c>
      <c r="C809" s="22">
        <v>41211.699999999997</v>
      </c>
      <c r="D809" s="24">
        <f t="shared" si="24"/>
        <v>3.67647058823613E-4</v>
      </c>
      <c r="E809" s="24">
        <f t="shared" si="25"/>
        <v>2.018786408604967E-3</v>
      </c>
    </row>
    <row r="810" spans="1:5" x14ac:dyDescent="0.35">
      <c r="A810" s="22" t="s">
        <v>509</v>
      </c>
      <c r="B810" s="22">
        <v>136</v>
      </c>
      <c r="C810" s="22">
        <v>41128.67</v>
      </c>
      <c r="D810" s="24">
        <f t="shared" si="24"/>
        <v>-2.2010271460015506E-3</v>
      </c>
      <c r="E810" s="24">
        <f t="shared" si="25"/>
        <v>2.7992976032979503E-3</v>
      </c>
    </row>
    <row r="811" spans="1:5" x14ac:dyDescent="0.35">
      <c r="A811" s="22" t="s">
        <v>510</v>
      </c>
      <c r="B811" s="22">
        <v>136.30000000000001</v>
      </c>
      <c r="C811" s="22">
        <v>41013.86</v>
      </c>
      <c r="D811" s="24">
        <f t="shared" si="24"/>
        <v>4.7917434574272439E-3</v>
      </c>
      <c r="E811" s="24">
        <f t="shared" si="25"/>
        <v>-1.0166976669314102E-2</v>
      </c>
    </row>
    <row r="812" spans="1:5" x14ac:dyDescent="0.35">
      <c r="A812" s="22" t="s">
        <v>511</v>
      </c>
      <c r="B812" s="22">
        <v>135.65</v>
      </c>
      <c r="C812" s="22">
        <v>41435.129999999997</v>
      </c>
      <c r="D812" s="24">
        <f t="shared" si="24"/>
        <v>-4.768892149669887E-3</v>
      </c>
      <c r="E812" s="24">
        <f t="shared" si="25"/>
        <v>-2.001530412062504E-3</v>
      </c>
    </row>
    <row r="813" spans="1:5" x14ac:dyDescent="0.35">
      <c r="A813" s="22" t="s">
        <v>512</v>
      </c>
      <c r="B813" s="22">
        <v>136.30000000000001</v>
      </c>
      <c r="C813" s="22">
        <v>41518.230000000003</v>
      </c>
      <c r="D813" s="24">
        <f t="shared" si="24"/>
        <v>3.1091610560556877E-2</v>
      </c>
      <c r="E813" s="24">
        <f t="shared" si="25"/>
        <v>8.9107236327000718E-3</v>
      </c>
    </row>
    <row r="814" spans="1:5" x14ac:dyDescent="0.35">
      <c r="A814" s="22" t="s">
        <v>513</v>
      </c>
      <c r="B814" s="22">
        <v>132.19</v>
      </c>
      <c r="C814" s="22">
        <v>41151.54</v>
      </c>
      <c r="D814" s="24">
        <f t="shared" si="24"/>
        <v>4.6634996041171821E-2</v>
      </c>
      <c r="E814" s="24">
        <f t="shared" si="25"/>
        <v>1.3080434591549422E-2</v>
      </c>
    </row>
    <row r="815" spans="1:5" x14ac:dyDescent="0.35">
      <c r="A815" s="22" t="s">
        <v>514</v>
      </c>
      <c r="B815" s="22">
        <v>126.3</v>
      </c>
      <c r="C815" s="22">
        <v>40620.21</v>
      </c>
      <c r="D815" s="24">
        <f t="shared" si="24"/>
        <v>0</v>
      </c>
      <c r="E815" s="24">
        <f t="shared" si="25"/>
        <v>-7.5190670434262643E-3</v>
      </c>
    </row>
    <row r="816" spans="1:5" x14ac:dyDescent="0.35">
      <c r="A816" s="22" t="s">
        <v>515</v>
      </c>
      <c r="B816" s="22">
        <v>126.3</v>
      </c>
      <c r="C816" s="22">
        <v>40927.949999999997</v>
      </c>
      <c r="D816" s="24">
        <f t="shared" si="24"/>
        <v>-2.3428438877290767E-2</v>
      </c>
      <c r="E816" s="24">
        <f t="shared" si="25"/>
        <v>-9.1857603383144225E-4</v>
      </c>
    </row>
    <row r="817" spans="1:5" x14ac:dyDescent="0.35">
      <c r="A817" s="22" t="s">
        <v>516</v>
      </c>
      <c r="B817" s="22">
        <v>129.33000000000001</v>
      </c>
      <c r="C817" s="22">
        <v>40965.58</v>
      </c>
      <c r="D817" s="24">
        <f t="shared" si="24"/>
        <v>-2.2079395085066067E-2</v>
      </c>
      <c r="E817" s="24">
        <f t="shared" si="25"/>
        <v>-6.1941863971465387E-3</v>
      </c>
    </row>
    <row r="818" spans="1:5" x14ac:dyDescent="0.35">
      <c r="A818" s="22" t="s">
        <v>517</v>
      </c>
      <c r="B818" s="22">
        <v>132.25</v>
      </c>
      <c r="C818" s="22">
        <v>41220.910000000003</v>
      </c>
      <c r="D818" s="24">
        <f t="shared" si="24"/>
        <v>-2.5064504238850021E-2</v>
      </c>
      <c r="E818" s="24">
        <f t="shared" si="25"/>
        <v>-7.2176238343432267E-3</v>
      </c>
    </row>
    <row r="819" spans="1:5" x14ac:dyDescent="0.35">
      <c r="A819" s="22" t="s">
        <v>518</v>
      </c>
      <c r="B819" s="22">
        <v>135.65</v>
      </c>
      <c r="C819" s="22">
        <v>41520.589999999997</v>
      </c>
      <c r="D819" s="24">
        <f t="shared" si="24"/>
        <v>-7.6084570926914334E-3</v>
      </c>
      <c r="E819" s="24">
        <f t="shared" si="25"/>
        <v>-3.8124266875626707E-3</v>
      </c>
    </row>
    <row r="820" spans="1:5" x14ac:dyDescent="0.35">
      <c r="A820" s="22" t="s">
        <v>519</v>
      </c>
      <c r="B820" s="22">
        <v>136.69</v>
      </c>
      <c r="C820" s="22">
        <v>41679.49</v>
      </c>
      <c r="D820" s="24">
        <f t="shared" si="24"/>
        <v>-2.0143369175627257E-2</v>
      </c>
      <c r="E820" s="24">
        <f t="shared" si="25"/>
        <v>-2.2167911636692956E-3</v>
      </c>
    </row>
    <row r="821" spans="1:5" x14ac:dyDescent="0.35">
      <c r="A821" s="22" t="s">
        <v>520</v>
      </c>
      <c r="B821" s="22">
        <v>139.5</v>
      </c>
      <c r="C821" s="22">
        <v>41772.089999999997</v>
      </c>
      <c r="D821" s="24">
        <f t="shared" si="24"/>
        <v>4.464285714285747E-3</v>
      </c>
      <c r="E821" s="24">
        <f t="shared" si="25"/>
        <v>-3.9470527893572908E-3</v>
      </c>
    </row>
    <row r="822" spans="1:5" x14ac:dyDescent="0.35">
      <c r="A822" s="22" t="s">
        <v>521</v>
      </c>
      <c r="B822" s="22">
        <v>138.88</v>
      </c>
      <c r="C822" s="22">
        <v>41937.620000000003</v>
      </c>
      <c r="D822" s="24">
        <f t="shared" si="24"/>
        <v>-3.555555555555559E-2</v>
      </c>
      <c r="E822" s="24">
        <f t="shared" si="25"/>
        <v>-1.5170944546053506E-3</v>
      </c>
    </row>
    <row r="823" spans="1:5" x14ac:dyDescent="0.35">
      <c r="A823" s="22" t="s">
        <v>522</v>
      </c>
      <c r="B823" s="22">
        <v>144</v>
      </c>
      <c r="C823" s="22">
        <v>42001.34</v>
      </c>
      <c r="D823" s="24">
        <f t="shared" si="24"/>
        <v>2.1276595744680851E-2</v>
      </c>
      <c r="E823" s="24">
        <f t="shared" si="25"/>
        <v>3.3216051964666919E-3</v>
      </c>
    </row>
    <row r="824" spans="1:5" x14ac:dyDescent="0.35">
      <c r="A824" s="23">
        <v>44904</v>
      </c>
      <c r="B824" s="22">
        <v>141</v>
      </c>
      <c r="C824" s="22">
        <v>41862.29</v>
      </c>
      <c r="D824" s="24">
        <f t="shared" si="24"/>
        <v>-4.7747686904842261E-2</v>
      </c>
      <c r="E824" s="24">
        <f t="shared" si="25"/>
        <v>-2.0470504546564764E-3</v>
      </c>
    </row>
    <row r="825" spans="1:5" x14ac:dyDescent="0.35">
      <c r="A825" s="23">
        <v>44813</v>
      </c>
      <c r="B825" s="22">
        <v>148.07</v>
      </c>
      <c r="C825" s="22">
        <v>41948.160000000003</v>
      </c>
      <c r="D825" s="24">
        <f t="shared" si="24"/>
        <v>-8.0310559006211216E-2</v>
      </c>
      <c r="E825" s="24">
        <f t="shared" si="25"/>
        <v>2.9496860593921123E-3</v>
      </c>
    </row>
    <row r="826" spans="1:5" x14ac:dyDescent="0.35">
      <c r="A826" s="23">
        <v>44782</v>
      </c>
      <c r="B826" s="22">
        <v>161</v>
      </c>
      <c r="C826" s="22">
        <v>41824.79</v>
      </c>
      <c r="D826" s="24">
        <f t="shared" si="24"/>
        <v>6.2500000000000003E-3</v>
      </c>
      <c r="E826" s="24">
        <f t="shared" si="25"/>
        <v>1.406405441740312E-3</v>
      </c>
    </row>
    <row r="827" spans="1:5" x14ac:dyDescent="0.35">
      <c r="A827" s="23">
        <v>44751</v>
      </c>
      <c r="B827" s="22">
        <v>160</v>
      </c>
      <c r="C827" s="22">
        <v>41766.050000000003</v>
      </c>
      <c r="D827" s="24">
        <f t="shared" si="24"/>
        <v>4.7095761381475663E-3</v>
      </c>
      <c r="E827" s="24">
        <f t="shared" si="25"/>
        <v>-2.2529667685609409E-3</v>
      </c>
    </row>
    <row r="828" spans="1:5" x14ac:dyDescent="0.35">
      <c r="A828" s="23">
        <v>44721</v>
      </c>
      <c r="B828" s="22">
        <v>159.25</v>
      </c>
      <c r="C828" s="22">
        <v>41860.36</v>
      </c>
      <c r="D828" s="24">
        <f t="shared" si="24"/>
        <v>-6.2790405625963238E-5</v>
      </c>
      <c r="E828" s="24">
        <f t="shared" si="25"/>
        <v>2.5322927043635981E-5</v>
      </c>
    </row>
    <row r="829" spans="1:5" x14ac:dyDescent="0.35">
      <c r="A829" s="23">
        <v>44690</v>
      </c>
      <c r="B829" s="22">
        <v>159.26</v>
      </c>
      <c r="C829" s="22">
        <v>41859.300000000003</v>
      </c>
      <c r="D829" s="24">
        <f t="shared" si="24"/>
        <v>-1.2034739454094279E-2</v>
      </c>
      <c r="E829" s="24">
        <f t="shared" si="25"/>
        <v>-1.0631516474820616E-2</v>
      </c>
    </row>
    <row r="830" spans="1:5" x14ac:dyDescent="0.35">
      <c r="A830" s="23">
        <v>44601</v>
      </c>
      <c r="B830" s="22">
        <v>161.19999999999999</v>
      </c>
      <c r="C830" s="22">
        <v>42309.11</v>
      </c>
      <c r="D830" s="24">
        <f t="shared" si="24"/>
        <v>1.0658307210031276E-2</v>
      </c>
      <c r="E830" s="24">
        <f t="shared" si="25"/>
        <v>-3.5555750248233435E-3</v>
      </c>
    </row>
    <row r="831" spans="1:5" x14ac:dyDescent="0.35">
      <c r="A831" s="23">
        <v>44570</v>
      </c>
      <c r="B831" s="22">
        <v>159.5</v>
      </c>
      <c r="C831" s="22">
        <v>42460.08</v>
      </c>
      <c r="D831" s="24">
        <f t="shared" si="24"/>
        <v>2.2501442400153795E-2</v>
      </c>
      <c r="E831" s="24">
        <f t="shared" si="25"/>
        <v>2.5720671103382146E-3</v>
      </c>
    </row>
    <row r="832" spans="1:5" x14ac:dyDescent="0.35">
      <c r="A832" s="22" t="s">
        <v>523</v>
      </c>
      <c r="B832" s="22">
        <v>155.99</v>
      </c>
      <c r="C832" s="22">
        <v>42351.15</v>
      </c>
      <c r="D832" s="24">
        <f t="shared" si="24"/>
        <v>1.6883963494133007E-2</v>
      </c>
      <c r="E832" s="24">
        <f t="shared" si="25"/>
        <v>3.694728672066203E-3</v>
      </c>
    </row>
    <row r="833" spans="1:5" x14ac:dyDescent="0.35">
      <c r="A833" s="22" t="s">
        <v>524</v>
      </c>
      <c r="B833" s="22">
        <v>153.4</v>
      </c>
      <c r="C833" s="22">
        <v>42195.25</v>
      </c>
      <c r="D833" s="24">
        <f t="shared" si="24"/>
        <v>-9.6836668818592632E-3</v>
      </c>
      <c r="E833" s="24">
        <f t="shared" si="25"/>
        <v>-7.2719632865725367E-3</v>
      </c>
    </row>
    <row r="834" spans="1:5" x14ac:dyDescent="0.35">
      <c r="A834" s="22" t="s">
        <v>525</v>
      </c>
      <c r="B834" s="22">
        <v>154.9</v>
      </c>
      <c r="C834" s="22">
        <v>42504.34</v>
      </c>
      <c r="D834" s="24">
        <f t="shared" si="24"/>
        <v>-5.7766367137355949E-3</v>
      </c>
      <c r="E834" s="24">
        <f t="shared" si="25"/>
        <v>-2.0466520205554002E-3</v>
      </c>
    </row>
    <row r="835" spans="1:5" x14ac:dyDescent="0.35">
      <c r="A835" s="22" t="s">
        <v>526</v>
      </c>
      <c r="B835" s="22">
        <v>155.80000000000001</v>
      </c>
      <c r="C835" s="22">
        <v>42591.51</v>
      </c>
      <c r="D835" s="24">
        <f t="shared" si="24"/>
        <v>-1.3924050632911321E-2</v>
      </c>
      <c r="E835" s="24">
        <f t="shared" si="25"/>
        <v>-1.0249445942921783E-2</v>
      </c>
    </row>
    <row r="836" spans="1:5" x14ac:dyDescent="0.35">
      <c r="A836" s="22" t="s">
        <v>527</v>
      </c>
      <c r="B836" s="22">
        <v>158</v>
      </c>
      <c r="C836" s="22">
        <v>43032.57</v>
      </c>
      <c r="D836" s="24">
        <f t="shared" si="24"/>
        <v>-3.1545741324921135E-3</v>
      </c>
      <c r="E836" s="24">
        <f t="shared" si="25"/>
        <v>-7.0469382852958147E-3</v>
      </c>
    </row>
    <row r="837" spans="1:5" x14ac:dyDescent="0.35">
      <c r="A837" s="22" t="s">
        <v>528</v>
      </c>
      <c r="B837" s="22">
        <v>158.5</v>
      </c>
      <c r="C837" s="22">
        <v>43337.97</v>
      </c>
      <c r="D837" s="24">
        <f t="shared" ref="D837:D900" si="26">(B837-B838)/B838</f>
        <v>6.3095463436121555E-5</v>
      </c>
      <c r="E837" s="24">
        <f t="shared" ref="E837:E900" si="27">(C837-C838)/C838</f>
        <v>-6.6433339067363713E-4</v>
      </c>
    </row>
    <row r="838" spans="1:5" x14ac:dyDescent="0.35">
      <c r="A838" s="22" t="s">
        <v>529</v>
      </c>
      <c r="B838" s="22">
        <v>158.49</v>
      </c>
      <c r="C838" s="22">
        <v>43366.78</v>
      </c>
      <c r="D838" s="24">
        <f t="shared" si="26"/>
        <v>5.6818181818183973E-4</v>
      </c>
      <c r="E838" s="24">
        <f t="shared" si="27"/>
        <v>1.2611770331844588E-2</v>
      </c>
    </row>
    <row r="839" spans="1:5" x14ac:dyDescent="0.35">
      <c r="A839" s="22" t="s">
        <v>530</v>
      </c>
      <c r="B839" s="22">
        <v>158.4</v>
      </c>
      <c r="C839" s="22">
        <v>42826.66</v>
      </c>
      <c r="D839" s="24">
        <f t="shared" si="26"/>
        <v>-6.8965517241378954E-3</v>
      </c>
      <c r="E839" s="24">
        <f t="shared" si="27"/>
        <v>-1.0260765669108229E-2</v>
      </c>
    </row>
    <row r="840" spans="1:5" x14ac:dyDescent="0.35">
      <c r="A840" s="22" t="s">
        <v>531</v>
      </c>
      <c r="B840" s="22">
        <v>159.5</v>
      </c>
      <c r="C840" s="22">
        <v>43270.65</v>
      </c>
      <c r="D840" s="24">
        <f t="shared" si="26"/>
        <v>1.0669679281992562E-3</v>
      </c>
      <c r="E840" s="24">
        <f t="shared" si="27"/>
        <v>-4.8491887354391765E-3</v>
      </c>
    </row>
    <row r="841" spans="1:5" x14ac:dyDescent="0.35">
      <c r="A841" s="22" t="s">
        <v>532</v>
      </c>
      <c r="B841" s="22">
        <v>159.33000000000001</v>
      </c>
      <c r="C841" s="22">
        <v>43481.5</v>
      </c>
      <c r="D841" s="24">
        <f t="shared" si="26"/>
        <v>-1.343653250773986E-2</v>
      </c>
      <c r="E841" s="24">
        <f t="shared" si="27"/>
        <v>-4.4660110594789901E-3</v>
      </c>
    </row>
    <row r="842" spans="1:5" x14ac:dyDescent="0.35">
      <c r="A842" s="22" t="s">
        <v>533</v>
      </c>
      <c r="B842" s="22">
        <v>161.5</v>
      </c>
      <c r="C842" s="22">
        <v>43676.56</v>
      </c>
      <c r="D842" s="24">
        <f t="shared" si="26"/>
        <v>1.5503875968992248E-3</v>
      </c>
      <c r="E842" s="24">
        <f t="shared" si="27"/>
        <v>5.5271513713817154E-3</v>
      </c>
    </row>
    <row r="843" spans="1:5" x14ac:dyDescent="0.35">
      <c r="A843" s="22" t="s">
        <v>534</v>
      </c>
      <c r="B843" s="22">
        <v>161.25</v>
      </c>
      <c r="C843" s="22">
        <v>43436.480000000003</v>
      </c>
      <c r="D843" s="24">
        <f t="shared" si="26"/>
        <v>-7.6312388454674689E-3</v>
      </c>
      <c r="E843" s="24">
        <f t="shared" si="27"/>
        <v>-4.2487910866625123E-3</v>
      </c>
    </row>
    <row r="844" spans="1:5" x14ac:dyDescent="0.35">
      <c r="A844" s="22" t="s">
        <v>535</v>
      </c>
      <c r="B844" s="22">
        <v>162.49</v>
      </c>
      <c r="C844" s="22">
        <v>43621.82</v>
      </c>
      <c r="D844" s="24">
        <f t="shared" si="26"/>
        <v>3.1813563627127381E-2</v>
      </c>
      <c r="E844" s="24">
        <f t="shared" si="27"/>
        <v>1.7832322271188032E-2</v>
      </c>
    </row>
    <row r="845" spans="1:5" x14ac:dyDescent="0.35">
      <c r="A845" s="23">
        <v>44903</v>
      </c>
      <c r="B845" s="22">
        <v>157.47999999999999</v>
      </c>
      <c r="C845" s="22">
        <v>42857.57</v>
      </c>
      <c r="D845" s="24">
        <f t="shared" si="26"/>
        <v>1.0134701731879307E-2</v>
      </c>
      <c r="E845" s="24">
        <f t="shared" si="27"/>
        <v>1.454052036143926E-2</v>
      </c>
    </row>
    <row r="846" spans="1:5" x14ac:dyDescent="0.35">
      <c r="A846" s="23">
        <v>44873</v>
      </c>
      <c r="B846" s="22">
        <v>155.9</v>
      </c>
      <c r="C846" s="22">
        <v>42243.33</v>
      </c>
      <c r="D846" s="24">
        <f t="shared" si="26"/>
        <v>-1.4091724314629699E-3</v>
      </c>
      <c r="E846" s="24">
        <f t="shared" si="27"/>
        <v>-5.9188348705783598E-3</v>
      </c>
    </row>
    <row r="847" spans="1:5" x14ac:dyDescent="0.35">
      <c r="A847" s="23">
        <v>44842</v>
      </c>
      <c r="B847" s="22">
        <v>156.12</v>
      </c>
      <c r="C847" s="22">
        <v>42494.85</v>
      </c>
      <c r="D847" s="24">
        <f t="shared" si="26"/>
        <v>4.010659560293145E-2</v>
      </c>
      <c r="E847" s="24">
        <f t="shared" si="27"/>
        <v>9.4690167102810269E-3</v>
      </c>
    </row>
    <row r="848" spans="1:5" x14ac:dyDescent="0.35">
      <c r="A848" s="23">
        <v>44689</v>
      </c>
      <c r="B848" s="22">
        <v>150.1</v>
      </c>
      <c r="C848" s="22">
        <v>42096.24</v>
      </c>
      <c r="D848" s="24">
        <f t="shared" si="26"/>
        <v>1.7627118644067758E-2</v>
      </c>
      <c r="E848" s="24">
        <f t="shared" si="27"/>
        <v>1.6194665249821435E-2</v>
      </c>
    </row>
    <row r="849" spans="1:5" x14ac:dyDescent="0.35">
      <c r="A849" s="23">
        <v>44659</v>
      </c>
      <c r="B849" s="22">
        <v>147.5</v>
      </c>
      <c r="C849" s="22">
        <v>41425.370000000003</v>
      </c>
      <c r="D849" s="24">
        <f t="shared" si="26"/>
        <v>1.2979877755648555E-2</v>
      </c>
      <c r="E849" s="24">
        <f t="shared" si="27"/>
        <v>8.6805407599478621E-3</v>
      </c>
    </row>
    <row r="850" spans="1:5" x14ac:dyDescent="0.35">
      <c r="A850" s="23">
        <v>44628</v>
      </c>
      <c r="B850" s="22">
        <v>145.61000000000001</v>
      </c>
      <c r="C850" s="22">
        <v>41068.870000000003</v>
      </c>
      <c r="D850" s="24">
        <f t="shared" si="26"/>
        <v>1.4562430323299911E-2</v>
      </c>
      <c r="E850" s="24">
        <f t="shared" si="27"/>
        <v>2.1826943483975934E-2</v>
      </c>
    </row>
    <row r="851" spans="1:5" x14ac:dyDescent="0.35">
      <c r="A851" s="23">
        <v>44600</v>
      </c>
      <c r="B851" s="22">
        <v>143.52000000000001</v>
      </c>
      <c r="C851" s="22">
        <v>40191.61</v>
      </c>
      <c r="D851" s="24">
        <f t="shared" si="26"/>
        <v>-3.471740036106096E-3</v>
      </c>
      <c r="E851" s="24">
        <f t="shared" si="27"/>
        <v>2.885769922916418E-3</v>
      </c>
    </row>
    <row r="852" spans="1:5" x14ac:dyDescent="0.35">
      <c r="A852" s="23">
        <v>44569</v>
      </c>
      <c r="B852" s="22">
        <v>144.02000000000001</v>
      </c>
      <c r="C852" s="22">
        <v>40075.96</v>
      </c>
      <c r="D852" s="24">
        <f t="shared" si="26"/>
        <v>7.1328671328672044E-3</v>
      </c>
      <c r="E852" s="24">
        <f t="shared" si="27"/>
        <v>-1.8530344435268189E-3</v>
      </c>
    </row>
    <row r="853" spans="1:5" x14ac:dyDescent="0.35">
      <c r="A853" s="22" t="s">
        <v>536</v>
      </c>
      <c r="B853" s="22">
        <v>143</v>
      </c>
      <c r="C853" s="22">
        <v>40150.36</v>
      </c>
      <c r="D853" s="24">
        <f t="shared" si="26"/>
        <v>7.0422535211267607E-3</v>
      </c>
      <c r="E853" s="24">
        <f t="shared" si="27"/>
        <v>-3.1353161534824862E-3</v>
      </c>
    </row>
    <row r="854" spans="1:5" x14ac:dyDescent="0.35">
      <c r="A854" s="22" t="s">
        <v>537</v>
      </c>
      <c r="B854" s="22">
        <v>142</v>
      </c>
      <c r="C854" s="22">
        <v>40276.639999999999</v>
      </c>
      <c r="D854" s="24">
        <f t="shared" si="26"/>
        <v>7.0921985815602835E-3</v>
      </c>
      <c r="E854" s="24">
        <f t="shared" si="27"/>
        <v>7.6052019581393671E-3</v>
      </c>
    </row>
    <row r="855" spans="1:5" x14ac:dyDescent="0.35">
      <c r="A855" s="22" t="s">
        <v>538</v>
      </c>
      <c r="B855" s="22">
        <v>141</v>
      </c>
      <c r="C855" s="22">
        <v>39972.639999999999</v>
      </c>
      <c r="D855" s="24">
        <f t="shared" si="26"/>
        <v>0</v>
      </c>
      <c r="E855" s="24">
        <f t="shared" si="27"/>
        <v>1.9699679526144001E-3</v>
      </c>
    </row>
    <row r="856" spans="1:5" x14ac:dyDescent="0.35">
      <c r="A856" s="22" t="s">
        <v>539</v>
      </c>
      <c r="B856" s="22">
        <v>141</v>
      </c>
      <c r="C856" s="22">
        <v>39894.050000000003</v>
      </c>
      <c r="D856" s="24">
        <f t="shared" si="26"/>
        <v>0</v>
      </c>
      <c r="E856" s="24">
        <f t="shared" si="27"/>
        <v>1.2556463931100857E-3</v>
      </c>
    </row>
    <row r="857" spans="1:5" x14ac:dyDescent="0.35">
      <c r="A857" s="22" t="s">
        <v>540</v>
      </c>
      <c r="B857" s="22">
        <v>141</v>
      </c>
      <c r="C857" s="22">
        <v>39844.019999999997</v>
      </c>
      <c r="D857" s="24">
        <f t="shared" si="26"/>
        <v>-1.0526315789473684E-2</v>
      </c>
      <c r="E857" s="24">
        <f t="shared" si="27"/>
        <v>-5.8207513979236652E-3</v>
      </c>
    </row>
    <row r="858" spans="1:5" x14ac:dyDescent="0.35">
      <c r="A858" s="22" t="s">
        <v>541</v>
      </c>
      <c r="B858" s="22">
        <v>142.5</v>
      </c>
      <c r="C858" s="22">
        <v>40077.300000000003</v>
      </c>
      <c r="D858" s="24">
        <f t="shared" si="26"/>
        <v>1.0280042538106974E-2</v>
      </c>
      <c r="E858" s="24">
        <f t="shared" si="27"/>
        <v>6.1646801860325727E-3</v>
      </c>
    </row>
    <row r="859" spans="1:5" x14ac:dyDescent="0.35">
      <c r="A859" s="22" t="s">
        <v>542</v>
      </c>
      <c r="B859" s="22">
        <v>141.05000000000001</v>
      </c>
      <c r="C859" s="22">
        <v>39831.75</v>
      </c>
      <c r="D859" s="24">
        <f t="shared" si="26"/>
        <v>-1.3291360615599702E-2</v>
      </c>
      <c r="E859" s="24">
        <f t="shared" si="27"/>
        <v>-1.5520382009752844E-2</v>
      </c>
    </row>
    <row r="860" spans="1:5" x14ac:dyDescent="0.35">
      <c r="A860" s="22" t="s">
        <v>543</v>
      </c>
      <c r="B860" s="22">
        <v>142.94999999999999</v>
      </c>
      <c r="C860" s="22">
        <v>40459.699999999997</v>
      </c>
      <c r="D860" s="24">
        <f t="shared" si="26"/>
        <v>-3.4965034965042918E-4</v>
      </c>
      <c r="E860" s="24">
        <f t="shared" si="27"/>
        <v>1.7487404389355185E-3</v>
      </c>
    </row>
    <row r="861" spans="1:5" x14ac:dyDescent="0.35">
      <c r="A861" s="22" t="s">
        <v>544</v>
      </c>
      <c r="B861" s="22">
        <v>143</v>
      </c>
      <c r="C861" s="22">
        <v>40389.07</v>
      </c>
      <c r="D861" s="24">
        <f t="shared" si="26"/>
        <v>-1.5422748554117384E-2</v>
      </c>
      <c r="E861" s="24">
        <f t="shared" si="27"/>
        <v>-2.3642937589790556E-2</v>
      </c>
    </row>
    <row r="862" spans="1:5" x14ac:dyDescent="0.35">
      <c r="A862" s="22" t="s">
        <v>545</v>
      </c>
      <c r="B862" s="22">
        <v>145.24</v>
      </c>
      <c r="C862" s="22">
        <v>41367.11</v>
      </c>
      <c r="D862" s="24">
        <f t="shared" si="26"/>
        <v>-8.1944823818628013E-3</v>
      </c>
      <c r="E862" s="24">
        <f t="shared" si="27"/>
        <v>-1.682237704132945E-2</v>
      </c>
    </row>
    <row r="863" spans="1:5" x14ac:dyDescent="0.35">
      <c r="A863" s="22" t="s">
        <v>546</v>
      </c>
      <c r="B863" s="22">
        <v>146.44</v>
      </c>
      <c r="C863" s="22">
        <v>42074.91</v>
      </c>
      <c r="D863" s="24">
        <f t="shared" si="26"/>
        <v>-3.5383777898748653E-3</v>
      </c>
      <c r="E863" s="24">
        <f t="shared" si="27"/>
        <v>-6.4700602683752662E-3</v>
      </c>
    </row>
    <row r="864" spans="1:5" x14ac:dyDescent="0.35">
      <c r="A864" s="22" t="s">
        <v>547</v>
      </c>
      <c r="B864" s="22">
        <v>146.96</v>
      </c>
      <c r="C864" s="22">
        <v>42348.91</v>
      </c>
      <c r="D864" s="24">
        <f t="shared" si="26"/>
        <v>9.2713412540347106E-3</v>
      </c>
      <c r="E864" s="24">
        <f t="shared" si="27"/>
        <v>1.1612705036002317E-2</v>
      </c>
    </row>
    <row r="865" spans="1:5" x14ac:dyDescent="0.35">
      <c r="A865" s="22" t="s">
        <v>548</v>
      </c>
      <c r="B865" s="22">
        <v>145.61000000000001</v>
      </c>
      <c r="C865" s="22">
        <v>41862.769999999997</v>
      </c>
      <c r="D865" s="24">
        <f t="shared" si="26"/>
        <v>8.3795013850416055E-3</v>
      </c>
      <c r="E865" s="24">
        <f t="shared" si="27"/>
        <v>1.2547404085863823E-2</v>
      </c>
    </row>
    <row r="866" spans="1:5" x14ac:dyDescent="0.35">
      <c r="A866" s="23">
        <v>44749</v>
      </c>
      <c r="B866" s="22">
        <v>144.4</v>
      </c>
      <c r="C866" s="22">
        <v>41344.01</v>
      </c>
      <c r="D866" s="24">
        <f t="shared" si="26"/>
        <v>-1.3140604467805361E-3</v>
      </c>
      <c r="E866" s="24">
        <f t="shared" si="27"/>
        <v>4.4757274028852231E-3</v>
      </c>
    </row>
    <row r="867" spans="1:5" x14ac:dyDescent="0.35">
      <c r="A867" s="23">
        <v>44719</v>
      </c>
      <c r="B867" s="22">
        <v>144.59</v>
      </c>
      <c r="C867" s="22">
        <v>41159.79</v>
      </c>
      <c r="D867" s="24">
        <f t="shared" si="26"/>
        <v>9.0725102938098365E-3</v>
      </c>
      <c r="E867" s="24">
        <f t="shared" si="27"/>
        <v>1.392127061641186E-3</v>
      </c>
    </row>
    <row r="868" spans="1:5" x14ac:dyDescent="0.35">
      <c r="A868" s="23">
        <v>44688</v>
      </c>
      <c r="B868" s="22">
        <v>143.29</v>
      </c>
      <c r="C868" s="22">
        <v>41102.57</v>
      </c>
      <c r="D868" s="24">
        <f t="shared" si="26"/>
        <v>-4.584925321292092E-3</v>
      </c>
      <c r="E868" s="24">
        <f t="shared" si="27"/>
        <v>-5.9402842059108904E-3</v>
      </c>
    </row>
    <row r="869" spans="1:5" x14ac:dyDescent="0.35">
      <c r="A869" s="23">
        <v>44658</v>
      </c>
      <c r="B869" s="22">
        <v>143.94999999999999</v>
      </c>
      <c r="C869" s="22">
        <v>41348.19</v>
      </c>
      <c r="D869" s="24">
        <f t="shared" si="26"/>
        <v>-3.1163434903048273E-3</v>
      </c>
      <c r="E869" s="24">
        <f t="shared" si="27"/>
        <v>-6.7777474847075803E-3</v>
      </c>
    </row>
    <row r="870" spans="1:5" x14ac:dyDescent="0.35">
      <c r="A870" s="23">
        <v>44568</v>
      </c>
      <c r="B870" s="22">
        <v>144.4</v>
      </c>
      <c r="C870" s="22">
        <v>41630.35</v>
      </c>
      <c r="D870" s="24">
        <f t="shared" si="26"/>
        <v>-1.4521817301708592E-3</v>
      </c>
      <c r="E870" s="24">
        <f t="shared" si="27"/>
        <v>2.1549882368743427E-3</v>
      </c>
    </row>
    <row r="871" spans="1:5" x14ac:dyDescent="0.35">
      <c r="A871" s="22" t="s">
        <v>549</v>
      </c>
      <c r="B871" s="22">
        <v>144.61000000000001</v>
      </c>
      <c r="C871" s="22">
        <v>41540.83</v>
      </c>
      <c r="D871" s="24">
        <f t="shared" si="26"/>
        <v>7.5947603121516395E-3</v>
      </c>
      <c r="E871" s="24">
        <f t="shared" si="27"/>
        <v>5.8865220921343261E-3</v>
      </c>
    </row>
    <row r="872" spans="1:5" x14ac:dyDescent="0.35">
      <c r="A872" s="22" t="s">
        <v>550</v>
      </c>
      <c r="B872" s="22">
        <v>143.52000000000001</v>
      </c>
      <c r="C872" s="22">
        <v>41297.730000000003</v>
      </c>
      <c r="D872" s="24">
        <f t="shared" si="26"/>
        <v>-4.0249826509367393E-3</v>
      </c>
      <c r="E872" s="24">
        <f t="shared" si="27"/>
        <v>-1.120275480167658E-2</v>
      </c>
    </row>
    <row r="873" spans="1:5" x14ac:dyDescent="0.35">
      <c r="A873" s="22" t="s">
        <v>551</v>
      </c>
      <c r="B873" s="22">
        <v>144.1</v>
      </c>
      <c r="C873" s="22">
        <v>41765.620000000003</v>
      </c>
      <c r="D873" s="24">
        <f t="shared" si="26"/>
        <v>-5.521048999309947E-3</v>
      </c>
      <c r="E873" s="24">
        <f t="shared" si="27"/>
        <v>-2.6970834964039386E-3</v>
      </c>
    </row>
    <row r="874" spans="1:5" x14ac:dyDescent="0.35">
      <c r="A874" s="22" t="s">
        <v>552</v>
      </c>
      <c r="B874" s="22">
        <v>144.9</v>
      </c>
      <c r="C874" s="22">
        <v>41878.57</v>
      </c>
      <c r="D874" s="24">
        <f t="shared" si="26"/>
        <v>9.4747108819842121E-3</v>
      </c>
      <c r="E874" s="24">
        <f t="shared" si="27"/>
        <v>2.0139925688989417E-2</v>
      </c>
    </row>
    <row r="875" spans="1:5" x14ac:dyDescent="0.35">
      <c r="A875" s="22" t="s">
        <v>553</v>
      </c>
      <c r="B875" s="22">
        <v>143.54</v>
      </c>
      <c r="C875" s="22">
        <v>41051.79</v>
      </c>
      <c r="D875" s="24">
        <f t="shared" si="26"/>
        <v>-1.8194254445964411E-2</v>
      </c>
      <c r="E875" s="24">
        <f t="shared" si="27"/>
        <v>-3.8981697437809854E-2</v>
      </c>
    </row>
    <row r="876" spans="1:5" x14ac:dyDescent="0.35">
      <c r="A876" s="22" t="s">
        <v>554</v>
      </c>
      <c r="B876" s="22">
        <v>146.19999999999999</v>
      </c>
      <c r="C876" s="22">
        <v>42716.97</v>
      </c>
      <c r="D876" s="24">
        <f t="shared" si="26"/>
        <v>8.3454031312502897E-3</v>
      </c>
      <c r="E876" s="24">
        <f t="shared" si="27"/>
        <v>6.0961219686025284E-3</v>
      </c>
    </row>
    <row r="877" spans="1:5" x14ac:dyDescent="0.35">
      <c r="A877" s="22" t="s">
        <v>555</v>
      </c>
      <c r="B877" s="22">
        <v>144.99</v>
      </c>
      <c r="C877" s="22">
        <v>42458.14</v>
      </c>
      <c r="D877" s="24">
        <f t="shared" si="26"/>
        <v>0</v>
      </c>
      <c r="E877" s="24">
        <f t="shared" si="27"/>
        <v>-1.5945557947558532E-3</v>
      </c>
    </row>
    <row r="878" spans="1:5" x14ac:dyDescent="0.35">
      <c r="A878" s="22" t="s">
        <v>556</v>
      </c>
      <c r="B878" s="22">
        <v>144.99</v>
      </c>
      <c r="C878" s="22">
        <v>42525.95</v>
      </c>
      <c r="D878" s="24">
        <f t="shared" si="26"/>
        <v>6.8750000000000634E-3</v>
      </c>
      <c r="E878" s="24">
        <f t="shared" si="27"/>
        <v>1.7927815749247403E-2</v>
      </c>
    </row>
    <row r="879" spans="1:5" x14ac:dyDescent="0.35">
      <c r="A879" s="22" t="s">
        <v>557</v>
      </c>
      <c r="B879" s="22">
        <v>144</v>
      </c>
      <c r="C879" s="22">
        <v>41776.980000000003</v>
      </c>
      <c r="D879" s="24">
        <f t="shared" si="26"/>
        <v>-6.8965517241379309E-3</v>
      </c>
      <c r="E879" s="24">
        <f t="shared" si="27"/>
        <v>-8.6324973730895881E-3</v>
      </c>
    </row>
    <row r="880" spans="1:5" x14ac:dyDescent="0.35">
      <c r="A880" s="22" t="s">
        <v>558</v>
      </c>
      <c r="B880" s="22">
        <v>145</v>
      </c>
      <c r="C880" s="22">
        <v>42140.76</v>
      </c>
      <c r="D880" s="24">
        <f t="shared" si="26"/>
        <v>6.9444444444444441E-3</v>
      </c>
      <c r="E880" s="24">
        <f t="shared" si="27"/>
        <v>9.8394063190747061E-3</v>
      </c>
    </row>
    <row r="881" spans="1:5" x14ac:dyDescent="0.35">
      <c r="A881" s="22" t="s">
        <v>559</v>
      </c>
      <c r="B881" s="22">
        <v>144</v>
      </c>
      <c r="C881" s="22">
        <v>41730.160000000003</v>
      </c>
      <c r="D881" s="24">
        <f t="shared" si="26"/>
        <v>0</v>
      </c>
      <c r="E881" s="24">
        <f t="shared" si="27"/>
        <v>7.0313346504567971E-3</v>
      </c>
    </row>
    <row r="882" spans="1:5" x14ac:dyDescent="0.35">
      <c r="A882" s="22" t="s">
        <v>560</v>
      </c>
      <c r="B882" s="22">
        <v>144</v>
      </c>
      <c r="C882" s="22">
        <v>41438.79</v>
      </c>
      <c r="D882" s="24">
        <f t="shared" si="26"/>
        <v>3.8340885325898323E-3</v>
      </c>
      <c r="E882" s="24">
        <f t="shared" si="27"/>
        <v>9.3560587976815445E-3</v>
      </c>
    </row>
    <row r="883" spans="1:5" x14ac:dyDescent="0.35">
      <c r="A883" s="22" t="s">
        <v>561</v>
      </c>
      <c r="B883" s="22">
        <v>143.44999999999999</v>
      </c>
      <c r="C883" s="22">
        <v>41054.68</v>
      </c>
      <c r="D883" s="24">
        <f t="shared" si="26"/>
        <v>-1.0553179748930896E-2</v>
      </c>
      <c r="E883" s="24">
        <f t="shared" si="27"/>
        <v>4.2747137776410083E-3</v>
      </c>
    </row>
    <row r="884" spans="1:5" x14ac:dyDescent="0.35">
      <c r="A884" s="22" t="s">
        <v>562</v>
      </c>
      <c r="B884" s="22">
        <v>144.97999999999999</v>
      </c>
      <c r="C884" s="22">
        <v>40879.93</v>
      </c>
      <c r="D884" s="24">
        <f t="shared" si="26"/>
        <v>0</v>
      </c>
      <c r="E884" s="24">
        <f t="shared" si="27"/>
        <v>-2.7009574975252793E-2</v>
      </c>
    </row>
    <row r="885" spans="1:5" x14ac:dyDescent="0.35">
      <c r="A885" s="23">
        <v>44840</v>
      </c>
      <c r="B885" s="22">
        <v>144.97999999999999</v>
      </c>
      <c r="C885" s="22">
        <v>42014.73</v>
      </c>
      <c r="D885" s="24">
        <f t="shared" si="26"/>
        <v>6.9454090845950832E-3</v>
      </c>
      <c r="E885" s="24">
        <f t="shared" si="27"/>
        <v>6.6793719372935014E-3</v>
      </c>
    </row>
    <row r="886" spans="1:5" x14ac:dyDescent="0.35">
      <c r="A886" s="23">
        <v>44810</v>
      </c>
      <c r="B886" s="22">
        <v>143.97999999999999</v>
      </c>
      <c r="C886" s="22">
        <v>41735.96</v>
      </c>
      <c r="D886" s="24">
        <f t="shared" si="26"/>
        <v>5.5594162612914583E-4</v>
      </c>
      <c r="E886" s="24">
        <f t="shared" si="27"/>
        <v>4.399184081306828E-3</v>
      </c>
    </row>
    <row r="887" spans="1:5" x14ac:dyDescent="0.35">
      <c r="A887" s="23">
        <v>44779</v>
      </c>
      <c r="B887" s="22">
        <v>143.9</v>
      </c>
      <c r="C887" s="22">
        <v>41553.160000000003</v>
      </c>
      <c r="D887" s="24">
        <f t="shared" si="26"/>
        <v>6.2937062937063332E-3</v>
      </c>
      <c r="E887" s="24">
        <f t="shared" si="27"/>
        <v>-3.6686512666710125E-4</v>
      </c>
    </row>
    <row r="888" spans="1:5" x14ac:dyDescent="0.35">
      <c r="A888" s="23">
        <v>44748</v>
      </c>
      <c r="B888" s="22">
        <v>143</v>
      </c>
      <c r="C888" s="22">
        <v>41568.410000000003</v>
      </c>
      <c r="D888" s="24">
        <f t="shared" si="26"/>
        <v>-2.0935101186323191E-3</v>
      </c>
      <c r="E888" s="24">
        <f t="shared" si="27"/>
        <v>-2.1165441355963121E-4</v>
      </c>
    </row>
    <row r="889" spans="1:5" x14ac:dyDescent="0.35">
      <c r="A889" s="23">
        <v>44718</v>
      </c>
      <c r="B889" s="22">
        <v>143.30000000000001</v>
      </c>
      <c r="C889" s="22">
        <v>41577.21</v>
      </c>
      <c r="D889" s="24">
        <f t="shared" si="26"/>
        <v>9.0838673332865327E-3</v>
      </c>
      <c r="E889" s="24">
        <f t="shared" si="27"/>
        <v>6.3495283055403223E-3</v>
      </c>
    </row>
    <row r="890" spans="1:5" x14ac:dyDescent="0.35">
      <c r="A890" s="23">
        <v>44626</v>
      </c>
      <c r="B890" s="22">
        <v>142.01</v>
      </c>
      <c r="C890" s="22">
        <v>41314.879999999997</v>
      </c>
      <c r="D890" s="24">
        <f t="shared" si="26"/>
        <v>-1.9809497515185012E-2</v>
      </c>
      <c r="E890" s="24">
        <f t="shared" si="27"/>
        <v>-2.1853117258879666E-2</v>
      </c>
    </row>
    <row r="891" spans="1:5" x14ac:dyDescent="0.35">
      <c r="A891" s="23">
        <v>44598</v>
      </c>
      <c r="B891" s="22">
        <v>144.88</v>
      </c>
      <c r="C891" s="22">
        <v>42237.91</v>
      </c>
      <c r="D891" s="24">
        <f t="shared" si="26"/>
        <v>6.1111111111110793E-3</v>
      </c>
      <c r="E891" s="24">
        <f t="shared" si="27"/>
        <v>-1.21182878489214E-2</v>
      </c>
    </row>
    <row r="892" spans="1:5" x14ac:dyDescent="0.35">
      <c r="A892" s="23">
        <v>44567</v>
      </c>
      <c r="B892" s="22">
        <v>144</v>
      </c>
      <c r="C892" s="22">
        <v>42756.04</v>
      </c>
      <c r="D892" s="24">
        <f t="shared" si="26"/>
        <v>-6.9396252602355534E-4</v>
      </c>
      <c r="E892" s="24">
        <f t="shared" si="27"/>
        <v>-7.4771102002082392E-3</v>
      </c>
    </row>
    <row r="893" spans="1:5" x14ac:dyDescent="0.35">
      <c r="A893" s="22" t="s">
        <v>563</v>
      </c>
      <c r="B893" s="22">
        <v>144.1</v>
      </c>
      <c r="C893" s="22">
        <v>43078.14</v>
      </c>
      <c r="D893" s="24">
        <f t="shared" si="26"/>
        <v>-9.621993127147805E-3</v>
      </c>
      <c r="E893" s="24">
        <f t="shared" si="27"/>
        <v>8.8289675637672187E-4</v>
      </c>
    </row>
    <row r="894" spans="1:5" x14ac:dyDescent="0.35">
      <c r="A894" s="22" t="s">
        <v>564</v>
      </c>
      <c r="B894" s="22">
        <v>145.5</v>
      </c>
      <c r="C894" s="22">
        <v>43040.14</v>
      </c>
      <c r="D894" s="24">
        <f t="shared" si="26"/>
        <v>3.4482758620689655E-3</v>
      </c>
      <c r="E894" s="24">
        <f t="shared" si="27"/>
        <v>4.1690143473914754E-3</v>
      </c>
    </row>
    <row r="895" spans="1:5" x14ac:dyDescent="0.35">
      <c r="A895" s="22" t="s">
        <v>565</v>
      </c>
      <c r="B895" s="22">
        <v>145</v>
      </c>
      <c r="C895" s="22">
        <v>42861.45</v>
      </c>
      <c r="D895" s="24">
        <f t="shared" si="26"/>
        <v>-6.8493150684931503E-3</v>
      </c>
      <c r="E895" s="24">
        <f t="shared" si="27"/>
        <v>7.5159179073901348E-3</v>
      </c>
    </row>
    <row r="896" spans="1:5" x14ac:dyDescent="0.35">
      <c r="A896" s="22" t="s">
        <v>566</v>
      </c>
      <c r="B896" s="22">
        <v>146</v>
      </c>
      <c r="C896" s="22">
        <v>42541.71</v>
      </c>
      <c r="D896" s="24">
        <f t="shared" si="26"/>
        <v>1.7152658662092624E-3</v>
      </c>
      <c r="E896" s="24">
        <f t="shared" si="27"/>
        <v>1.2592632792115414E-2</v>
      </c>
    </row>
    <row r="897" spans="1:5" x14ac:dyDescent="0.35">
      <c r="A897" s="22" t="s">
        <v>567</v>
      </c>
      <c r="B897" s="22">
        <v>145.75</v>
      </c>
      <c r="C897" s="22">
        <v>42012.66</v>
      </c>
      <c r="D897" s="24">
        <f t="shared" si="26"/>
        <v>5.1724137931034482E-3</v>
      </c>
      <c r="E897" s="24">
        <f t="shared" si="27"/>
        <v>1.4860434914442556E-3</v>
      </c>
    </row>
    <row r="898" spans="1:5" x14ac:dyDescent="0.35">
      <c r="A898" s="22" t="s">
        <v>568</v>
      </c>
      <c r="B898" s="22">
        <v>145</v>
      </c>
      <c r="C898" s="22">
        <v>41950.32</v>
      </c>
      <c r="D898" s="24">
        <f t="shared" si="26"/>
        <v>3.4494653328741895E-4</v>
      </c>
      <c r="E898" s="24">
        <f t="shared" si="27"/>
        <v>-1.1543994203615678E-2</v>
      </c>
    </row>
    <row r="899" spans="1:5" x14ac:dyDescent="0.35">
      <c r="A899" s="22" t="s">
        <v>569</v>
      </c>
      <c r="B899" s="22">
        <v>144.94999999999999</v>
      </c>
      <c r="C899" s="22">
        <v>42440.25</v>
      </c>
      <c r="D899" s="24">
        <f t="shared" si="26"/>
        <v>-1.3274336283185957E-2</v>
      </c>
      <c r="E899" s="24">
        <f t="shared" si="27"/>
        <v>-1.5323417021069197E-2</v>
      </c>
    </row>
    <row r="900" spans="1:5" x14ac:dyDescent="0.35">
      <c r="A900" s="22" t="s">
        <v>570</v>
      </c>
      <c r="B900" s="22">
        <v>146.9</v>
      </c>
      <c r="C900" s="22">
        <v>43100.7</v>
      </c>
      <c r="D900" s="24">
        <f t="shared" si="26"/>
        <v>1.3802622498274672E-2</v>
      </c>
      <c r="E900" s="24">
        <f t="shared" si="27"/>
        <v>2.7277940695779423E-3</v>
      </c>
    </row>
    <row r="901" spans="1:5" x14ac:dyDescent="0.35">
      <c r="A901" s="22" t="s">
        <v>571</v>
      </c>
      <c r="B901" s="22">
        <v>144.9</v>
      </c>
      <c r="C901" s="22">
        <v>42983.45</v>
      </c>
      <c r="D901" s="24">
        <f t="shared" ref="D901:D964" si="28">(B901-B902)/B902</f>
        <v>-6.8965517241375391E-4</v>
      </c>
      <c r="E901" s="24">
        <f t="shared" ref="E901:E964" si="29">(C901-C902)/C902</f>
        <v>-1.0093690269896468E-3</v>
      </c>
    </row>
    <row r="902" spans="1:5" x14ac:dyDescent="0.35">
      <c r="A902" s="22" t="s">
        <v>572</v>
      </c>
      <c r="B902" s="22">
        <v>145</v>
      </c>
      <c r="C902" s="22">
        <v>43026.879999999997</v>
      </c>
      <c r="D902" s="24">
        <f t="shared" si="28"/>
        <v>3.4602076124567475E-3</v>
      </c>
      <c r="E902" s="24">
        <f t="shared" si="29"/>
        <v>7.040667920234155E-3</v>
      </c>
    </row>
    <row r="903" spans="1:5" x14ac:dyDescent="0.35">
      <c r="A903" s="22" t="s">
        <v>573</v>
      </c>
      <c r="B903" s="22">
        <v>144.5</v>
      </c>
      <c r="C903" s="22">
        <v>42726.06</v>
      </c>
      <c r="D903" s="24">
        <f t="shared" si="28"/>
        <v>-1.189824945295411E-2</v>
      </c>
      <c r="E903" s="24">
        <f t="shared" si="29"/>
        <v>1.3766976693168908E-3</v>
      </c>
    </row>
    <row r="904" spans="1:5" x14ac:dyDescent="0.35">
      <c r="A904" s="22" t="s">
        <v>574</v>
      </c>
      <c r="B904" s="22">
        <v>146.24</v>
      </c>
      <c r="C904" s="22">
        <v>42667.32</v>
      </c>
      <c r="D904" s="24">
        <f t="shared" si="28"/>
        <v>-5.5083304998300052E-3</v>
      </c>
      <c r="E904" s="24">
        <f t="shared" si="29"/>
        <v>-1.8836667781189809E-2</v>
      </c>
    </row>
    <row r="905" spans="1:5" x14ac:dyDescent="0.35">
      <c r="A905" s="22" t="s">
        <v>575</v>
      </c>
      <c r="B905" s="22">
        <v>147.05000000000001</v>
      </c>
      <c r="C905" s="22">
        <v>43486.46</v>
      </c>
      <c r="D905" s="24">
        <f t="shared" si="28"/>
        <v>-7.7597840755733961E-3</v>
      </c>
      <c r="E905" s="24">
        <f t="shared" si="29"/>
        <v>1.3707258352518105E-2</v>
      </c>
    </row>
    <row r="906" spans="1:5" x14ac:dyDescent="0.35">
      <c r="A906" s="23">
        <v>44900</v>
      </c>
      <c r="B906" s="22">
        <v>148.19999999999999</v>
      </c>
      <c r="C906" s="22">
        <v>42898.44</v>
      </c>
      <c r="D906" s="24">
        <f t="shared" si="28"/>
        <v>1.5068493150684854E-2</v>
      </c>
      <c r="E906" s="24">
        <f t="shared" si="29"/>
        <v>8.2331793160327397E-4</v>
      </c>
    </row>
    <row r="907" spans="1:5" x14ac:dyDescent="0.35">
      <c r="A907" s="23">
        <v>44870</v>
      </c>
      <c r="B907" s="22">
        <v>146</v>
      </c>
      <c r="C907" s="22">
        <v>42863.15</v>
      </c>
      <c r="D907" s="24">
        <f t="shared" si="28"/>
        <v>-2.6666666666666668E-2</v>
      </c>
      <c r="E907" s="24">
        <f t="shared" si="29"/>
        <v>-1.4738982483594728E-2</v>
      </c>
    </row>
    <row r="908" spans="1:5" x14ac:dyDescent="0.35">
      <c r="A908" s="23">
        <v>44839</v>
      </c>
      <c r="B908" s="22">
        <v>150</v>
      </c>
      <c r="C908" s="22">
        <v>43504.36</v>
      </c>
      <c r="D908" s="24">
        <f t="shared" si="28"/>
        <v>0</v>
      </c>
      <c r="E908" s="24">
        <f t="shared" si="29"/>
        <v>2.563077942734754E-3</v>
      </c>
    </row>
    <row r="909" spans="1:5" x14ac:dyDescent="0.35">
      <c r="A909" s="23">
        <v>44809</v>
      </c>
      <c r="B909" s="22">
        <v>150</v>
      </c>
      <c r="C909" s="22">
        <v>43393.14</v>
      </c>
      <c r="D909" s="24">
        <f t="shared" si="28"/>
        <v>-3.1633311814073632E-2</v>
      </c>
      <c r="E909" s="24">
        <f t="shared" si="29"/>
        <v>-3.2284653198726747E-2</v>
      </c>
    </row>
    <row r="910" spans="1:5" x14ac:dyDescent="0.35">
      <c r="A910" s="23">
        <v>44717</v>
      </c>
      <c r="B910" s="22">
        <v>154.9</v>
      </c>
      <c r="C910" s="22">
        <v>44840.81</v>
      </c>
      <c r="D910" s="24">
        <f t="shared" si="28"/>
        <v>9.1205211726384742E-3</v>
      </c>
      <c r="E910" s="24">
        <f t="shared" si="29"/>
        <v>-9.0299519927443429E-3</v>
      </c>
    </row>
    <row r="911" spans="1:5" x14ac:dyDescent="0.35">
      <c r="A911" s="22" t="s">
        <v>576</v>
      </c>
      <c r="B911" s="22">
        <v>153.5</v>
      </c>
      <c r="C911" s="22">
        <v>45249.41</v>
      </c>
      <c r="D911" s="24">
        <f t="shared" si="28"/>
        <v>-3.246753246753247E-3</v>
      </c>
      <c r="E911" s="24">
        <f t="shared" si="29"/>
        <v>-6.234777624288145E-3</v>
      </c>
    </row>
    <row r="912" spans="1:5" x14ac:dyDescent="0.35">
      <c r="A912" s="22" t="s">
        <v>577</v>
      </c>
      <c r="B912" s="22">
        <v>154</v>
      </c>
      <c r="C912" s="22">
        <v>45533.3</v>
      </c>
      <c r="D912" s="24">
        <f t="shared" si="28"/>
        <v>6.5359477124183009E-3</v>
      </c>
      <c r="E912" s="24">
        <f t="shared" si="29"/>
        <v>-6.206557426425118E-3</v>
      </c>
    </row>
    <row r="913" spans="1:5" x14ac:dyDescent="0.35">
      <c r="A913" s="22" t="s">
        <v>578</v>
      </c>
      <c r="B913" s="22">
        <v>153</v>
      </c>
      <c r="C913" s="22">
        <v>45817.67</v>
      </c>
      <c r="D913" s="24">
        <f t="shared" si="28"/>
        <v>-4.5543266102796923E-3</v>
      </c>
      <c r="E913" s="24">
        <f t="shared" si="29"/>
        <v>-5.5472535581926989E-3</v>
      </c>
    </row>
    <row r="914" spans="1:5" x14ac:dyDescent="0.35">
      <c r="A914" s="22" t="s">
        <v>579</v>
      </c>
      <c r="B914" s="22">
        <v>153.69999999999999</v>
      </c>
      <c r="C914" s="22">
        <v>46073.25</v>
      </c>
      <c r="D914" s="24">
        <f t="shared" si="28"/>
        <v>-1.429313929313922E-3</v>
      </c>
      <c r="E914" s="24">
        <f t="shared" si="29"/>
        <v>1.1420318565048009E-2</v>
      </c>
    </row>
    <row r="915" spans="1:5" x14ac:dyDescent="0.35">
      <c r="A915" s="22" t="s">
        <v>580</v>
      </c>
      <c r="B915" s="22">
        <v>153.91999999999999</v>
      </c>
      <c r="C915" s="22">
        <v>45553.02</v>
      </c>
      <c r="D915" s="24">
        <f t="shared" si="28"/>
        <v>-1.8158236057068816E-3</v>
      </c>
      <c r="E915" s="24">
        <f t="shared" si="29"/>
        <v>-2.181692967457417E-3</v>
      </c>
    </row>
    <row r="916" spans="1:5" x14ac:dyDescent="0.35">
      <c r="A916" s="22" t="s">
        <v>581</v>
      </c>
      <c r="B916" s="22">
        <v>154.19999999999999</v>
      </c>
      <c r="C916" s="22">
        <v>45652.62</v>
      </c>
      <c r="D916" s="24">
        <f t="shared" si="28"/>
        <v>4.1023637429185092E-3</v>
      </c>
      <c r="E916" s="24">
        <f t="shared" si="29"/>
        <v>-6.32390109866193E-3</v>
      </c>
    </row>
    <row r="917" spans="1:5" x14ac:dyDescent="0.35">
      <c r="A917" s="22" t="s">
        <v>582</v>
      </c>
      <c r="B917" s="22">
        <v>153.57</v>
      </c>
      <c r="C917" s="22">
        <v>45943.16</v>
      </c>
      <c r="D917" s="24">
        <f t="shared" si="28"/>
        <v>-9.4175320905631674E-3</v>
      </c>
      <c r="E917" s="24">
        <f t="shared" si="29"/>
        <v>-8.4215778868615854E-3</v>
      </c>
    </row>
    <row r="918" spans="1:5" x14ac:dyDescent="0.35">
      <c r="A918" s="22" t="s">
        <v>583</v>
      </c>
      <c r="B918" s="22">
        <v>155.03</v>
      </c>
      <c r="C918" s="22">
        <v>46333.36</v>
      </c>
      <c r="D918" s="24">
        <f t="shared" si="28"/>
        <v>6.6883116883116956E-3</v>
      </c>
      <c r="E918" s="24">
        <f t="shared" si="29"/>
        <v>-4.4312809803437447E-3</v>
      </c>
    </row>
    <row r="919" spans="1:5" x14ac:dyDescent="0.35">
      <c r="A919" s="22" t="s">
        <v>584</v>
      </c>
      <c r="B919" s="22">
        <v>154</v>
      </c>
      <c r="C919" s="22">
        <v>46539.59</v>
      </c>
      <c r="D919" s="24">
        <f t="shared" si="28"/>
        <v>-6.3875088715401578E-3</v>
      </c>
      <c r="E919" s="24">
        <f t="shared" si="29"/>
        <v>-1.3293552101498012E-3</v>
      </c>
    </row>
    <row r="920" spans="1:5" x14ac:dyDescent="0.35">
      <c r="A920" s="22" t="s">
        <v>585</v>
      </c>
      <c r="B920" s="22">
        <v>154.99</v>
      </c>
      <c r="C920" s="22">
        <v>46601.54</v>
      </c>
      <c r="D920" s="24">
        <f t="shared" si="28"/>
        <v>-6.4516129032199385E-5</v>
      </c>
      <c r="E920" s="24">
        <f t="shared" si="29"/>
        <v>2.5193381956065846E-3</v>
      </c>
    </row>
    <row r="921" spans="1:5" x14ac:dyDescent="0.35">
      <c r="A921" s="22" t="s">
        <v>586</v>
      </c>
      <c r="B921" s="22">
        <v>155</v>
      </c>
      <c r="C921" s="22">
        <v>46484.43</v>
      </c>
      <c r="D921" s="24">
        <f t="shared" si="28"/>
        <v>0</v>
      </c>
      <c r="E921" s="24">
        <f t="shared" si="29"/>
        <v>6.9084056275790428E-3</v>
      </c>
    </row>
    <row r="922" spans="1:5" x14ac:dyDescent="0.35">
      <c r="A922" s="22" t="s">
        <v>587</v>
      </c>
      <c r="B922" s="22">
        <v>155</v>
      </c>
      <c r="C922" s="22">
        <v>46165.5</v>
      </c>
      <c r="D922" s="24">
        <f t="shared" si="28"/>
        <v>0</v>
      </c>
      <c r="E922" s="24">
        <f t="shared" si="29"/>
        <v>-5.20952971582468E-3</v>
      </c>
    </row>
    <row r="923" spans="1:5" x14ac:dyDescent="0.35">
      <c r="A923" s="23">
        <v>44899</v>
      </c>
      <c r="B923" s="22">
        <v>155</v>
      </c>
      <c r="C923" s="22">
        <v>46407.26</v>
      </c>
      <c r="D923" s="24">
        <f t="shared" si="28"/>
        <v>-6.41025641025641E-3</v>
      </c>
      <c r="E923" s="24">
        <f t="shared" si="29"/>
        <v>5.6842610763993056E-3</v>
      </c>
    </row>
    <row r="924" spans="1:5" x14ac:dyDescent="0.35">
      <c r="A924" s="23">
        <v>44869</v>
      </c>
      <c r="B924" s="22">
        <v>156</v>
      </c>
      <c r="C924" s="22">
        <v>46144.959999999999</v>
      </c>
      <c r="D924" s="24">
        <f t="shared" si="28"/>
        <v>2.6315789473684209E-2</v>
      </c>
      <c r="E924" s="24">
        <f t="shared" si="29"/>
        <v>3.8258433311778341E-2</v>
      </c>
    </row>
    <row r="925" spans="1:5" x14ac:dyDescent="0.35">
      <c r="A925" s="23">
        <v>44777</v>
      </c>
      <c r="B925" s="22">
        <v>152</v>
      </c>
      <c r="C925" s="22">
        <v>44444.58</v>
      </c>
      <c r="D925" s="24">
        <f t="shared" si="28"/>
        <v>6.58327847267902E-4</v>
      </c>
      <c r="E925" s="24">
        <f t="shared" si="29"/>
        <v>1.5021640068486346E-2</v>
      </c>
    </row>
    <row r="926" spans="1:5" x14ac:dyDescent="0.35">
      <c r="A926" s="23">
        <v>44746</v>
      </c>
      <c r="B926" s="22">
        <v>151.9</v>
      </c>
      <c r="C926" s="22">
        <v>43786.83</v>
      </c>
      <c r="D926" s="24">
        <f t="shared" si="28"/>
        <v>-1.9999999999999962E-2</v>
      </c>
      <c r="E926" s="24">
        <f t="shared" si="29"/>
        <v>-7.3512109197004108E-3</v>
      </c>
    </row>
    <row r="927" spans="1:5" x14ac:dyDescent="0.35">
      <c r="A927" s="23">
        <v>44716</v>
      </c>
      <c r="B927" s="22">
        <v>155</v>
      </c>
      <c r="C927" s="22">
        <v>44111.1</v>
      </c>
      <c r="D927" s="24">
        <f t="shared" si="28"/>
        <v>-6.41025641025641E-3</v>
      </c>
      <c r="E927" s="24">
        <f t="shared" si="29"/>
        <v>4.1663555520750463E-3</v>
      </c>
    </row>
    <row r="928" spans="1:5" x14ac:dyDescent="0.35">
      <c r="A928" s="23">
        <v>44685</v>
      </c>
      <c r="B928" s="22">
        <v>156</v>
      </c>
      <c r="C928" s="22">
        <v>43928.08</v>
      </c>
      <c r="D928" s="24">
        <f t="shared" si="28"/>
        <v>0</v>
      </c>
      <c r="E928" s="24">
        <f t="shared" si="29"/>
        <v>5.9313872430531408E-4</v>
      </c>
    </row>
    <row r="929" spans="1:5" x14ac:dyDescent="0.35">
      <c r="A929" s="23">
        <v>44655</v>
      </c>
      <c r="B929" s="22">
        <v>156</v>
      </c>
      <c r="C929" s="22">
        <v>43902.04</v>
      </c>
      <c r="D929" s="24">
        <f t="shared" si="28"/>
        <v>-2.5634452704429659E-4</v>
      </c>
      <c r="E929" s="24">
        <f t="shared" si="29"/>
        <v>-2.7685749348147843E-2</v>
      </c>
    </row>
    <row r="930" spans="1:5" x14ac:dyDescent="0.35">
      <c r="A930" s="23">
        <v>44565</v>
      </c>
      <c r="B930" s="22">
        <v>156.04</v>
      </c>
      <c r="C930" s="22">
        <v>45152.11</v>
      </c>
      <c r="D930" s="24">
        <f t="shared" si="28"/>
        <v>-1.7070866141732335E-2</v>
      </c>
      <c r="E930" s="24">
        <f t="shared" si="29"/>
        <v>4.9696375356313265E-3</v>
      </c>
    </row>
    <row r="931" spans="1:5" x14ac:dyDescent="0.35">
      <c r="A931" s="22" t="s">
        <v>588</v>
      </c>
      <c r="B931" s="22">
        <v>158.75</v>
      </c>
      <c r="C931" s="22">
        <v>44928.83</v>
      </c>
      <c r="D931" s="24">
        <f t="shared" si="28"/>
        <v>2.4854744996772073E-2</v>
      </c>
      <c r="E931" s="24">
        <f t="shared" si="29"/>
        <v>1.3335645894812526E-2</v>
      </c>
    </row>
    <row r="932" spans="1:5" x14ac:dyDescent="0.35">
      <c r="A932" s="22" t="s">
        <v>589</v>
      </c>
      <c r="B932" s="22">
        <v>154.9</v>
      </c>
      <c r="C932" s="22">
        <v>44337.56</v>
      </c>
      <c r="D932" s="24">
        <f t="shared" si="28"/>
        <v>-6.45161290322544E-4</v>
      </c>
      <c r="E932" s="24">
        <f t="shared" si="29"/>
        <v>-2.2759441657834146E-3</v>
      </c>
    </row>
    <row r="933" spans="1:5" x14ac:dyDescent="0.35">
      <c r="A933" s="22" t="s">
        <v>590</v>
      </c>
      <c r="B933" s="22">
        <v>155</v>
      </c>
      <c r="C933" s="22">
        <v>44438.7</v>
      </c>
      <c r="D933" s="24">
        <f t="shared" si="28"/>
        <v>9.7719869706840382E-3</v>
      </c>
      <c r="E933" s="24">
        <f t="shared" si="29"/>
        <v>1.1497816247988997E-2</v>
      </c>
    </row>
    <row r="934" spans="1:5" x14ac:dyDescent="0.35">
      <c r="A934" s="22" t="s">
        <v>591</v>
      </c>
      <c r="B934" s="22">
        <v>153.5</v>
      </c>
      <c r="C934" s="22">
        <v>43933.56</v>
      </c>
      <c r="D934" s="24">
        <f t="shared" si="28"/>
        <v>-1.6025641025641024E-2</v>
      </c>
      <c r="E934" s="24">
        <f t="shared" si="29"/>
        <v>8.7809412107237202E-3</v>
      </c>
    </row>
    <row r="935" spans="1:5" x14ac:dyDescent="0.35">
      <c r="A935" s="22" t="s">
        <v>592</v>
      </c>
      <c r="B935" s="22">
        <v>156</v>
      </c>
      <c r="C935" s="22">
        <v>43551.14</v>
      </c>
      <c r="D935" s="24">
        <f t="shared" si="28"/>
        <v>-1.9193857965451781E-3</v>
      </c>
      <c r="E935" s="24">
        <f t="shared" si="29"/>
        <v>6.5690084795115415E-4</v>
      </c>
    </row>
    <row r="936" spans="1:5" x14ac:dyDescent="0.35">
      <c r="A936" s="22" t="s">
        <v>593</v>
      </c>
      <c r="B936" s="22">
        <v>156.30000000000001</v>
      </c>
      <c r="C936" s="22">
        <v>43522.55</v>
      </c>
      <c r="D936" s="24">
        <f t="shared" si="28"/>
        <v>-1.0759493670886003E-2</v>
      </c>
      <c r="E936" s="24">
        <f t="shared" si="29"/>
        <v>7.3780564158839315E-3</v>
      </c>
    </row>
    <row r="937" spans="1:5" x14ac:dyDescent="0.35">
      <c r="A937" s="22" t="s">
        <v>594</v>
      </c>
      <c r="B937" s="22">
        <v>158</v>
      </c>
      <c r="C937" s="22">
        <v>43203.79</v>
      </c>
      <c r="D937" s="24">
        <f t="shared" si="28"/>
        <v>0</v>
      </c>
      <c r="E937" s="24">
        <f t="shared" si="29"/>
        <v>-6.1137787408901208E-4</v>
      </c>
    </row>
    <row r="938" spans="1:5" x14ac:dyDescent="0.35">
      <c r="A938" s="22" t="s">
        <v>595</v>
      </c>
      <c r="B938" s="22">
        <v>158</v>
      </c>
      <c r="C938" s="22">
        <v>43230.22</v>
      </c>
      <c r="D938" s="24">
        <f t="shared" si="28"/>
        <v>-3.1545741324921135E-3</v>
      </c>
      <c r="E938" s="24">
        <f t="shared" si="29"/>
        <v>4.6537332003717411E-3</v>
      </c>
    </row>
    <row r="939" spans="1:5" x14ac:dyDescent="0.35">
      <c r="A939" s="22" t="s">
        <v>596</v>
      </c>
      <c r="B939" s="22">
        <v>158.5</v>
      </c>
      <c r="C939" s="22">
        <v>43029.97</v>
      </c>
      <c r="D939" s="24">
        <f t="shared" si="28"/>
        <v>-3.477254734790821E-2</v>
      </c>
      <c r="E939" s="24">
        <f t="shared" si="29"/>
        <v>-1.7742733334200816E-2</v>
      </c>
    </row>
    <row r="940" spans="1:5" x14ac:dyDescent="0.35">
      <c r="A940" s="22" t="s">
        <v>597</v>
      </c>
      <c r="B940" s="22">
        <v>164.21</v>
      </c>
      <c r="C940" s="22">
        <v>43807.23</v>
      </c>
      <c r="D940" s="24">
        <f t="shared" si="28"/>
        <v>-1.9056152927120654E-2</v>
      </c>
      <c r="E940" s="24">
        <f t="shared" si="29"/>
        <v>-3.8307528545885039E-3</v>
      </c>
    </row>
    <row r="941" spans="1:5" x14ac:dyDescent="0.35">
      <c r="A941" s="22" t="s">
        <v>598</v>
      </c>
      <c r="B941" s="22">
        <v>167.4</v>
      </c>
      <c r="C941" s="22">
        <v>43975.69</v>
      </c>
      <c r="D941" s="24">
        <f t="shared" si="28"/>
        <v>2.8255528255528219E-2</v>
      </c>
      <c r="E941" s="24">
        <f t="shared" si="29"/>
        <v>5.8524943606813257E-3</v>
      </c>
    </row>
    <row r="942" spans="1:5" x14ac:dyDescent="0.35">
      <c r="A942" s="22" t="s">
        <v>599</v>
      </c>
      <c r="B942" s="22">
        <v>162.80000000000001</v>
      </c>
      <c r="C942" s="22">
        <v>43719.82</v>
      </c>
      <c r="D942" s="24">
        <f t="shared" si="28"/>
        <v>5.2019386106623662E-2</v>
      </c>
      <c r="E942" s="24">
        <f t="shared" si="29"/>
        <v>8.1382363365231011E-3</v>
      </c>
    </row>
    <row r="943" spans="1:5" x14ac:dyDescent="0.35">
      <c r="A943" s="22" t="s">
        <v>600</v>
      </c>
      <c r="B943" s="22">
        <v>154.75</v>
      </c>
      <c r="C943" s="22">
        <v>43366.89</v>
      </c>
      <c r="D943" s="24">
        <f t="shared" si="28"/>
        <v>1.6181229773462784E-3</v>
      </c>
      <c r="E943" s="24">
        <f t="shared" si="29"/>
        <v>-6.5616987295127847E-3</v>
      </c>
    </row>
    <row r="944" spans="1:5" x14ac:dyDescent="0.35">
      <c r="A944" s="23">
        <v>44868</v>
      </c>
      <c r="B944" s="22">
        <v>154.5</v>
      </c>
      <c r="C944" s="22">
        <v>43653.33</v>
      </c>
      <c r="D944" s="24">
        <f t="shared" si="28"/>
        <v>1.2981904012588445E-2</v>
      </c>
      <c r="E944" s="24">
        <f t="shared" si="29"/>
        <v>-4.567239831056156E-3</v>
      </c>
    </row>
    <row r="945" spans="1:5" x14ac:dyDescent="0.35">
      <c r="A945" s="23">
        <v>44837</v>
      </c>
      <c r="B945" s="22">
        <v>152.52000000000001</v>
      </c>
      <c r="C945" s="22">
        <v>43853.62</v>
      </c>
      <c r="D945" s="24">
        <f t="shared" si="28"/>
        <v>1.0066225165562982E-2</v>
      </c>
      <c r="E945" s="24">
        <f t="shared" si="29"/>
        <v>1.8833741917377512E-2</v>
      </c>
    </row>
    <row r="946" spans="1:5" x14ac:dyDescent="0.35">
      <c r="A946" s="23">
        <v>44807</v>
      </c>
      <c r="B946" s="22">
        <v>151</v>
      </c>
      <c r="C946" s="22">
        <v>43042.96</v>
      </c>
      <c r="D946" s="24">
        <f t="shared" si="28"/>
        <v>1.9581363943281607E-2</v>
      </c>
      <c r="E946" s="24">
        <f t="shared" si="29"/>
        <v>3.8390003346677423E-3</v>
      </c>
    </row>
    <row r="947" spans="1:5" x14ac:dyDescent="0.35">
      <c r="A947" s="23">
        <v>44776</v>
      </c>
      <c r="B947" s="22">
        <v>148.1</v>
      </c>
      <c r="C947" s="22">
        <v>42878.35</v>
      </c>
      <c r="D947" s="24">
        <f t="shared" si="28"/>
        <v>6.7567567567563722E-4</v>
      </c>
      <c r="E947" s="24">
        <f t="shared" si="29"/>
        <v>-8.9819092947808141E-3</v>
      </c>
    </row>
    <row r="948" spans="1:5" x14ac:dyDescent="0.35">
      <c r="A948" s="23">
        <v>44745</v>
      </c>
      <c r="B948" s="22">
        <v>148</v>
      </c>
      <c r="C948" s="22">
        <v>43266.97</v>
      </c>
      <c r="D948" s="24">
        <f t="shared" si="28"/>
        <v>4.2400338075785395E-2</v>
      </c>
      <c r="E948" s="24">
        <f t="shared" si="29"/>
        <v>-2.8829204951140591E-2</v>
      </c>
    </row>
    <row r="949" spans="1:5" x14ac:dyDescent="0.35">
      <c r="A949" s="23">
        <v>44654</v>
      </c>
      <c r="B949" s="22">
        <v>141.97999999999999</v>
      </c>
      <c r="C949" s="22">
        <v>44551.35</v>
      </c>
      <c r="D949" s="24">
        <f t="shared" si="28"/>
        <v>1.414285714285707E-2</v>
      </c>
      <c r="E949" s="24">
        <f t="shared" si="29"/>
        <v>5.7562235939132218E-4</v>
      </c>
    </row>
    <row r="950" spans="1:5" x14ac:dyDescent="0.35">
      <c r="A950" s="23">
        <v>44623</v>
      </c>
      <c r="B950" s="22">
        <v>140</v>
      </c>
      <c r="C950" s="22">
        <v>44525.72</v>
      </c>
      <c r="D950" s="24">
        <f t="shared" si="28"/>
        <v>-1.3320177602367938E-2</v>
      </c>
      <c r="E950" s="24">
        <f t="shared" si="29"/>
        <v>2.605914707512705E-4</v>
      </c>
    </row>
    <row r="951" spans="1:5" x14ac:dyDescent="0.35">
      <c r="A951" s="23">
        <v>44595</v>
      </c>
      <c r="B951" s="22">
        <v>141.88999999999999</v>
      </c>
      <c r="C951" s="22">
        <v>44514.12</v>
      </c>
      <c r="D951" s="24">
        <f t="shared" si="28"/>
        <v>-1.4652777777777872E-2</v>
      </c>
      <c r="E951" s="24">
        <f t="shared" si="29"/>
        <v>-6.4606444395737825E-3</v>
      </c>
    </row>
    <row r="952" spans="1:5" x14ac:dyDescent="0.35">
      <c r="A952" s="23">
        <v>44564</v>
      </c>
      <c r="B952" s="22">
        <v>144</v>
      </c>
      <c r="C952" s="22">
        <v>44803.58</v>
      </c>
      <c r="D952" s="24">
        <f t="shared" si="28"/>
        <v>6.9492703266153105E-4</v>
      </c>
      <c r="E952" s="24">
        <f t="shared" si="29"/>
        <v>7.7049531713292091E-3</v>
      </c>
    </row>
    <row r="953" spans="1:5" x14ac:dyDescent="0.35">
      <c r="A953" s="22" t="s">
        <v>601</v>
      </c>
      <c r="B953" s="22">
        <v>143.9</v>
      </c>
      <c r="C953" s="22">
        <v>44461.01</v>
      </c>
      <c r="D953" s="24">
        <f t="shared" si="28"/>
        <v>5.9419783292554646E-3</v>
      </c>
      <c r="E953" s="24">
        <f t="shared" si="29"/>
        <v>1.0839564353050186E-2</v>
      </c>
    </row>
    <row r="954" spans="1:5" x14ac:dyDescent="0.35">
      <c r="A954" s="22" t="s">
        <v>602</v>
      </c>
      <c r="B954" s="22">
        <v>143.05000000000001</v>
      </c>
      <c r="C954" s="22">
        <v>43984.24</v>
      </c>
      <c r="D954" s="24">
        <f t="shared" si="28"/>
        <v>-7.6837105336675904E-4</v>
      </c>
      <c r="E954" s="24">
        <f t="shared" si="29"/>
        <v>3.5073742012127151E-3</v>
      </c>
    </row>
    <row r="955" spans="1:5" x14ac:dyDescent="0.35">
      <c r="A955" s="22" t="s">
        <v>603</v>
      </c>
      <c r="B955" s="22">
        <v>143.16</v>
      </c>
      <c r="C955" s="22">
        <v>43830.51</v>
      </c>
      <c r="D955" s="24">
        <f t="shared" si="28"/>
        <v>-4.4261966753454805E-2</v>
      </c>
      <c r="E955" s="24">
        <f t="shared" si="29"/>
        <v>-2.885720666865774E-2</v>
      </c>
    </row>
    <row r="956" spans="1:5" x14ac:dyDescent="0.35">
      <c r="A956" s="22" t="s">
        <v>604</v>
      </c>
      <c r="B956" s="22">
        <v>149.79</v>
      </c>
      <c r="C956" s="22">
        <v>45132.92</v>
      </c>
      <c r="D956" s="24">
        <f t="shared" si="28"/>
        <v>-1.3334222281486568E-3</v>
      </c>
      <c r="E956" s="24">
        <f t="shared" si="29"/>
        <v>2.6823850788830483E-3</v>
      </c>
    </row>
    <row r="957" spans="1:5" x14ac:dyDescent="0.35">
      <c r="A957" s="22" t="s">
        <v>605</v>
      </c>
      <c r="B957" s="22">
        <v>149.99</v>
      </c>
      <c r="C957" s="22">
        <v>45012.18</v>
      </c>
      <c r="D957" s="24">
        <f t="shared" si="28"/>
        <v>-6.6666666666606036E-5</v>
      </c>
      <c r="E957" s="24">
        <f t="shared" si="29"/>
        <v>-7.730334403592329E-3</v>
      </c>
    </row>
    <row r="958" spans="1:5" x14ac:dyDescent="0.35">
      <c r="A958" s="22" t="s">
        <v>606</v>
      </c>
      <c r="B958" s="22">
        <v>150</v>
      </c>
      <c r="C958" s="22">
        <v>45362.85</v>
      </c>
      <c r="D958" s="24">
        <f t="shared" si="28"/>
        <v>6.6711140760503215E-4</v>
      </c>
      <c r="E958" s="24">
        <f t="shared" si="29"/>
        <v>-6.853071435749424E-3</v>
      </c>
    </row>
    <row r="959" spans="1:5" x14ac:dyDescent="0.35">
      <c r="A959" s="22" t="s">
        <v>607</v>
      </c>
      <c r="B959" s="22">
        <v>149.9</v>
      </c>
      <c r="C959" s="22">
        <v>45675.87</v>
      </c>
      <c r="D959" s="24">
        <f t="shared" si="28"/>
        <v>0</v>
      </c>
      <c r="E959" s="24">
        <f t="shared" si="29"/>
        <v>5.1664682413058681E-3</v>
      </c>
    </row>
    <row r="960" spans="1:5" x14ac:dyDescent="0.35">
      <c r="A960" s="22" t="s">
        <v>608</v>
      </c>
      <c r="B960" s="22">
        <v>149.9</v>
      </c>
      <c r="C960" s="22">
        <v>45441.1</v>
      </c>
      <c r="D960" s="24">
        <f t="shared" si="28"/>
        <v>1.6036349057865101E-3</v>
      </c>
      <c r="E960" s="24">
        <f t="shared" si="29"/>
        <v>-5.3343781739222749E-3</v>
      </c>
    </row>
    <row r="961" spans="1:5" x14ac:dyDescent="0.35">
      <c r="A961" s="22" t="s">
        <v>609</v>
      </c>
      <c r="B961" s="22">
        <v>149.66</v>
      </c>
      <c r="C961" s="22">
        <v>45684.800000000003</v>
      </c>
      <c r="D961" s="24">
        <f t="shared" si="28"/>
        <v>-2.2001466764451794E-3</v>
      </c>
      <c r="E961" s="24">
        <f t="shared" si="29"/>
        <v>-1.0255468307540324E-3</v>
      </c>
    </row>
    <row r="962" spans="1:5" x14ac:dyDescent="0.35">
      <c r="A962" s="22" t="s">
        <v>610</v>
      </c>
      <c r="B962" s="22">
        <v>149.99</v>
      </c>
      <c r="C962" s="22">
        <v>45731.7</v>
      </c>
      <c r="D962" s="24">
        <f t="shared" si="28"/>
        <v>-6.6666666666606036E-5</v>
      </c>
      <c r="E962" s="24">
        <f t="shared" si="29"/>
        <v>1.9194160733624131E-3</v>
      </c>
    </row>
    <row r="963" spans="1:5" x14ac:dyDescent="0.35">
      <c r="A963" s="22" t="s">
        <v>611</v>
      </c>
      <c r="B963" s="22">
        <v>150</v>
      </c>
      <c r="C963" s="22">
        <v>45644.09</v>
      </c>
      <c r="D963" s="24">
        <f t="shared" si="28"/>
        <v>-7.739630879142605E-3</v>
      </c>
      <c r="E963" s="24">
        <f t="shared" si="29"/>
        <v>-9.446309704321176E-3</v>
      </c>
    </row>
    <row r="964" spans="1:5" x14ac:dyDescent="0.35">
      <c r="A964" s="23">
        <v>44867</v>
      </c>
      <c r="B964" s="22">
        <v>151.16999999999999</v>
      </c>
      <c r="C964" s="22">
        <v>46079.37</v>
      </c>
      <c r="D964" s="24">
        <f t="shared" si="28"/>
        <v>-2.1782178217822608E-3</v>
      </c>
      <c r="E964" s="24">
        <f t="shared" si="29"/>
        <v>3.032866318792969E-3</v>
      </c>
    </row>
    <row r="965" spans="1:5" x14ac:dyDescent="0.35">
      <c r="A965" s="23">
        <v>44836</v>
      </c>
      <c r="B965" s="22">
        <v>151.5</v>
      </c>
      <c r="C965" s="22">
        <v>45940.04</v>
      </c>
      <c r="D965" s="24">
        <f t="shared" ref="D965:D1028" si="30">(B965-B966)/B966</f>
        <v>-5.2527905449770932E-3</v>
      </c>
      <c r="E965" s="24">
        <f t="shared" ref="E965:E1028" si="31">(C965-C966)/C966</f>
        <v>-8.6258539103353394E-3</v>
      </c>
    </row>
    <row r="966" spans="1:5" x14ac:dyDescent="0.35">
      <c r="A966" s="23">
        <v>44806</v>
      </c>
      <c r="B966" s="22">
        <v>152.30000000000001</v>
      </c>
      <c r="C966" s="22">
        <v>46339.76</v>
      </c>
      <c r="D966" s="24">
        <f t="shared" si="30"/>
        <v>6.8090169894890005E-3</v>
      </c>
      <c r="E966" s="24">
        <f t="shared" si="31"/>
        <v>8.5272574728579836E-3</v>
      </c>
    </row>
    <row r="967" spans="1:5" x14ac:dyDescent="0.35">
      <c r="A967" s="23">
        <v>44775</v>
      </c>
      <c r="B967" s="22">
        <v>151.27000000000001</v>
      </c>
      <c r="C967" s="22">
        <v>45947.95</v>
      </c>
      <c r="D967" s="24">
        <f t="shared" si="30"/>
        <v>-4.8026315789473015E-3</v>
      </c>
      <c r="E967" s="24">
        <f t="shared" si="31"/>
        <v>2.3275979603522394E-3</v>
      </c>
    </row>
    <row r="968" spans="1:5" x14ac:dyDescent="0.35">
      <c r="A968" s="23">
        <v>44744</v>
      </c>
      <c r="B968" s="22">
        <v>152</v>
      </c>
      <c r="C968" s="22">
        <v>45841.25</v>
      </c>
      <c r="D968" s="24">
        <f t="shared" si="30"/>
        <v>9.9667774086378731E-3</v>
      </c>
      <c r="E968" s="24">
        <f t="shared" si="31"/>
        <v>-1.4898828459812142E-3</v>
      </c>
    </row>
    <row r="969" spans="1:5" x14ac:dyDescent="0.35">
      <c r="A969" s="23">
        <v>44653</v>
      </c>
      <c r="B969" s="22">
        <v>150.5</v>
      </c>
      <c r="C969" s="22">
        <v>45909.65</v>
      </c>
      <c r="D969" s="24">
        <f t="shared" si="30"/>
        <v>-6.6006600660066007E-3</v>
      </c>
      <c r="E969" s="24">
        <f t="shared" si="31"/>
        <v>1.0186876416312949E-3</v>
      </c>
    </row>
    <row r="970" spans="1:5" x14ac:dyDescent="0.35">
      <c r="A970" s="23">
        <v>44622</v>
      </c>
      <c r="B970" s="22">
        <v>151.5</v>
      </c>
      <c r="C970" s="22">
        <v>45862.93</v>
      </c>
      <c r="D970" s="24">
        <f t="shared" si="30"/>
        <v>3.3112582781456954E-3</v>
      </c>
      <c r="E970" s="24">
        <f t="shared" si="31"/>
        <v>-5.5556097629726733E-3</v>
      </c>
    </row>
    <row r="971" spans="1:5" x14ac:dyDescent="0.35">
      <c r="A971" s="23">
        <v>44594</v>
      </c>
      <c r="B971" s="22">
        <v>151</v>
      </c>
      <c r="C971" s="22">
        <v>46119.15</v>
      </c>
      <c r="D971" s="24">
        <f t="shared" si="30"/>
        <v>2.0572035304267191E-3</v>
      </c>
      <c r="E971" s="24">
        <f t="shared" si="31"/>
        <v>9.7351914087729797E-3</v>
      </c>
    </row>
    <row r="972" spans="1:5" x14ac:dyDescent="0.35">
      <c r="A972" s="23">
        <v>44563</v>
      </c>
      <c r="B972" s="22">
        <v>150.69</v>
      </c>
      <c r="C972" s="22">
        <v>45674.5</v>
      </c>
      <c r="D972" s="24">
        <f t="shared" si="30"/>
        <v>4.5999999999999852E-3</v>
      </c>
      <c r="E972" s="24">
        <f t="shared" si="31"/>
        <v>6.607649905189408E-3</v>
      </c>
    </row>
    <row r="973" spans="1:5" x14ac:dyDescent="0.35">
      <c r="A973" s="22" t="s">
        <v>612</v>
      </c>
      <c r="B973" s="22">
        <v>150</v>
      </c>
      <c r="C973" s="22">
        <v>45374.68</v>
      </c>
      <c r="D973" s="24">
        <f t="shared" si="30"/>
        <v>0</v>
      </c>
      <c r="E973" s="24">
        <f t="shared" si="31"/>
        <v>6.5834906720386279E-3</v>
      </c>
    </row>
    <row r="974" spans="1:5" x14ac:dyDescent="0.35">
      <c r="A974" s="22" t="s">
        <v>613</v>
      </c>
      <c r="B974" s="22">
        <v>150</v>
      </c>
      <c r="C974" s="22">
        <v>45077.91</v>
      </c>
      <c r="D974" s="24">
        <f t="shared" si="30"/>
        <v>8.4033613445378148E-3</v>
      </c>
      <c r="E974" s="24">
        <f t="shared" si="31"/>
        <v>-1.1379001948398733E-4</v>
      </c>
    </row>
    <row r="975" spans="1:5" x14ac:dyDescent="0.35">
      <c r="A975" s="22" t="s">
        <v>614</v>
      </c>
      <c r="B975" s="22">
        <v>148.75</v>
      </c>
      <c r="C975" s="22">
        <v>45083.040000000001</v>
      </c>
      <c r="D975" s="24">
        <f t="shared" si="30"/>
        <v>-1.5438313867632554E-3</v>
      </c>
      <c r="E975" s="24">
        <f t="shared" si="31"/>
        <v>2.8470661249403117E-3</v>
      </c>
    </row>
    <row r="976" spans="1:5" x14ac:dyDescent="0.35">
      <c r="A976" s="22" t="s">
        <v>615</v>
      </c>
      <c r="B976" s="22">
        <v>148.97999999999999</v>
      </c>
      <c r="C976" s="22">
        <v>44955.05</v>
      </c>
      <c r="D976" s="24">
        <f t="shared" si="30"/>
        <v>-1.3422818791953176E-4</v>
      </c>
      <c r="E976" s="24">
        <f t="shared" si="31"/>
        <v>1.4988492411185969E-3</v>
      </c>
    </row>
    <row r="977" spans="1:5" x14ac:dyDescent="0.35">
      <c r="A977" s="22" t="s">
        <v>616</v>
      </c>
      <c r="B977" s="22">
        <v>149</v>
      </c>
      <c r="C977" s="22">
        <v>44887.77</v>
      </c>
      <c r="D977" s="24">
        <f t="shared" si="30"/>
        <v>3.3670033670033669E-3</v>
      </c>
      <c r="E977" s="24">
        <f t="shared" si="31"/>
        <v>-8.0447138283392273E-4</v>
      </c>
    </row>
    <row r="978" spans="1:5" x14ac:dyDescent="0.35">
      <c r="A978" s="22" t="s">
        <v>617</v>
      </c>
      <c r="B978" s="22">
        <v>148.5</v>
      </c>
      <c r="C978" s="22">
        <v>44923.91</v>
      </c>
      <c r="D978" s="24">
        <f t="shared" si="30"/>
        <v>-0.01</v>
      </c>
      <c r="E978" s="24">
        <f t="shared" si="31"/>
        <v>-2.0962595638926084E-3</v>
      </c>
    </row>
    <row r="979" spans="1:5" x14ac:dyDescent="0.35">
      <c r="A979" s="22" t="s">
        <v>618</v>
      </c>
      <c r="B979" s="22">
        <v>150</v>
      </c>
      <c r="C979" s="22">
        <v>45018.28</v>
      </c>
      <c r="D979" s="24">
        <f t="shared" si="30"/>
        <v>1.8675721561969439E-2</v>
      </c>
      <c r="E979" s="24">
        <f t="shared" si="31"/>
        <v>4.2901469839915938E-3</v>
      </c>
    </row>
    <row r="980" spans="1:5" x14ac:dyDescent="0.35">
      <c r="A980" s="22" t="s">
        <v>619</v>
      </c>
      <c r="B980" s="22">
        <v>147.25</v>
      </c>
      <c r="C980" s="22">
        <v>44825.97</v>
      </c>
      <c r="D980" s="24">
        <f t="shared" si="30"/>
        <v>-8.4175084175084174E-3</v>
      </c>
      <c r="E980" s="24">
        <f t="shared" si="31"/>
        <v>-1.6639369327751919E-4</v>
      </c>
    </row>
    <row r="981" spans="1:5" x14ac:dyDescent="0.35">
      <c r="A981" s="22" t="s">
        <v>620</v>
      </c>
      <c r="B981" s="22">
        <v>148.5</v>
      </c>
      <c r="C981" s="22">
        <v>44833.43</v>
      </c>
      <c r="D981" s="24">
        <f t="shared" si="30"/>
        <v>-2.3026315789473683E-2</v>
      </c>
      <c r="E981" s="24">
        <f t="shared" si="31"/>
        <v>-1.4810335283858236E-2</v>
      </c>
    </row>
    <row r="982" spans="1:5" x14ac:dyDescent="0.35">
      <c r="A982" s="22" t="s">
        <v>621</v>
      </c>
      <c r="B982" s="22">
        <v>152</v>
      </c>
      <c r="C982" s="22">
        <v>45507.41</v>
      </c>
      <c r="D982" s="24">
        <f t="shared" si="30"/>
        <v>0</v>
      </c>
      <c r="E982" s="24">
        <f t="shared" si="31"/>
        <v>-2.2974116574073079E-3</v>
      </c>
    </row>
    <row r="983" spans="1:5" x14ac:dyDescent="0.35">
      <c r="A983" s="22" t="s">
        <v>622</v>
      </c>
      <c r="B983" s="22">
        <v>152</v>
      </c>
      <c r="C983" s="22">
        <v>45612.2</v>
      </c>
      <c r="D983" s="24">
        <f t="shared" si="30"/>
        <v>-3.2786885245901639E-3</v>
      </c>
      <c r="E983" s="24">
        <f t="shared" si="31"/>
        <v>-3.3050392835330378E-3</v>
      </c>
    </row>
    <row r="984" spans="1:5" x14ac:dyDescent="0.35">
      <c r="A984" s="22" t="s">
        <v>623</v>
      </c>
      <c r="B984" s="22">
        <v>152.5</v>
      </c>
      <c r="C984" s="22">
        <v>45763.45</v>
      </c>
      <c r="D984" s="24">
        <f t="shared" si="30"/>
        <v>-3.2679738562091504E-3</v>
      </c>
      <c r="E984" s="24">
        <f t="shared" si="31"/>
        <v>5.4629046919795826E-6</v>
      </c>
    </row>
    <row r="985" spans="1:5" x14ac:dyDescent="0.35">
      <c r="A985" s="22" t="s">
        <v>624</v>
      </c>
      <c r="B985" s="22">
        <v>153</v>
      </c>
      <c r="C985" s="22">
        <v>45763.199999999997</v>
      </c>
      <c r="D985" s="24">
        <f t="shared" si="30"/>
        <v>0</v>
      </c>
      <c r="E985" s="24">
        <f t="shared" si="31"/>
        <v>-3.3332425884083066E-3</v>
      </c>
    </row>
    <row r="986" spans="1:5" x14ac:dyDescent="0.35">
      <c r="A986" s="23">
        <v>44896</v>
      </c>
      <c r="B986" s="22">
        <v>153</v>
      </c>
      <c r="C986" s="22">
        <v>45916.25</v>
      </c>
      <c r="D986" s="24">
        <f t="shared" si="30"/>
        <v>7.9051383399208735E-3</v>
      </c>
      <c r="E986" s="24">
        <f t="shared" si="31"/>
        <v>7.6545629979040666E-4</v>
      </c>
    </row>
    <row r="987" spans="1:5" x14ac:dyDescent="0.35">
      <c r="A987" s="23">
        <v>44866</v>
      </c>
      <c r="B987" s="22">
        <v>151.80000000000001</v>
      </c>
      <c r="C987" s="22">
        <v>45881.13</v>
      </c>
      <c r="D987" s="24">
        <f t="shared" si="30"/>
        <v>-7.8431372549018861E-3</v>
      </c>
      <c r="E987" s="24">
        <f t="shared" si="31"/>
        <v>-1.4165037505750461E-4</v>
      </c>
    </row>
    <row r="988" spans="1:5" x14ac:dyDescent="0.35">
      <c r="A988" s="23">
        <v>44835</v>
      </c>
      <c r="B988" s="22">
        <v>153</v>
      </c>
      <c r="C988" s="22">
        <v>45887.63</v>
      </c>
      <c r="D988" s="24">
        <f t="shared" si="30"/>
        <v>0</v>
      </c>
      <c r="E988" s="24">
        <f t="shared" si="31"/>
        <v>1.1952193870856321E-2</v>
      </c>
    </row>
    <row r="989" spans="1:5" x14ac:dyDescent="0.35">
      <c r="A989" s="23">
        <v>44743</v>
      </c>
      <c r="B989" s="22">
        <v>153</v>
      </c>
      <c r="C989" s="22">
        <v>45345.65</v>
      </c>
      <c r="D989" s="24">
        <f t="shared" si="30"/>
        <v>4.9261083743842365E-3</v>
      </c>
      <c r="E989" s="24">
        <f t="shared" si="31"/>
        <v>5.8415386970052221E-3</v>
      </c>
    </row>
    <row r="990" spans="1:5" x14ac:dyDescent="0.35">
      <c r="A990" s="23">
        <v>44713</v>
      </c>
      <c r="B990" s="22">
        <v>152.25</v>
      </c>
      <c r="C990" s="22">
        <v>45082.3</v>
      </c>
      <c r="D990" s="24">
        <f t="shared" si="30"/>
        <v>-1.7044354057718293E-2</v>
      </c>
      <c r="E990" s="24">
        <f t="shared" si="31"/>
        <v>-7.1703397801570722E-3</v>
      </c>
    </row>
    <row r="991" spans="1:5" x14ac:dyDescent="0.35">
      <c r="A991" s="23">
        <v>44682</v>
      </c>
      <c r="B991" s="22">
        <v>154.88999999999999</v>
      </c>
      <c r="C991" s="22">
        <v>45407.89</v>
      </c>
      <c r="D991" s="24">
        <f t="shared" si="30"/>
        <v>2.524271844660106E-3</v>
      </c>
      <c r="E991" s="24">
        <f t="shared" si="31"/>
        <v>3.7562644797943621E-4</v>
      </c>
    </row>
    <row r="992" spans="1:5" x14ac:dyDescent="0.35">
      <c r="A992" s="23">
        <v>44652</v>
      </c>
      <c r="B992" s="22">
        <v>154.5</v>
      </c>
      <c r="C992" s="22">
        <v>45390.84</v>
      </c>
      <c r="D992" s="24">
        <f t="shared" si="30"/>
        <v>1.1787819253438189E-2</v>
      </c>
      <c r="E992" s="24">
        <f t="shared" si="31"/>
        <v>1.1227108850713362E-2</v>
      </c>
    </row>
    <row r="993" spans="1:5" x14ac:dyDescent="0.35">
      <c r="A993" s="23">
        <v>44621</v>
      </c>
      <c r="B993" s="22">
        <v>152.69999999999999</v>
      </c>
      <c r="C993" s="22">
        <v>44886.89</v>
      </c>
      <c r="D993" s="24">
        <f t="shared" si="30"/>
        <v>4.5862543405616969E-4</v>
      </c>
      <c r="E993" s="24">
        <f t="shared" si="31"/>
        <v>6.5212024288238786E-3</v>
      </c>
    </row>
    <row r="994" spans="1:5" x14ac:dyDescent="0.35">
      <c r="A994" s="22" t="s">
        <v>625</v>
      </c>
      <c r="B994" s="22">
        <v>152.63</v>
      </c>
      <c r="C994" s="22">
        <v>44596.07</v>
      </c>
      <c r="D994" s="24">
        <f t="shared" si="30"/>
        <v>-8.8961038961039261E-3</v>
      </c>
      <c r="E994" s="24">
        <f t="shared" si="31"/>
        <v>4.0496485516546355E-3</v>
      </c>
    </row>
    <row r="995" spans="1:5" x14ac:dyDescent="0.35">
      <c r="A995" s="22" t="s">
        <v>626</v>
      </c>
      <c r="B995" s="22">
        <v>154</v>
      </c>
      <c r="C995" s="22">
        <v>44416.2</v>
      </c>
      <c r="D995" s="24">
        <f t="shared" si="30"/>
        <v>4.0821843741551712E-2</v>
      </c>
      <c r="E995" s="24">
        <f t="shared" si="31"/>
        <v>3.5266518768253515E-3</v>
      </c>
    </row>
    <row r="996" spans="1:5" x14ac:dyDescent="0.35">
      <c r="A996" s="22" t="s">
        <v>627</v>
      </c>
      <c r="B996" s="22">
        <v>147.96</v>
      </c>
      <c r="C996" s="22">
        <v>44260.11</v>
      </c>
      <c r="D996" s="24">
        <f t="shared" si="30"/>
        <v>-1.0301003344481552E-2</v>
      </c>
      <c r="E996" s="24">
        <f t="shared" si="31"/>
        <v>4.9126164126843596E-3</v>
      </c>
    </row>
    <row r="997" spans="1:5" x14ac:dyDescent="0.35">
      <c r="A997" s="22" t="s">
        <v>628</v>
      </c>
      <c r="B997" s="22">
        <v>149.5</v>
      </c>
      <c r="C997" s="22">
        <v>44043.74</v>
      </c>
      <c r="D997" s="24">
        <f t="shared" si="30"/>
        <v>3.3557046979865771E-3</v>
      </c>
      <c r="E997" s="24">
        <f t="shared" si="31"/>
        <v>2.9672009298291283E-3</v>
      </c>
    </row>
    <row r="998" spans="1:5" x14ac:dyDescent="0.35">
      <c r="A998" s="22" t="s">
        <v>629</v>
      </c>
      <c r="B998" s="22">
        <v>149</v>
      </c>
      <c r="C998" s="22">
        <v>43913.440000000002</v>
      </c>
      <c r="D998" s="24">
        <f t="shared" si="30"/>
        <v>-3.6222509702457918E-2</v>
      </c>
      <c r="E998" s="24">
        <f t="shared" si="31"/>
        <v>-4.6454551038693183E-3</v>
      </c>
    </row>
    <row r="999" spans="1:5" x14ac:dyDescent="0.35">
      <c r="A999" s="22" t="s">
        <v>630</v>
      </c>
      <c r="B999" s="22">
        <v>154.6</v>
      </c>
      <c r="C999" s="22">
        <v>44118.39</v>
      </c>
      <c r="D999" s="24">
        <f t="shared" si="30"/>
        <v>4.2873846953358228E-3</v>
      </c>
      <c r="E999" s="24">
        <f t="shared" si="31"/>
        <v>-3.3548768944742465E-3</v>
      </c>
    </row>
    <row r="1000" spans="1:5" x14ac:dyDescent="0.35">
      <c r="A1000" s="22" t="s">
        <v>631</v>
      </c>
      <c r="B1000" s="22">
        <v>153.94</v>
      </c>
      <c r="C1000" s="22">
        <v>44266.9</v>
      </c>
      <c r="D1000" s="24">
        <f t="shared" si="30"/>
        <v>2.4900133155792339E-2</v>
      </c>
      <c r="E1000" s="24">
        <f t="shared" si="31"/>
        <v>2.081042726231626E-3</v>
      </c>
    </row>
    <row r="1001" spans="1:5" x14ac:dyDescent="0.35">
      <c r="A1001" s="22" t="s">
        <v>632</v>
      </c>
      <c r="B1001" s="22">
        <v>150.19999999999999</v>
      </c>
      <c r="C1001" s="22">
        <v>44174.97</v>
      </c>
      <c r="D1001" s="24">
        <f t="shared" si="30"/>
        <v>-1.3297872340426666E-3</v>
      </c>
      <c r="E1001" s="24">
        <f t="shared" si="31"/>
        <v>-4.7535972847419367E-5</v>
      </c>
    </row>
    <row r="1002" spans="1:5" x14ac:dyDescent="0.35">
      <c r="A1002" s="22" t="s">
        <v>633</v>
      </c>
      <c r="B1002" s="22">
        <v>150.4</v>
      </c>
      <c r="C1002" s="22">
        <v>44177.07</v>
      </c>
      <c r="D1002" s="24">
        <f t="shared" si="30"/>
        <v>5.8182304554270352E-3</v>
      </c>
      <c r="E1002" s="24">
        <f t="shared" si="31"/>
        <v>-3.6734367088821118E-3</v>
      </c>
    </row>
    <row r="1003" spans="1:5" x14ac:dyDescent="0.35">
      <c r="A1003" s="22" t="s">
        <v>634</v>
      </c>
      <c r="B1003" s="22">
        <v>149.53</v>
      </c>
      <c r="C1003" s="22">
        <v>44339.95</v>
      </c>
      <c r="D1003" s="24">
        <f t="shared" si="30"/>
        <v>-5.7845744680851364E-3</v>
      </c>
      <c r="E1003" s="24">
        <f t="shared" si="31"/>
        <v>1.0005995351324782E-2</v>
      </c>
    </row>
    <row r="1004" spans="1:5" x14ac:dyDescent="0.35">
      <c r="A1004" s="22" t="s">
        <v>635</v>
      </c>
      <c r="B1004" s="22">
        <v>150.4</v>
      </c>
      <c r="C1004" s="22">
        <v>43900.68</v>
      </c>
      <c r="D1004" s="24">
        <f t="shared" si="30"/>
        <v>8.7189805499665422E-3</v>
      </c>
      <c r="E1004" s="24">
        <f t="shared" si="31"/>
        <v>3.8754939265330749E-3</v>
      </c>
    </row>
    <row r="1005" spans="1:5" x14ac:dyDescent="0.35">
      <c r="A1005" s="22" t="s">
        <v>636</v>
      </c>
      <c r="B1005" s="22">
        <v>149.1</v>
      </c>
      <c r="C1005" s="22">
        <v>43731.199999999997</v>
      </c>
      <c r="D1005" s="24">
        <f t="shared" si="30"/>
        <v>-1.8174634531805737E-2</v>
      </c>
      <c r="E1005" s="24">
        <f t="shared" si="31"/>
        <v>-1.4327360556956329E-2</v>
      </c>
    </row>
    <row r="1006" spans="1:5" x14ac:dyDescent="0.35">
      <c r="A1006" s="22" t="s">
        <v>637</v>
      </c>
      <c r="B1006" s="22">
        <v>151.86000000000001</v>
      </c>
      <c r="C1006" s="22">
        <v>44366.86</v>
      </c>
      <c r="D1006" s="24">
        <f t="shared" si="30"/>
        <v>-1.3768021821015563E-2</v>
      </c>
      <c r="E1006" s="24">
        <f t="shared" si="31"/>
        <v>2.5901392267758668E-2</v>
      </c>
    </row>
    <row r="1007" spans="1:5" x14ac:dyDescent="0.35">
      <c r="A1007" s="22" t="s">
        <v>638</v>
      </c>
      <c r="B1007" s="22">
        <v>153.97999999999999</v>
      </c>
      <c r="C1007" s="22">
        <v>43246.71</v>
      </c>
      <c r="D1007" s="24">
        <f t="shared" si="30"/>
        <v>4.748299319727884E-2</v>
      </c>
      <c r="E1007" s="24">
        <f t="shared" si="31"/>
        <v>8.6373916448616445E-3</v>
      </c>
    </row>
    <row r="1008" spans="1:5" x14ac:dyDescent="0.35">
      <c r="A1008" s="22" t="s">
        <v>639</v>
      </c>
      <c r="B1008" s="22">
        <v>147</v>
      </c>
      <c r="C1008" s="22">
        <v>42876.37</v>
      </c>
      <c r="D1008" s="24">
        <f t="shared" si="30"/>
        <v>-0.02</v>
      </c>
      <c r="E1008" s="24">
        <f t="shared" si="31"/>
        <v>-1.1969136169461552E-2</v>
      </c>
    </row>
    <row r="1009" spans="1:5" x14ac:dyDescent="0.35">
      <c r="A1009" s="23">
        <v>44481</v>
      </c>
      <c r="B1009" s="22">
        <v>150</v>
      </c>
      <c r="C1009" s="22">
        <v>43395.78</v>
      </c>
      <c r="D1009" s="24">
        <f t="shared" si="30"/>
        <v>1.902173913043486E-2</v>
      </c>
      <c r="E1009" s="24">
        <f t="shared" si="31"/>
        <v>-2.8277408129444093E-3</v>
      </c>
    </row>
    <row r="1010" spans="1:5" x14ac:dyDescent="0.35">
      <c r="A1010" s="23">
        <v>44451</v>
      </c>
      <c r="B1010" s="22">
        <v>147.19999999999999</v>
      </c>
      <c r="C1010" s="22">
        <v>43518.84</v>
      </c>
      <c r="D1010" s="24">
        <f t="shared" si="30"/>
        <v>-2.5810721376571845E-2</v>
      </c>
      <c r="E1010" s="24">
        <f t="shared" si="31"/>
        <v>-7.4812637709374945E-3</v>
      </c>
    </row>
    <row r="1011" spans="1:5" x14ac:dyDescent="0.35">
      <c r="A1011" s="23">
        <v>44420</v>
      </c>
      <c r="B1011" s="22">
        <v>151.1</v>
      </c>
      <c r="C1011" s="22">
        <v>43846.87</v>
      </c>
      <c r="D1011" s="24">
        <f t="shared" si="30"/>
        <v>-1.0542859013817128E-2</v>
      </c>
      <c r="E1011" s="24">
        <f t="shared" si="31"/>
        <v>-1.5095719861738129E-4</v>
      </c>
    </row>
    <row r="1012" spans="1:5" x14ac:dyDescent="0.35">
      <c r="A1012" s="23">
        <v>44389</v>
      </c>
      <c r="B1012" s="22">
        <v>152.71</v>
      </c>
      <c r="C1012" s="22">
        <v>43853.49</v>
      </c>
      <c r="D1012" s="24">
        <f t="shared" si="30"/>
        <v>1.377049180327921E-3</v>
      </c>
      <c r="E1012" s="24">
        <f t="shared" si="31"/>
        <v>1.3232666609212388E-2</v>
      </c>
    </row>
    <row r="1013" spans="1:5" x14ac:dyDescent="0.35">
      <c r="A1013" s="23">
        <v>44359</v>
      </c>
      <c r="B1013" s="22">
        <v>152.5</v>
      </c>
      <c r="C1013" s="22">
        <v>43280.77</v>
      </c>
      <c r="D1013" s="24">
        <f t="shared" si="30"/>
        <v>-4.5691906005221198E-3</v>
      </c>
      <c r="E1013" s="24">
        <f t="shared" si="31"/>
        <v>1.1088795251200316E-3</v>
      </c>
    </row>
    <row r="1014" spans="1:5" x14ac:dyDescent="0.35">
      <c r="A1014" s="23">
        <v>44267</v>
      </c>
      <c r="B1014" s="22">
        <v>153.19999999999999</v>
      </c>
      <c r="C1014" s="22">
        <v>43232.83</v>
      </c>
      <c r="D1014" s="24">
        <f t="shared" si="30"/>
        <v>-3.6356774437036117E-2</v>
      </c>
      <c r="E1014" s="24">
        <f t="shared" si="31"/>
        <v>-3.0531420185194089E-5</v>
      </c>
    </row>
    <row r="1015" spans="1:5" x14ac:dyDescent="0.35">
      <c r="A1015" s="23">
        <v>44239</v>
      </c>
      <c r="B1015" s="22">
        <v>158.97999999999999</v>
      </c>
      <c r="C1015" s="22">
        <v>43234.15</v>
      </c>
      <c r="D1015" s="24">
        <f t="shared" si="30"/>
        <v>1.0038119440914765E-2</v>
      </c>
      <c r="E1015" s="24">
        <f t="shared" si="31"/>
        <v>-4.7058198590495613E-2</v>
      </c>
    </row>
    <row r="1016" spans="1:5" x14ac:dyDescent="0.35">
      <c r="A1016" s="23">
        <v>44208</v>
      </c>
      <c r="B1016" s="22">
        <v>157.4</v>
      </c>
      <c r="C1016" s="22">
        <v>45369.14</v>
      </c>
      <c r="D1016" s="24">
        <f t="shared" si="30"/>
        <v>-7.2532324187953683E-3</v>
      </c>
      <c r="E1016" s="24">
        <f t="shared" si="31"/>
        <v>6.5840765453255862E-3</v>
      </c>
    </row>
    <row r="1017" spans="1:5" x14ac:dyDescent="0.35">
      <c r="A1017" s="22" t="s">
        <v>640</v>
      </c>
      <c r="B1017" s="22">
        <v>158.55000000000001</v>
      </c>
      <c r="C1017" s="22">
        <v>45072.38</v>
      </c>
      <c r="D1017" s="24">
        <f t="shared" si="30"/>
        <v>-2.1175453759723292E-2</v>
      </c>
      <c r="E1017" s="24">
        <f t="shared" si="31"/>
        <v>-5.6843087532443826E-3</v>
      </c>
    </row>
    <row r="1018" spans="1:5" x14ac:dyDescent="0.35">
      <c r="A1018" s="22" t="s">
        <v>641</v>
      </c>
      <c r="B1018" s="22">
        <v>161.97999999999999</v>
      </c>
      <c r="C1018" s="22">
        <v>45330.05</v>
      </c>
      <c r="D1018" s="24">
        <f t="shared" si="30"/>
        <v>-6.2576687116565046E-3</v>
      </c>
      <c r="E1018" s="24">
        <f t="shared" si="31"/>
        <v>2.7562351861624462E-2</v>
      </c>
    </row>
    <row r="1019" spans="1:5" x14ac:dyDescent="0.35">
      <c r="A1019" s="22" t="s">
        <v>642</v>
      </c>
      <c r="B1019" s="22">
        <v>163</v>
      </c>
      <c r="C1019" s="22">
        <v>44114.16</v>
      </c>
      <c r="D1019" s="24">
        <f t="shared" si="30"/>
        <v>5.6383668178872248E-2</v>
      </c>
      <c r="E1019" s="24">
        <f t="shared" si="31"/>
        <v>4.060702275481891E-3</v>
      </c>
    </row>
    <row r="1020" spans="1:5" x14ac:dyDescent="0.35">
      <c r="A1020" s="22" t="s">
        <v>643</v>
      </c>
      <c r="B1020" s="22">
        <v>154.30000000000001</v>
      </c>
      <c r="C1020" s="22">
        <v>43935.75</v>
      </c>
      <c r="D1020" s="24">
        <f t="shared" si="30"/>
        <v>-3.5624999999999928E-2</v>
      </c>
      <c r="E1020" s="24">
        <f t="shared" si="31"/>
        <v>-9.6464000973768439E-3</v>
      </c>
    </row>
    <row r="1021" spans="1:5" x14ac:dyDescent="0.35">
      <c r="A1021" s="22" t="s">
        <v>644</v>
      </c>
      <c r="B1021" s="22">
        <v>160</v>
      </c>
      <c r="C1021" s="22">
        <v>44363.7</v>
      </c>
      <c r="D1021" s="24">
        <f t="shared" si="30"/>
        <v>1.5873015873015872E-2</v>
      </c>
      <c r="E1021" s="24">
        <f t="shared" si="31"/>
        <v>-1.3010884451812869E-2</v>
      </c>
    </row>
    <row r="1022" spans="1:5" x14ac:dyDescent="0.35">
      <c r="A1022" s="22" t="s">
        <v>645</v>
      </c>
      <c r="B1022" s="22">
        <v>157.5</v>
      </c>
      <c r="C1022" s="22">
        <v>44948.52</v>
      </c>
      <c r="D1022" s="24">
        <f t="shared" si="30"/>
        <v>-3.0172413793103481E-2</v>
      </c>
      <c r="E1022" s="24">
        <f t="shared" si="31"/>
        <v>-1.7411301781615547E-2</v>
      </c>
    </row>
    <row r="1023" spans="1:5" x14ac:dyDescent="0.35">
      <c r="A1023" s="22" t="s">
        <v>646</v>
      </c>
      <c r="B1023" s="22">
        <v>162.4</v>
      </c>
      <c r="C1023" s="22">
        <v>45745</v>
      </c>
      <c r="D1023" s="24">
        <f t="shared" si="30"/>
        <v>-1.5757575757575724E-2</v>
      </c>
      <c r="E1023" s="24">
        <f t="shared" si="31"/>
        <v>-1.601246391382475E-2</v>
      </c>
    </row>
    <row r="1024" spans="1:5" x14ac:dyDescent="0.35">
      <c r="A1024" s="22" t="s">
        <v>647</v>
      </c>
      <c r="B1024" s="22">
        <v>165</v>
      </c>
      <c r="C1024" s="22">
        <v>46489.41</v>
      </c>
      <c r="D1024" s="24">
        <f t="shared" si="30"/>
        <v>3.1004924311507742E-3</v>
      </c>
      <c r="E1024" s="24">
        <f t="shared" si="31"/>
        <v>8.2174342069594453E-3</v>
      </c>
    </row>
    <row r="1025" spans="1:5" x14ac:dyDescent="0.35">
      <c r="A1025" s="22" t="s">
        <v>648</v>
      </c>
      <c r="B1025" s="22">
        <v>164.49</v>
      </c>
      <c r="C1025" s="22">
        <v>46110.5</v>
      </c>
      <c r="D1025" s="24">
        <f t="shared" si="30"/>
        <v>1.2246153846153901E-2</v>
      </c>
      <c r="E1025" s="24">
        <f t="shared" si="31"/>
        <v>-1.8166696323927924E-3</v>
      </c>
    </row>
    <row r="1026" spans="1:5" x14ac:dyDescent="0.35">
      <c r="A1026" s="22" t="s">
        <v>649</v>
      </c>
      <c r="B1026" s="22">
        <v>162.5</v>
      </c>
      <c r="C1026" s="22">
        <v>46194.42</v>
      </c>
      <c r="D1026" s="24">
        <f t="shared" si="30"/>
        <v>-4.2282002573686972E-3</v>
      </c>
      <c r="E1026" s="24">
        <f t="shared" si="31"/>
        <v>-7.4874991701207594E-3</v>
      </c>
    </row>
    <row r="1027" spans="1:5" x14ac:dyDescent="0.35">
      <c r="A1027" s="22" t="s">
        <v>650</v>
      </c>
      <c r="B1027" s="22">
        <v>163.19</v>
      </c>
      <c r="C1027" s="22">
        <v>46542.91</v>
      </c>
      <c r="D1027" s="24">
        <f t="shared" si="30"/>
        <v>1.682347809832381E-2</v>
      </c>
      <c r="E1027" s="24">
        <f t="shared" si="31"/>
        <v>1.7636990868951711E-2</v>
      </c>
    </row>
    <row r="1028" spans="1:5" x14ac:dyDescent="0.35">
      <c r="A1028" s="22" t="s">
        <v>651</v>
      </c>
      <c r="B1028" s="22">
        <v>160.49</v>
      </c>
      <c r="C1028" s="22">
        <v>45736.26</v>
      </c>
      <c r="D1028" s="24">
        <f t="shared" si="30"/>
        <v>-1.5398773006134913E-2</v>
      </c>
      <c r="E1028" s="24">
        <f t="shared" si="31"/>
        <v>-2.8175386865109884E-4</v>
      </c>
    </row>
    <row r="1029" spans="1:5" x14ac:dyDescent="0.35">
      <c r="A1029" s="23">
        <v>44541</v>
      </c>
      <c r="B1029" s="22">
        <v>163</v>
      </c>
      <c r="C1029" s="22">
        <v>45749.15</v>
      </c>
      <c r="D1029" s="24">
        <f t="shared" ref="D1029:D1092" si="32">(B1029-B1030)/B1030</f>
        <v>-1.9548872180451128E-2</v>
      </c>
      <c r="E1029" s="24">
        <f t="shared" ref="E1029:E1092" si="33">(C1029-C1030)/C1030</f>
        <v>-1.2924563596671948E-2</v>
      </c>
    </row>
    <row r="1030" spans="1:5" x14ac:dyDescent="0.35">
      <c r="A1030" s="23">
        <v>44511</v>
      </c>
      <c r="B1030" s="22">
        <v>166.25</v>
      </c>
      <c r="C1030" s="22">
        <v>46348.18</v>
      </c>
      <c r="D1030" s="24">
        <f t="shared" si="32"/>
        <v>1.24847746650427E-2</v>
      </c>
      <c r="E1030" s="24">
        <f t="shared" si="33"/>
        <v>-6.0411907557985801E-3</v>
      </c>
    </row>
    <row r="1031" spans="1:5" x14ac:dyDescent="0.35">
      <c r="A1031" s="23">
        <v>44480</v>
      </c>
      <c r="B1031" s="22">
        <v>164.2</v>
      </c>
      <c r="C1031" s="22">
        <v>46629.88</v>
      </c>
      <c r="D1031" s="24">
        <f t="shared" si="32"/>
        <v>2.4420024420023032E-3</v>
      </c>
      <c r="E1031" s="24">
        <f t="shared" si="33"/>
        <v>4.9562596134344631E-3</v>
      </c>
    </row>
    <row r="1032" spans="1:5" x14ac:dyDescent="0.35">
      <c r="A1032" s="23">
        <v>44450</v>
      </c>
      <c r="B1032" s="22">
        <v>163.80000000000001</v>
      </c>
      <c r="C1032" s="22">
        <v>46399.91</v>
      </c>
      <c r="D1032" s="24">
        <f t="shared" si="32"/>
        <v>-7.3930432674827219E-3</v>
      </c>
      <c r="E1032" s="24">
        <f t="shared" si="33"/>
        <v>-1.5178380406766022E-2</v>
      </c>
    </row>
    <row r="1033" spans="1:5" x14ac:dyDescent="0.35">
      <c r="A1033" s="23">
        <v>44419</v>
      </c>
      <c r="B1033" s="22">
        <v>165.02</v>
      </c>
      <c r="C1033" s="22">
        <v>47115.040000000001</v>
      </c>
      <c r="D1033" s="24">
        <f t="shared" si="32"/>
        <v>-6.6217192391042276E-3</v>
      </c>
      <c r="E1033" s="24">
        <f t="shared" si="33"/>
        <v>-3.8219038476989928E-3</v>
      </c>
    </row>
    <row r="1034" spans="1:5" x14ac:dyDescent="0.35">
      <c r="A1034" s="23">
        <v>44327</v>
      </c>
      <c r="B1034" s="22">
        <v>166.12</v>
      </c>
      <c r="C1034" s="22">
        <v>47295.8</v>
      </c>
      <c r="D1034" s="24">
        <f t="shared" si="32"/>
        <v>-2.3422016695693135E-3</v>
      </c>
      <c r="E1034" s="24">
        <f t="shared" si="33"/>
        <v>1.6226457130344622E-3</v>
      </c>
    </row>
    <row r="1035" spans="1:5" x14ac:dyDescent="0.35">
      <c r="A1035" s="23">
        <v>44297</v>
      </c>
      <c r="B1035" s="22">
        <v>166.51</v>
      </c>
      <c r="C1035" s="22">
        <v>47219.18</v>
      </c>
      <c r="D1035" s="24">
        <f t="shared" si="32"/>
        <v>-2.9341317365270004E-3</v>
      </c>
      <c r="E1035" s="24">
        <f t="shared" si="33"/>
        <v>3.9704510333718164E-3</v>
      </c>
    </row>
    <row r="1036" spans="1:5" x14ac:dyDescent="0.35">
      <c r="A1036" s="23">
        <v>44266</v>
      </c>
      <c r="B1036" s="22">
        <v>167</v>
      </c>
      <c r="C1036" s="22">
        <v>47032.44</v>
      </c>
      <c r="D1036" s="24">
        <f t="shared" si="32"/>
        <v>-1.0135735878134123E-2</v>
      </c>
      <c r="E1036" s="24">
        <f t="shared" si="33"/>
        <v>-1.7082362969647377E-3</v>
      </c>
    </row>
    <row r="1037" spans="1:5" x14ac:dyDescent="0.35">
      <c r="A1037" s="23">
        <v>44238</v>
      </c>
      <c r="B1037" s="22">
        <v>168.71</v>
      </c>
      <c r="C1037" s="22">
        <v>47112.92</v>
      </c>
      <c r="D1037" s="24">
        <f t="shared" si="32"/>
        <v>-7.5882352941176005E-3</v>
      </c>
      <c r="E1037" s="24">
        <f t="shared" si="33"/>
        <v>3.5510853804811746E-3</v>
      </c>
    </row>
    <row r="1038" spans="1:5" x14ac:dyDescent="0.35">
      <c r="A1038" s="23">
        <v>44207</v>
      </c>
      <c r="B1038" s="22">
        <v>170</v>
      </c>
      <c r="C1038" s="22">
        <v>46946.21</v>
      </c>
      <c r="D1038" s="24">
        <f t="shared" si="32"/>
        <v>2.9420417769939025E-4</v>
      </c>
      <c r="E1038" s="24">
        <f t="shared" si="33"/>
        <v>1.5735543856164536E-2</v>
      </c>
    </row>
    <row r="1039" spans="1:5" x14ac:dyDescent="0.35">
      <c r="A1039" s="22" t="s">
        <v>652</v>
      </c>
      <c r="B1039" s="22">
        <v>169.95</v>
      </c>
      <c r="C1039" s="22">
        <v>46218.93</v>
      </c>
      <c r="D1039" s="24">
        <f t="shared" si="32"/>
        <v>-1.478260869565224E-2</v>
      </c>
      <c r="E1039" s="24">
        <f t="shared" si="33"/>
        <v>4.9618694897862478E-3</v>
      </c>
    </row>
    <row r="1040" spans="1:5" x14ac:dyDescent="0.35">
      <c r="A1040" s="22" t="s">
        <v>653</v>
      </c>
      <c r="B1040" s="22">
        <v>172.5</v>
      </c>
      <c r="C1040" s="22">
        <v>45990.73</v>
      </c>
      <c r="D1040" s="24">
        <f t="shared" si="32"/>
        <v>1.4825273561595543E-2</v>
      </c>
      <c r="E1040" s="24">
        <f t="shared" si="33"/>
        <v>3.0466048316461812E-3</v>
      </c>
    </row>
    <row r="1041" spans="1:5" x14ac:dyDescent="0.35">
      <c r="A1041" s="22" t="s">
        <v>654</v>
      </c>
      <c r="B1041" s="22">
        <v>169.98</v>
      </c>
      <c r="C1041" s="22">
        <v>45851.040000000001</v>
      </c>
      <c r="D1041" s="24">
        <f t="shared" si="32"/>
        <v>3.7412267317668571E-2</v>
      </c>
      <c r="E1041" s="24">
        <f t="shared" si="33"/>
        <v>1.3148759567243878E-2</v>
      </c>
    </row>
    <row r="1042" spans="1:5" x14ac:dyDescent="0.35">
      <c r="A1042" s="22" t="s">
        <v>655</v>
      </c>
      <c r="B1042" s="22">
        <v>163.85</v>
      </c>
      <c r="C1042" s="22">
        <v>45255.98</v>
      </c>
      <c r="D1042" s="24">
        <f t="shared" si="32"/>
        <v>1.1419753086419718E-2</v>
      </c>
      <c r="E1042" s="24">
        <f t="shared" si="33"/>
        <v>-3.8134046765495415E-3</v>
      </c>
    </row>
    <row r="1043" spans="1:5" x14ac:dyDescent="0.35">
      <c r="A1043" s="22" t="s">
        <v>656</v>
      </c>
      <c r="B1043" s="22">
        <v>162</v>
      </c>
      <c r="C1043" s="22">
        <v>45429.22</v>
      </c>
      <c r="D1043" s="24">
        <f t="shared" si="32"/>
        <v>-4.2411949105660932E-3</v>
      </c>
      <c r="E1043" s="24">
        <f t="shared" si="33"/>
        <v>-3.2721668791944121E-3</v>
      </c>
    </row>
    <row r="1044" spans="1:5" x14ac:dyDescent="0.35">
      <c r="A1044" s="22" t="s">
        <v>657</v>
      </c>
      <c r="B1044" s="22">
        <v>162.69</v>
      </c>
      <c r="C1044" s="22">
        <v>45578.36</v>
      </c>
      <c r="D1044" s="24">
        <f t="shared" si="32"/>
        <v>-6.7567567567575941E-4</v>
      </c>
      <c r="E1044" s="24">
        <f t="shared" si="33"/>
        <v>-5.3040718965374446E-3</v>
      </c>
    </row>
    <row r="1045" spans="1:5" x14ac:dyDescent="0.35">
      <c r="A1045" s="22" t="s">
        <v>658</v>
      </c>
      <c r="B1045" s="22">
        <v>162.80000000000001</v>
      </c>
      <c r="C1045" s="22">
        <v>45821.4</v>
      </c>
      <c r="D1045" s="24">
        <f t="shared" si="32"/>
        <v>-1.2269938650306051E-3</v>
      </c>
      <c r="E1045" s="24">
        <f t="shared" si="33"/>
        <v>7.0756883708070891E-3</v>
      </c>
    </row>
    <row r="1046" spans="1:5" x14ac:dyDescent="0.35">
      <c r="A1046" s="22" t="s">
        <v>659</v>
      </c>
      <c r="B1046" s="22">
        <v>163</v>
      </c>
      <c r="C1046" s="22">
        <v>45499.46</v>
      </c>
      <c r="D1046" s="24">
        <f t="shared" si="32"/>
        <v>8.6633663366336988E-3</v>
      </c>
      <c r="E1046" s="24">
        <f t="shared" si="33"/>
        <v>1.9494078461643648E-2</v>
      </c>
    </row>
    <row r="1047" spans="1:5" x14ac:dyDescent="0.35">
      <c r="A1047" s="22" t="s">
        <v>660</v>
      </c>
      <c r="B1047" s="22">
        <v>161.6</v>
      </c>
      <c r="C1047" s="22">
        <v>44629.45</v>
      </c>
      <c r="D1047" s="24">
        <f t="shared" si="32"/>
        <v>-2.6506024096385576E-2</v>
      </c>
      <c r="E1047" s="24">
        <f t="shared" si="33"/>
        <v>-4.2854405014733261E-3</v>
      </c>
    </row>
    <row r="1048" spans="1:5" x14ac:dyDescent="0.35">
      <c r="A1048" s="22" t="s">
        <v>661</v>
      </c>
      <c r="B1048" s="22">
        <v>166</v>
      </c>
      <c r="C1048" s="22">
        <v>44821.53</v>
      </c>
      <c r="D1048" s="24">
        <f t="shared" si="32"/>
        <v>1.0039549741405572E-2</v>
      </c>
      <c r="E1048" s="24">
        <f t="shared" si="33"/>
        <v>1.1004049291644604E-2</v>
      </c>
    </row>
    <row r="1049" spans="1:5" x14ac:dyDescent="0.35">
      <c r="A1049" s="22" t="s">
        <v>662</v>
      </c>
      <c r="B1049" s="22">
        <v>164.35</v>
      </c>
      <c r="C1049" s="22">
        <v>44333.68</v>
      </c>
      <c r="D1049" s="24">
        <f t="shared" si="32"/>
        <v>1.8277571251548875E-2</v>
      </c>
      <c r="E1049" s="24">
        <f t="shared" si="33"/>
        <v>2.5725456008521663E-2</v>
      </c>
    </row>
    <row r="1050" spans="1:5" x14ac:dyDescent="0.35">
      <c r="A1050" s="22" t="s">
        <v>663</v>
      </c>
      <c r="B1050" s="22">
        <v>161.4</v>
      </c>
      <c r="C1050" s="22">
        <v>43221.78</v>
      </c>
      <c r="D1050" s="24">
        <f t="shared" si="32"/>
        <v>-3.928571428571425E-2</v>
      </c>
      <c r="E1050" s="24">
        <f t="shared" si="33"/>
        <v>-1.5069589463638443E-2</v>
      </c>
    </row>
    <row r="1051" spans="1:5" x14ac:dyDescent="0.35">
      <c r="A1051" s="23">
        <v>44540</v>
      </c>
      <c r="B1051" s="22">
        <v>168</v>
      </c>
      <c r="C1051" s="22">
        <v>43883.08</v>
      </c>
      <c r="D1051" s="24">
        <f t="shared" si="32"/>
        <v>-2.4390243902438959E-2</v>
      </c>
      <c r="E1051" s="24">
        <f t="shared" si="33"/>
        <v>1.2258908699308386E-3</v>
      </c>
    </row>
    <row r="1052" spans="1:5" x14ac:dyDescent="0.35">
      <c r="A1052" s="23">
        <v>44510</v>
      </c>
      <c r="B1052" s="22">
        <v>172.2</v>
      </c>
      <c r="C1052" s="22">
        <v>43829.35</v>
      </c>
      <c r="D1052" s="24">
        <f t="shared" si="32"/>
        <v>-2.1590909090909157E-2</v>
      </c>
      <c r="E1052" s="24">
        <f t="shared" si="33"/>
        <v>-1.4566554616823138E-2</v>
      </c>
    </row>
    <row r="1053" spans="1:5" x14ac:dyDescent="0.35">
      <c r="A1053" s="23">
        <v>44418</v>
      </c>
      <c r="B1053" s="22">
        <v>176</v>
      </c>
      <c r="C1053" s="22">
        <v>44477.23</v>
      </c>
      <c r="D1053" s="24">
        <f t="shared" si="32"/>
        <v>-1.6759776536312849E-2</v>
      </c>
      <c r="E1053" s="24">
        <f t="shared" si="33"/>
        <v>-2.4404499704391257E-3</v>
      </c>
    </row>
    <row r="1054" spans="1:5" x14ac:dyDescent="0.35">
      <c r="A1054" s="23">
        <v>44387</v>
      </c>
      <c r="B1054" s="22">
        <v>179</v>
      </c>
      <c r="C1054" s="22">
        <v>44586.04</v>
      </c>
      <c r="D1054" s="24">
        <f t="shared" si="32"/>
        <v>-4.7261606894634101E-3</v>
      </c>
      <c r="E1054" s="24">
        <f t="shared" si="33"/>
        <v>4.7959096058591555E-3</v>
      </c>
    </row>
    <row r="1055" spans="1:5" x14ac:dyDescent="0.35">
      <c r="A1055" s="23">
        <v>44357</v>
      </c>
      <c r="B1055" s="22">
        <v>179.85</v>
      </c>
      <c r="C1055" s="22">
        <v>44373.23</v>
      </c>
      <c r="D1055" s="24">
        <f t="shared" si="32"/>
        <v>-2.3851786110495165E-3</v>
      </c>
      <c r="E1055" s="24">
        <f t="shared" si="33"/>
        <v>-6.5673276457090058E-3</v>
      </c>
    </row>
    <row r="1056" spans="1:5" x14ac:dyDescent="0.35">
      <c r="A1056" s="23">
        <v>44326</v>
      </c>
      <c r="B1056" s="22">
        <v>180.28</v>
      </c>
      <c r="C1056" s="22">
        <v>44666.57</v>
      </c>
      <c r="D1056" s="24">
        <f t="shared" si="32"/>
        <v>-5.0772626931566639E-3</v>
      </c>
      <c r="E1056" s="24">
        <f t="shared" si="33"/>
        <v>-8.3901475207850077E-3</v>
      </c>
    </row>
    <row r="1057" spans="1:5" x14ac:dyDescent="0.35">
      <c r="A1057" s="23">
        <v>44296</v>
      </c>
      <c r="B1057" s="22">
        <v>181.2</v>
      </c>
      <c r="C1057" s="22">
        <v>45044.5</v>
      </c>
      <c r="D1057" s="24">
        <f t="shared" si="32"/>
        <v>3.8990825688073293E-2</v>
      </c>
      <c r="E1057" s="24">
        <f t="shared" si="33"/>
        <v>3.8509795706425857E-3</v>
      </c>
    </row>
    <row r="1058" spans="1:5" x14ac:dyDescent="0.35">
      <c r="A1058" s="23">
        <v>44206</v>
      </c>
      <c r="B1058" s="22">
        <v>174.4</v>
      </c>
      <c r="C1058" s="22">
        <v>44871.7</v>
      </c>
      <c r="D1058" s="24">
        <f t="shared" si="32"/>
        <v>3.0245746691871481E-2</v>
      </c>
      <c r="E1058" s="24">
        <f t="shared" si="33"/>
        <v>-6.2138638206134255E-4</v>
      </c>
    </row>
    <row r="1059" spans="1:5" x14ac:dyDescent="0.35">
      <c r="A1059" s="22" t="s">
        <v>664</v>
      </c>
      <c r="B1059" s="22">
        <v>169.28</v>
      </c>
      <c r="C1059" s="22">
        <v>44899.6</v>
      </c>
      <c r="D1059" s="24">
        <f t="shared" si="32"/>
        <v>1.2440191387559885E-2</v>
      </c>
      <c r="E1059" s="24">
        <f t="shared" si="33"/>
        <v>1.2010348292437096E-2</v>
      </c>
    </row>
    <row r="1060" spans="1:5" x14ac:dyDescent="0.35">
      <c r="A1060" s="22" t="s">
        <v>665</v>
      </c>
      <c r="B1060" s="22">
        <v>167.2</v>
      </c>
      <c r="C1060" s="22">
        <v>44366.74</v>
      </c>
      <c r="D1060" s="24">
        <f t="shared" si="32"/>
        <v>-4.5662100456621009E-2</v>
      </c>
      <c r="E1060" s="24">
        <f t="shared" si="33"/>
        <v>-2.0059445702069606E-2</v>
      </c>
    </row>
    <row r="1061" spans="1:5" x14ac:dyDescent="0.35">
      <c r="A1061" s="22" t="s">
        <v>666</v>
      </c>
      <c r="B1061" s="22">
        <v>175.2</v>
      </c>
      <c r="C1061" s="22">
        <v>45274.93</v>
      </c>
      <c r="D1061" s="24">
        <f t="shared" si="32"/>
        <v>3.9145907473309573E-2</v>
      </c>
      <c r="E1061" s="24">
        <f t="shared" si="33"/>
        <v>1.0200643673400862E-2</v>
      </c>
    </row>
    <row r="1062" spans="1:5" x14ac:dyDescent="0.35">
      <c r="A1062" s="22" t="s">
        <v>667</v>
      </c>
      <c r="B1062" s="22">
        <v>168.6</v>
      </c>
      <c r="C1062" s="22">
        <v>44817.760000000002</v>
      </c>
      <c r="D1062" s="24">
        <f t="shared" si="32"/>
        <v>-3.0747398297067776E-3</v>
      </c>
      <c r="E1062" s="24">
        <f t="shared" si="33"/>
        <v>-5.6742850347608698E-3</v>
      </c>
    </row>
    <row r="1063" spans="1:5" x14ac:dyDescent="0.35">
      <c r="A1063" s="22" t="s">
        <v>668</v>
      </c>
      <c r="B1063" s="22">
        <v>169.12</v>
      </c>
      <c r="C1063" s="22">
        <v>45073.52</v>
      </c>
      <c r="D1063" s="24">
        <f t="shared" si="32"/>
        <v>1.1483253588516842E-2</v>
      </c>
      <c r="E1063" s="24">
        <f t="shared" si="33"/>
        <v>-4.9310239469031996E-3</v>
      </c>
    </row>
    <row r="1064" spans="1:5" x14ac:dyDescent="0.35">
      <c r="A1064" s="22" t="s">
        <v>669</v>
      </c>
      <c r="B1064" s="22">
        <v>167.2</v>
      </c>
      <c r="C1064" s="22">
        <v>45296.88</v>
      </c>
      <c r="D1064" s="24">
        <f t="shared" si="32"/>
        <v>-1.3220018885741319E-2</v>
      </c>
      <c r="E1064" s="24">
        <f t="shared" si="33"/>
        <v>-6.5872408066804172E-3</v>
      </c>
    </row>
    <row r="1065" spans="1:5" x14ac:dyDescent="0.35">
      <c r="A1065" s="22" t="s">
        <v>670</v>
      </c>
      <c r="B1065" s="22">
        <v>169.44</v>
      </c>
      <c r="C1065" s="22">
        <v>45597.24</v>
      </c>
      <c r="D1065" s="24">
        <f t="shared" si="32"/>
        <v>-2.3963133640552976E-2</v>
      </c>
      <c r="E1065" s="24">
        <f t="shared" si="33"/>
        <v>-8.9463222836476154E-3</v>
      </c>
    </row>
    <row r="1066" spans="1:5" x14ac:dyDescent="0.35">
      <c r="A1066" s="22" t="s">
        <v>671</v>
      </c>
      <c r="B1066" s="22">
        <v>173.6</v>
      </c>
      <c r="C1066" s="22">
        <v>46008.85</v>
      </c>
      <c r="D1066" s="24">
        <f t="shared" si="32"/>
        <v>-9.0758604943204715E-3</v>
      </c>
      <c r="E1066" s="24">
        <f t="shared" si="33"/>
        <v>-1.1162260486702595E-2</v>
      </c>
    </row>
    <row r="1067" spans="1:5" x14ac:dyDescent="0.35">
      <c r="A1067" s="22" t="s">
        <v>672</v>
      </c>
      <c r="B1067" s="22">
        <v>175.19</v>
      </c>
      <c r="C1067" s="22">
        <v>46528.21</v>
      </c>
      <c r="D1067" s="24">
        <f t="shared" si="32"/>
        <v>-4.7719138783162158E-3</v>
      </c>
      <c r="E1067" s="24">
        <f t="shared" si="33"/>
        <v>-2.3130160167836281E-3</v>
      </c>
    </row>
    <row r="1068" spans="1:5" x14ac:dyDescent="0.35">
      <c r="A1068" s="22" t="s">
        <v>673</v>
      </c>
      <c r="B1068" s="22">
        <v>176.03</v>
      </c>
      <c r="C1068" s="22">
        <v>46636.08</v>
      </c>
      <c r="D1068" s="24">
        <f t="shared" si="32"/>
        <v>-1.0789547625737497E-2</v>
      </c>
      <c r="E1068" s="24">
        <f t="shared" si="33"/>
        <v>-6.0608953961661374E-3</v>
      </c>
    </row>
    <row r="1069" spans="1:5" x14ac:dyDescent="0.35">
      <c r="A1069" s="22" t="s">
        <v>674</v>
      </c>
      <c r="B1069" s="22">
        <v>177.95</v>
      </c>
      <c r="C1069" s="22">
        <v>46920.46</v>
      </c>
      <c r="D1069" s="24">
        <f t="shared" si="32"/>
        <v>-2.5224215246637724E-3</v>
      </c>
      <c r="E1069" s="24">
        <f t="shared" si="33"/>
        <v>4.3611794663666022E-3</v>
      </c>
    </row>
    <row r="1070" spans="1:5" x14ac:dyDescent="0.35">
      <c r="A1070" s="22" t="s">
        <v>675</v>
      </c>
      <c r="B1070" s="22">
        <v>178.4</v>
      </c>
      <c r="C1070" s="22">
        <v>46716.72</v>
      </c>
      <c r="D1070" s="24">
        <f t="shared" si="32"/>
        <v>-6.2388591800356758E-3</v>
      </c>
      <c r="E1070" s="24">
        <f t="shared" si="33"/>
        <v>-3.7239285548247365E-3</v>
      </c>
    </row>
    <row r="1071" spans="1:5" x14ac:dyDescent="0.35">
      <c r="A1071" s="22" t="s">
        <v>676</v>
      </c>
      <c r="B1071" s="22">
        <v>179.52</v>
      </c>
      <c r="C1071" s="22">
        <v>46891.34</v>
      </c>
      <c r="D1071" s="24">
        <f t="shared" si="32"/>
        <v>-2.6666666666666098E-3</v>
      </c>
      <c r="E1071" s="24">
        <f t="shared" si="33"/>
        <v>-8.0202308164549832E-3</v>
      </c>
    </row>
    <row r="1072" spans="1:5" x14ac:dyDescent="0.35">
      <c r="A1072" s="22" t="s">
        <v>677</v>
      </c>
      <c r="B1072" s="22">
        <v>180</v>
      </c>
      <c r="C1072" s="22">
        <v>47270.46</v>
      </c>
      <c r="D1072" s="24">
        <f t="shared" si="32"/>
        <v>-4.3697107140881252E-3</v>
      </c>
      <c r="E1072" s="24">
        <f t="shared" si="33"/>
        <v>1.5290808205127399E-3</v>
      </c>
    </row>
    <row r="1073" spans="1:5" x14ac:dyDescent="0.35">
      <c r="A1073" s="23">
        <v>44478</v>
      </c>
      <c r="B1073" s="22">
        <v>180.79</v>
      </c>
      <c r="C1073" s="22">
        <v>47198.29</v>
      </c>
      <c r="D1073" s="24">
        <f t="shared" si="32"/>
        <v>-5.5309734513381231E-5</v>
      </c>
      <c r="E1073" s="24">
        <f t="shared" si="33"/>
        <v>1.2293158709296582E-2</v>
      </c>
    </row>
    <row r="1074" spans="1:5" x14ac:dyDescent="0.35">
      <c r="A1074" s="23">
        <v>44448</v>
      </c>
      <c r="B1074" s="22">
        <v>180.8</v>
      </c>
      <c r="C1074" s="22">
        <v>46625.120000000003</v>
      </c>
      <c r="D1074" s="24">
        <f t="shared" si="32"/>
        <v>2.2728532623761022E-3</v>
      </c>
      <c r="E1074" s="24">
        <f t="shared" si="33"/>
        <v>4.9229783749753699E-3</v>
      </c>
    </row>
    <row r="1075" spans="1:5" x14ac:dyDescent="0.35">
      <c r="A1075" s="23">
        <v>44417</v>
      </c>
      <c r="B1075" s="22">
        <v>180.39</v>
      </c>
      <c r="C1075" s="22">
        <v>46396.71</v>
      </c>
      <c r="D1075" s="24">
        <f t="shared" si="32"/>
        <v>-8.0285949958757655E-3</v>
      </c>
      <c r="E1075" s="24">
        <f t="shared" si="33"/>
        <v>-7.1313992136950262E-3</v>
      </c>
    </row>
    <row r="1076" spans="1:5" x14ac:dyDescent="0.35">
      <c r="A1076" s="23">
        <v>44386</v>
      </c>
      <c r="B1076" s="22">
        <v>181.85</v>
      </c>
      <c r="C1076" s="22">
        <v>46729.96</v>
      </c>
      <c r="D1076" s="24">
        <f t="shared" si="32"/>
        <v>-3.0753650996695501E-2</v>
      </c>
      <c r="E1076" s="24">
        <f t="shared" si="33"/>
        <v>-4.018882096025145E-3</v>
      </c>
    </row>
    <row r="1077" spans="1:5" x14ac:dyDescent="0.35">
      <c r="A1077" s="23">
        <v>44356</v>
      </c>
      <c r="B1077" s="22">
        <v>187.62</v>
      </c>
      <c r="C1077" s="22">
        <v>46918.52</v>
      </c>
      <c r="D1077" s="24">
        <f t="shared" si="32"/>
        <v>1.9729333115930187E-2</v>
      </c>
      <c r="E1077" s="24">
        <f t="shared" si="33"/>
        <v>-8.2947398997442509E-4</v>
      </c>
    </row>
    <row r="1078" spans="1:5" x14ac:dyDescent="0.35">
      <c r="A1078" s="23">
        <v>44264</v>
      </c>
      <c r="B1078" s="22">
        <v>183.99</v>
      </c>
      <c r="C1078" s="22">
        <v>46957.47</v>
      </c>
      <c r="D1078" s="24">
        <f t="shared" si="32"/>
        <v>6.5098468271334664E-3</v>
      </c>
      <c r="E1078" s="24">
        <f t="shared" si="33"/>
        <v>1.1600522439261637E-3</v>
      </c>
    </row>
    <row r="1079" spans="1:5" x14ac:dyDescent="0.35">
      <c r="A1079" s="23">
        <v>44236</v>
      </c>
      <c r="B1079" s="22">
        <v>182.8</v>
      </c>
      <c r="C1079" s="22">
        <v>46903.06</v>
      </c>
      <c r="D1079" s="24">
        <f t="shared" si="32"/>
        <v>-1.0394110004330812E-2</v>
      </c>
      <c r="E1079" s="24">
        <f t="shared" si="33"/>
        <v>-1.0764875628144445E-2</v>
      </c>
    </row>
    <row r="1080" spans="1:5" x14ac:dyDescent="0.35">
      <c r="A1080" s="23">
        <v>44205</v>
      </c>
      <c r="B1080" s="22">
        <v>184.72</v>
      </c>
      <c r="C1080" s="22">
        <v>47413.46</v>
      </c>
      <c r="D1080" s="24">
        <f t="shared" si="32"/>
        <v>1.7180616740088132E-2</v>
      </c>
      <c r="E1080" s="24">
        <f t="shared" si="33"/>
        <v>-1.3243429845880293E-4</v>
      </c>
    </row>
    <row r="1081" spans="1:5" x14ac:dyDescent="0.35">
      <c r="A1081" s="22" t="s">
        <v>678</v>
      </c>
      <c r="B1081" s="22">
        <v>181.6</v>
      </c>
      <c r="C1081" s="22">
        <v>47419.74</v>
      </c>
      <c r="D1081" s="24">
        <f t="shared" si="32"/>
        <v>-1.3747594171020072E-3</v>
      </c>
      <c r="E1081" s="24">
        <f t="shared" si="33"/>
        <v>1.1409099833846197E-3</v>
      </c>
    </row>
    <row r="1082" spans="1:5" x14ac:dyDescent="0.35">
      <c r="A1082" s="22" t="s">
        <v>679</v>
      </c>
      <c r="B1082" s="22">
        <v>181.85</v>
      </c>
      <c r="C1082" s="22">
        <v>47365.7</v>
      </c>
      <c r="D1082" s="24">
        <f t="shared" si="32"/>
        <v>2.5912449002094989E-3</v>
      </c>
      <c r="E1082" s="24">
        <f t="shared" si="33"/>
        <v>4.8618343352809009E-3</v>
      </c>
    </row>
    <row r="1083" spans="1:5" x14ac:dyDescent="0.35">
      <c r="A1083" s="22" t="s">
        <v>680</v>
      </c>
      <c r="B1083" s="22">
        <v>181.38</v>
      </c>
      <c r="C1083" s="22">
        <v>47136.53</v>
      </c>
      <c r="D1083" s="24">
        <f t="shared" si="32"/>
        <v>9.9337748344374634E-4</v>
      </c>
      <c r="E1083" s="24">
        <f t="shared" si="33"/>
        <v>-4.7872539206013009E-3</v>
      </c>
    </row>
    <row r="1084" spans="1:5" x14ac:dyDescent="0.35">
      <c r="A1084" s="22" t="s">
        <v>681</v>
      </c>
      <c r="B1084" s="22">
        <v>181.2</v>
      </c>
      <c r="C1084" s="22">
        <v>47363.27</v>
      </c>
      <c r="D1084" s="24">
        <f t="shared" si="32"/>
        <v>-1.3777900248002205E-3</v>
      </c>
      <c r="E1084" s="24">
        <f t="shared" si="33"/>
        <v>-5.7232045579070547E-3</v>
      </c>
    </row>
    <row r="1085" spans="1:5" x14ac:dyDescent="0.35">
      <c r="A1085" s="22" t="s">
        <v>682</v>
      </c>
      <c r="B1085" s="22">
        <v>181.45</v>
      </c>
      <c r="C1085" s="22">
        <v>47635.9</v>
      </c>
      <c r="D1085" s="24">
        <f t="shared" si="32"/>
        <v>-3.0219780219780845E-3</v>
      </c>
      <c r="E1085" s="24">
        <f t="shared" si="33"/>
        <v>-4.0312607218550879E-3</v>
      </c>
    </row>
    <row r="1086" spans="1:5" x14ac:dyDescent="0.35">
      <c r="A1086" s="22" t="s">
        <v>683</v>
      </c>
      <c r="B1086" s="22">
        <v>182</v>
      </c>
      <c r="C1086" s="22">
        <v>47828.71</v>
      </c>
      <c r="D1086" s="24">
        <f t="shared" si="32"/>
        <v>-2.192982456140382E-3</v>
      </c>
      <c r="E1086" s="24">
        <f t="shared" si="33"/>
        <v>-5.8924751118271225E-3</v>
      </c>
    </row>
    <row r="1087" spans="1:5" x14ac:dyDescent="0.35">
      <c r="A1087" s="22" t="s">
        <v>684</v>
      </c>
      <c r="B1087" s="22">
        <v>182.4</v>
      </c>
      <c r="C1087" s="22">
        <v>48112.21</v>
      </c>
      <c r="D1087" s="24">
        <f t="shared" si="32"/>
        <v>4.4052863436123977E-3</v>
      </c>
      <c r="E1087" s="24">
        <f t="shared" si="33"/>
        <v>1.0764536504549794E-2</v>
      </c>
    </row>
    <row r="1088" spans="1:5" x14ac:dyDescent="0.35">
      <c r="A1088" s="22" t="s">
        <v>685</v>
      </c>
      <c r="B1088" s="22">
        <v>181.6</v>
      </c>
      <c r="C1088" s="22">
        <v>47599.82</v>
      </c>
      <c r="D1088" s="24">
        <f t="shared" si="32"/>
        <v>-3.2930845225027133E-3</v>
      </c>
      <c r="E1088" s="24">
        <f t="shared" si="33"/>
        <v>7.2234700884181062E-3</v>
      </c>
    </row>
    <row r="1089" spans="1:5" x14ac:dyDescent="0.35">
      <c r="A1089" s="22" t="s">
        <v>686</v>
      </c>
      <c r="B1089" s="22">
        <v>182.2</v>
      </c>
      <c r="C1089" s="22">
        <v>47258.45</v>
      </c>
      <c r="D1089" s="24">
        <f t="shared" si="32"/>
        <v>3.7461436756279108E-3</v>
      </c>
      <c r="E1089" s="24">
        <f t="shared" si="33"/>
        <v>7.3681399038512995E-3</v>
      </c>
    </row>
    <row r="1090" spans="1:5" x14ac:dyDescent="0.35">
      <c r="A1090" s="22" t="s">
        <v>687</v>
      </c>
      <c r="B1090" s="22">
        <v>181.52</v>
      </c>
      <c r="C1090" s="22">
        <v>46912.79</v>
      </c>
      <c r="D1090" s="24">
        <f t="shared" si="32"/>
        <v>-8.8066930867457391E-4</v>
      </c>
      <c r="E1090" s="24">
        <f t="shared" si="33"/>
        <v>-5.4494566867302422E-3</v>
      </c>
    </row>
    <row r="1091" spans="1:5" x14ac:dyDescent="0.35">
      <c r="A1091" s="22" t="s">
        <v>688</v>
      </c>
      <c r="B1091" s="22">
        <v>181.68</v>
      </c>
      <c r="C1091" s="22">
        <v>47169.84</v>
      </c>
      <c r="D1091" s="24">
        <f t="shared" si="32"/>
        <v>4.756111049662724E-3</v>
      </c>
      <c r="E1091" s="24">
        <f t="shared" si="33"/>
        <v>-2.1349349999874243E-3</v>
      </c>
    </row>
    <row r="1092" spans="1:5" x14ac:dyDescent="0.35">
      <c r="A1092" s="23">
        <v>44538</v>
      </c>
      <c r="B1092" s="22">
        <v>180.82</v>
      </c>
      <c r="C1092" s="22">
        <v>47270.76</v>
      </c>
      <c r="D1092" s="24">
        <f t="shared" si="32"/>
        <v>-4.2951541850220331E-3</v>
      </c>
      <c r="E1092" s="24">
        <f t="shared" si="33"/>
        <v>-2.2504410332524795E-3</v>
      </c>
    </row>
    <row r="1093" spans="1:5" x14ac:dyDescent="0.35">
      <c r="A1093" s="23">
        <v>44508</v>
      </c>
      <c r="B1093" s="22">
        <v>181.6</v>
      </c>
      <c r="C1093" s="22">
        <v>47377.38</v>
      </c>
      <c r="D1093" s="24">
        <f t="shared" ref="D1093:D1156" si="34">(B1093-B1094)/B1094</f>
        <v>1.1025358324144908E-3</v>
      </c>
      <c r="E1093" s="24">
        <f t="shared" ref="E1093:E1156" si="35">(C1093-C1094)/C1094</f>
        <v>5.1320152038335908E-3</v>
      </c>
    </row>
    <row r="1094" spans="1:5" x14ac:dyDescent="0.35">
      <c r="A1094" s="23">
        <v>44477</v>
      </c>
      <c r="B1094" s="22">
        <v>181.4</v>
      </c>
      <c r="C1094" s="22">
        <v>47135.48</v>
      </c>
      <c r="D1094" s="24">
        <f t="shared" si="34"/>
        <v>3.3185840707964285E-3</v>
      </c>
      <c r="E1094" s="24">
        <f t="shared" si="35"/>
        <v>2.5167845763972676E-4</v>
      </c>
    </row>
    <row r="1095" spans="1:5" x14ac:dyDescent="0.35">
      <c r="A1095" s="23">
        <v>44447</v>
      </c>
      <c r="B1095" s="22">
        <v>180.8</v>
      </c>
      <c r="C1095" s="22">
        <v>47123.62</v>
      </c>
      <c r="D1095" s="24">
        <f t="shared" si="34"/>
        <v>-1.7391304347826025E-2</v>
      </c>
      <c r="E1095" s="24">
        <f t="shared" si="35"/>
        <v>-7.7138426130159013E-3</v>
      </c>
    </row>
    <row r="1096" spans="1:5" x14ac:dyDescent="0.35">
      <c r="A1096" s="23">
        <v>44355</v>
      </c>
      <c r="B1096" s="22">
        <v>184</v>
      </c>
      <c r="C1096" s="22">
        <v>47489.95</v>
      </c>
      <c r="D1096" s="24">
        <f t="shared" si="34"/>
        <v>4.3497172683782358E-4</v>
      </c>
      <c r="E1096" s="24">
        <f t="shared" si="35"/>
        <v>-3.1680774998278853E-3</v>
      </c>
    </row>
    <row r="1097" spans="1:5" x14ac:dyDescent="0.35">
      <c r="A1097" s="23">
        <v>44324</v>
      </c>
      <c r="B1097" s="22">
        <v>183.92</v>
      </c>
      <c r="C1097" s="22">
        <v>47640.88</v>
      </c>
      <c r="D1097" s="24">
        <f t="shared" si="34"/>
        <v>1.0875475802056449E-4</v>
      </c>
      <c r="E1097" s="24">
        <f t="shared" si="35"/>
        <v>-3.1178149013975347E-3</v>
      </c>
    </row>
    <row r="1098" spans="1:5" x14ac:dyDescent="0.35">
      <c r="A1098" s="23">
        <v>44294</v>
      </c>
      <c r="B1098" s="22">
        <v>183.9</v>
      </c>
      <c r="C1098" s="22">
        <v>47789.88</v>
      </c>
      <c r="D1098" s="24">
        <f t="shared" si="34"/>
        <v>6.0175054704594867E-3</v>
      </c>
      <c r="E1098" s="24">
        <f t="shared" si="35"/>
        <v>6.6082726528063948E-4</v>
      </c>
    </row>
    <row r="1099" spans="1:5" x14ac:dyDescent="0.35">
      <c r="A1099" s="23">
        <v>44263</v>
      </c>
      <c r="B1099" s="22">
        <v>182.8</v>
      </c>
      <c r="C1099" s="22">
        <v>47758.32</v>
      </c>
      <c r="D1099" s="24">
        <f t="shared" si="34"/>
        <v>2.3028840881676497E-3</v>
      </c>
      <c r="E1099" s="24">
        <f t="shared" si="35"/>
        <v>6.428853661234999E-3</v>
      </c>
    </row>
    <row r="1100" spans="1:5" x14ac:dyDescent="0.35">
      <c r="A1100" s="23">
        <v>44235</v>
      </c>
      <c r="B1100" s="22">
        <v>182.38</v>
      </c>
      <c r="C1100" s="22">
        <v>47453.25</v>
      </c>
      <c r="D1100" s="24">
        <f t="shared" si="34"/>
        <v>8.7389380530972574E-3</v>
      </c>
      <c r="E1100" s="24">
        <f t="shared" si="35"/>
        <v>8.4572850363901515E-3</v>
      </c>
    </row>
    <row r="1101" spans="1:5" x14ac:dyDescent="0.35">
      <c r="A1101" s="22" t="s">
        <v>689</v>
      </c>
      <c r="B1101" s="22">
        <v>180.8</v>
      </c>
      <c r="C1101" s="22">
        <v>47055.29</v>
      </c>
      <c r="D1101" s="24">
        <f t="shared" si="34"/>
        <v>-7.6838638858396126E-3</v>
      </c>
      <c r="E1101" s="24">
        <f t="shared" si="35"/>
        <v>-5.4328332593216368E-3</v>
      </c>
    </row>
    <row r="1102" spans="1:5" x14ac:dyDescent="0.35">
      <c r="A1102" s="22" t="s">
        <v>690</v>
      </c>
      <c r="B1102" s="22">
        <v>182.2</v>
      </c>
      <c r="C1102" s="22">
        <v>47312.33</v>
      </c>
      <c r="D1102" s="24">
        <f t="shared" si="34"/>
        <v>-2.0266199266035195E-3</v>
      </c>
      <c r="E1102" s="24">
        <f t="shared" si="35"/>
        <v>-1.2046148159585447E-4</v>
      </c>
    </row>
    <row r="1103" spans="1:5" x14ac:dyDescent="0.35">
      <c r="A1103" s="22" t="s">
        <v>691</v>
      </c>
      <c r="B1103" s="22">
        <v>182.57</v>
      </c>
      <c r="C1103" s="22">
        <v>47318.03</v>
      </c>
      <c r="D1103" s="24">
        <f t="shared" si="34"/>
        <v>-3.4388646288209361E-3</v>
      </c>
      <c r="E1103" s="24">
        <f t="shared" si="35"/>
        <v>-7.7371207534801239E-3</v>
      </c>
    </row>
    <row r="1104" spans="1:5" x14ac:dyDescent="0.35">
      <c r="A1104" s="22" t="s">
        <v>692</v>
      </c>
      <c r="B1104" s="22">
        <v>183.2</v>
      </c>
      <c r="C1104" s="22">
        <v>47686.99</v>
      </c>
      <c r="D1104" s="24">
        <f t="shared" si="34"/>
        <v>6.4828040874627974E-3</v>
      </c>
      <c r="E1104" s="24">
        <f t="shared" si="35"/>
        <v>3.0017192236722737E-4</v>
      </c>
    </row>
    <row r="1105" spans="1:5" x14ac:dyDescent="0.35">
      <c r="A1105" s="22" t="s">
        <v>693</v>
      </c>
      <c r="B1105" s="22">
        <v>182.02</v>
      </c>
      <c r="C1105" s="22">
        <v>47672.68</v>
      </c>
      <c r="D1105" s="24">
        <f t="shared" si="34"/>
        <v>1.9265701546761862E-3</v>
      </c>
      <c r="E1105" s="24">
        <f t="shared" si="35"/>
        <v>-2.5189844469082948E-3</v>
      </c>
    </row>
    <row r="1106" spans="1:5" x14ac:dyDescent="0.35">
      <c r="A1106" s="22" t="s">
        <v>694</v>
      </c>
      <c r="B1106" s="22">
        <v>181.67</v>
      </c>
      <c r="C1106" s="22">
        <v>47793.07</v>
      </c>
      <c r="D1106" s="24">
        <f t="shared" si="34"/>
        <v>-6.1816192560176361E-3</v>
      </c>
      <c r="E1106" s="24">
        <f t="shared" si="35"/>
        <v>-1.6750478241925101E-3</v>
      </c>
    </row>
    <row r="1107" spans="1:5" x14ac:dyDescent="0.35">
      <c r="A1107" s="22" t="s">
        <v>695</v>
      </c>
      <c r="B1107" s="22">
        <v>182.8</v>
      </c>
      <c r="C1107" s="22">
        <v>47873.26</v>
      </c>
      <c r="D1107" s="24">
        <f t="shared" si="34"/>
        <v>-1.0715445394523161E-2</v>
      </c>
      <c r="E1107" s="24">
        <f t="shared" si="35"/>
        <v>8.1385063823409445E-4</v>
      </c>
    </row>
    <row r="1108" spans="1:5" x14ac:dyDescent="0.35">
      <c r="A1108" s="22" t="s">
        <v>696</v>
      </c>
      <c r="B1108" s="22">
        <v>184.78</v>
      </c>
      <c r="C1108" s="22">
        <v>47834.33</v>
      </c>
      <c r="D1108" s="24">
        <f t="shared" si="34"/>
        <v>-3.9887882708064312E-3</v>
      </c>
      <c r="E1108" s="24">
        <f t="shared" si="35"/>
        <v>4.3266329695856977E-3</v>
      </c>
    </row>
    <row r="1109" spans="1:5" x14ac:dyDescent="0.35">
      <c r="A1109" s="22" t="s">
        <v>697</v>
      </c>
      <c r="B1109" s="22">
        <v>185.52</v>
      </c>
      <c r="C1109" s="22">
        <v>47628.26</v>
      </c>
      <c r="D1109" s="24">
        <f t="shared" si="34"/>
        <v>2.1585903083700529E-2</v>
      </c>
      <c r="E1109" s="24">
        <f t="shared" si="35"/>
        <v>2.8803067161324099E-3</v>
      </c>
    </row>
    <row r="1110" spans="1:5" x14ac:dyDescent="0.35">
      <c r="A1110" s="22" t="s">
        <v>698</v>
      </c>
      <c r="B1110" s="22">
        <v>181.6</v>
      </c>
      <c r="C1110" s="22">
        <v>47491.47</v>
      </c>
      <c r="D1110" s="24">
        <f t="shared" si="34"/>
        <v>-4.3313778167662267E-3</v>
      </c>
      <c r="E1110" s="24">
        <f t="shared" si="35"/>
        <v>2.3125287881408136E-4</v>
      </c>
    </row>
    <row r="1111" spans="1:5" x14ac:dyDescent="0.35">
      <c r="A1111" s="22" t="s">
        <v>699</v>
      </c>
      <c r="B1111" s="22">
        <v>182.39</v>
      </c>
      <c r="C1111" s="22">
        <v>47480.49</v>
      </c>
      <c r="D1111" s="24">
        <f t="shared" si="34"/>
        <v>-2.1337126600285304E-3</v>
      </c>
      <c r="E1111" s="24">
        <f t="shared" si="35"/>
        <v>7.0415292152849478E-4</v>
      </c>
    </row>
    <row r="1112" spans="1:5" x14ac:dyDescent="0.35">
      <c r="A1112" s="23">
        <v>44537</v>
      </c>
      <c r="B1112" s="22">
        <v>182.78</v>
      </c>
      <c r="C1112" s="22">
        <v>47447.08</v>
      </c>
      <c r="D1112" s="24">
        <f t="shared" si="34"/>
        <v>2.7980468535688313E-3</v>
      </c>
      <c r="E1112" s="24">
        <f t="shared" si="35"/>
        <v>-2.4466265588386745E-3</v>
      </c>
    </row>
    <row r="1113" spans="1:5" x14ac:dyDescent="0.35">
      <c r="A1113" s="23">
        <v>44446</v>
      </c>
      <c r="B1113" s="22">
        <v>182.27</v>
      </c>
      <c r="C1113" s="22">
        <v>47563.45</v>
      </c>
      <c r="D1113" s="24">
        <f t="shared" si="34"/>
        <v>-6.5793080760993545E-4</v>
      </c>
      <c r="E1113" s="24">
        <f t="shared" si="35"/>
        <v>-1.0191211110526135E-2</v>
      </c>
    </row>
    <row r="1114" spans="1:5" x14ac:dyDescent="0.35">
      <c r="A1114" s="23">
        <v>44415</v>
      </c>
      <c r="B1114" s="22">
        <v>182.39</v>
      </c>
      <c r="C1114" s="22">
        <v>48053.17</v>
      </c>
      <c r="D1114" s="24">
        <f t="shared" si="34"/>
        <v>2.236547085201783E-2</v>
      </c>
      <c r="E1114" s="24">
        <f t="shared" si="35"/>
        <v>1.7043078298473246E-2</v>
      </c>
    </row>
    <row r="1115" spans="1:5" x14ac:dyDescent="0.35">
      <c r="A1115" s="23">
        <v>44384</v>
      </c>
      <c r="B1115" s="22">
        <v>178.4</v>
      </c>
      <c r="C1115" s="22">
        <v>47247.92</v>
      </c>
      <c r="D1115" s="24">
        <f t="shared" si="34"/>
        <v>-1.5452538631346486E-2</v>
      </c>
      <c r="E1115" s="24">
        <f t="shared" si="35"/>
        <v>-2.0749306807564803E-3</v>
      </c>
    </row>
    <row r="1116" spans="1:5" x14ac:dyDescent="0.35">
      <c r="A1116" s="23">
        <v>44354</v>
      </c>
      <c r="B1116" s="22">
        <v>181.2</v>
      </c>
      <c r="C1116" s="22">
        <v>47346.16</v>
      </c>
      <c r="D1116" s="24">
        <f t="shared" si="34"/>
        <v>-1.3071895424836633E-2</v>
      </c>
      <c r="E1116" s="24">
        <f t="shared" si="35"/>
        <v>-1.7491363955308285E-3</v>
      </c>
    </row>
    <row r="1117" spans="1:5" x14ac:dyDescent="0.35">
      <c r="A1117" s="23">
        <v>44323</v>
      </c>
      <c r="B1117" s="22">
        <v>183.6</v>
      </c>
      <c r="C1117" s="22">
        <v>47429.120000000003</v>
      </c>
      <c r="D1117" s="24">
        <f t="shared" si="34"/>
        <v>4.8161120840630222E-3</v>
      </c>
      <c r="E1117" s="24">
        <f t="shared" si="35"/>
        <v>-5.3906603548448976E-3</v>
      </c>
    </row>
    <row r="1118" spans="1:5" x14ac:dyDescent="0.35">
      <c r="A1118" s="23">
        <v>44234</v>
      </c>
      <c r="B1118" s="22">
        <v>182.72</v>
      </c>
      <c r="C1118" s="22">
        <v>47686.18</v>
      </c>
      <c r="D1118" s="24">
        <f t="shared" si="34"/>
        <v>-2.6200873362444859E-3</v>
      </c>
      <c r="E1118" s="24">
        <f t="shared" si="35"/>
        <v>-2.3930676977282784E-3</v>
      </c>
    </row>
    <row r="1119" spans="1:5" x14ac:dyDescent="0.35">
      <c r="A1119" s="23">
        <v>44203</v>
      </c>
      <c r="B1119" s="22">
        <v>183.2</v>
      </c>
      <c r="C1119" s="22">
        <v>47800.57</v>
      </c>
      <c r="D1119" s="24">
        <f t="shared" si="34"/>
        <v>-6.3998264453845695E-3</v>
      </c>
      <c r="E1119" s="24">
        <f t="shared" si="35"/>
        <v>9.3874020663054659E-3</v>
      </c>
    </row>
    <row r="1120" spans="1:5" x14ac:dyDescent="0.35">
      <c r="A1120" s="22" t="s">
        <v>700</v>
      </c>
      <c r="B1120" s="22">
        <v>184.38</v>
      </c>
      <c r="C1120" s="22">
        <v>47356.02</v>
      </c>
      <c r="D1120" s="24">
        <f t="shared" si="34"/>
        <v>-3.1358131487889949E-3</v>
      </c>
      <c r="E1120" s="24">
        <f t="shared" si="35"/>
        <v>4.6300450785007443E-3</v>
      </c>
    </row>
    <row r="1121" spans="1:5" x14ac:dyDescent="0.35">
      <c r="A1121" s="22" t="s">
        <v>701</v>
      </c>
      <c r="B1121" s="22">
        <v>184.96</v>
      </c>
      <c r="C1121" s="22">
        <v>47137.77</v>
      </c>
      <c r="D1121" s="24">
        <f t="shared" si="34"/>
        <v>-1.6170212765957405E-2</v>
      </c>
      <c r="E1121" s="24">
        <f t="shared" si="35"/>
        <v>2.8811325391176878E-3</v>
      </c>
    </row>
    <row r="1122" spans="1:5" x14ac:dyDescent="0.35">
      <c r="A1122" s="22" t="s">
        <v>702</v>
      </c>
      <c r="B1122" s="22">
        <v>188</v>
      </c>
      <c r="C1122" s="22">
        <v>47002.35</v>
      </c>
      <c r="D1122" s="24">
        <f t="shared" si="34"/>
        <v>3.0701754385964879E-2</v>
      </c>
      <c r="E1122" s="24">
        <f t="shared" si="35"/>
        <v>-1.4707170938081923E-2</v>
      </c>
    </row>
    <row r="1123" spans="1:5" x14ac:dyDescent="0.35">
      <c r="A1123" s="22" t="s">
        <v>703</v>
      </c>
      <c r="B1123" s="22">
        <v>182.4</v>
      </c>
      <c r="C1123" s="22">
        <v>47703.94</v>
      </c>
      <c r="D1123" s="24">
        <f t="shared" si="34"/>
        <v>0</v>
      </c>
      <c r="E1123" s="24">
        <f t="shared" si="35"/>
        <v>-5.3917077786121946E-3</v>
      </c>
    </row>
    <row r="1124" spans="1:5" x14ac:dyDescent="0.35">
      <c r="A1124" s="22" t="s">
        <v>704</v>
      </c>
      <c r="B1124" s="22">
        <v>182.4</v>
      </c>
      <c r="C1124" s="22">
        <v>47962.54</v>
      </c>
      <c r="D1124" s="24">
        <f t="shared" si="34"/>
        <v>-1.0952902519166957E-3</v>
      </c>
      <c r="E1124" s="24">
        <f t="shared" si="35"/>
        <v>1.2910040980612764E-3</v>
      </c>
    </row>
    <row r="1125" spans="1:5" x14ac:dyDescent="0.35">
      <c r="A1125" s="22" t="s">
        <v>705</v>
      </c>
      <c r="B1125" s="22">
        <v>182.6</v>
      </c>
      <c r="C1125" s="22">
        <v>47900.7</v>
      </c>
      <c r="D1125" s="24">
        <f t="shared" si="34"/>
        <v>1.1513789133176598E-3</v>
      </c>
      <c r="E1125" s="24">
        <f t="shared" si="35"/>
        <v>-1.8013159358945402E-3</v>
      </c>
    </row>
    <row r="1126" spans="1:5" x14ac:dyDescent="0.35">
      <c r="A1126" s="22" t="s">
        <v>706</v>
      </c>
      <c r="B1126" s="22">
        <v>182.39</v>
      </c>
      <c r="C1126" s="22">
        <v>47987.14</v>
      </c>
      <c r="D1126" s="24">
        <f t="shared" si="34"/>
        <v>-1.8060420315237113E-3</v>
      </c>
      <c r="E1126" s="24">
        <f t="shared" si="35"/>
        <v>-5.2861212033855718E-4</v>
      </c>
    </row>
    <row r="1127" spans="1:5" x14ac:dyDescent="0.35">
      <c r="A1127" s="22" t="s">
        <v>707</v>
      </c>
      <c r="B1127" s="22">
        <v>182.72</v>
      </c>
      <c r="C1127" s="22">
        <v>48012.52</v>
      </c>
      <c r="D1127" s="24">
        <f t="shared" si="34"/>
        <v>1.0675369212898982E-2</v>
      </c>
      <c r="E1127" s="24">
        <f t="shared" si="35"/>
        <v>-4.6881474966038962E-3</v>
      </c>
    </row>
    <row r="1128" spans="1:5" x14ac:dyDescent="0.35">
      <c r="A1128" s="22" t="s">
        <v>708</v>
      </c>
      <c r="B1128" s="22">
        <v>180.79</v>
      </c>
      <c r="C1128" s="22">
        <v>48238.67</v>
      </c>
      <c r="D1128" s="24">
        <f t="shared" si="34"/>
        <v>1.0677549194991037E-2</v>
      </c>
      <c r="E1128" s="24">
        <f t="shared" si="35"/>
        <v>2.2318140501233243E-3</v>
      </c>
    </row>
    <row r="1129" spans="1:5" x14ac:dyDescent="0.35">
      <c r="A1129" s="22" t="s">
        <v>709</v>
      </c>
      <c r="B1129" s="22">
        <v>178.88</v>
      </c>
      <c r="C1129" s="22">
        <v>48131.25</v>
      </c>
      <c r="D1129" s="24">
        <f t="shared" si="34"/>
        <v>-1.4977973568281932E-2</v>
      </c>
      <c r="E1129" s="24">
        <f t="shared" si="35"/>
        <v>-7.2121185869074515E-3</v>
      </c>
    </row>
    <row r="1130" spans="1:5" x14ac:dyDescent="0.35">
      <c r="A1130" s="22" t="s">
        <v>710</v>
      </c>
      <c r="B1130" s="22">
        <v>181.6</v>
      </c>
      <c r="C1130" s="22">
        <v>48480.9</v>
      </c>
      <c r="D1130" s="24">
        <f t="shared" si="34"/>
        <v>1.5659955257270597E-2</v>
      </c>
      <c r="E1130" s="24">
        <f t="shared" si="35"/>
        <v>-3.1184868738145027E-3</v>
      </c>
    </row>
    <row r="1131" spans="1:5" x14ac:dyDescent="0.35">
      <c r="A1131" s="22" t="s">
        <v>711</v>
      </c>
      <c r="B1131" s="22">
        <v>178.8</v>
      </c>
      <c r="C1131" s="22">
        <v>48632.56</v>
      </c>
      <c r="D1131" s="24">
        <f t="shared" si="34"/>
        <v>-8.8691796008868867E-3</v>
      </c>
      <c r="E1131" s="24">
        <f t="shared" si="35"/>
        <v>-1.9193007112413736E-3</v>
      </c>
    </row>
    <row r="1132" spans="1:5" x14ac:dyDescent="0.35">
      <c r="A1132" s="22" t="s">
        <v>712</v>
      </c>
      <c r="B1132" s="22">
        <v>180.4</v>
      </c>
      <c r="C1132" s="22">
        <v>48726.080000000002</v>
      </c>
      <c r="D1132" s="24">
        <f t="shared" si="34"/>
        <v>2.3335926214024666E-3</v>
      </c>
      <c r="E1132" s="24">
        <f t="shared" si="35"/>
        <v>8.7229570940479638E-3</v>
      </c>
    </row>
    <row r="1133" spans="1:5" x14ac:dyDescent="0.35">
      <c r="A1133" s="23">
        <v>44506</v>
      </c>
      <c r="B1133" s="22">
        <v>179.98</v>
      </c>
      <c r="C1133" s="22">
        <v>48304.72</v>
      </c>
      <c r="D1133" s="24">
        <f t="shared" si="34"/>
        <v>1.5745809582933531E-2</v>
      </c>
      <c r="E1133" s="24">
        <f t="shared" si="35"/>
        <v>1.1031783681706658E-3</v>
      </c>
    </row>
    <row r="1134" spans="1:5" x14ac:dyDescent="0.35">
      <c r="A1134" s="23">
        <v>44475</v>
      </c>
      <c r="B1134" s="22">
        <v>177.19</v>
      </c>
      <c r="C1134" s="22">
        <v>48251.49</v>
      </c>
      <c r="D1134" s="24">
        <f t="shared" si="34"/>
        <v>4.478458049886576E-3</v>
      </c>
      <c r="E1134" s="24">
        <f t="shared" si="35"/>
        <v>9.9182420555899466E-3</v>
      </c>
    </row>
    <row r="1135" spans="1:5" x14ac:dyDescent="0.35">
      <c r="A1135" s="23">
        <v>44445</v>
      </c>
      <c r="B1135" s="22">
        <v>176.4</v>
      </c>
      <c r="C1135" s="22">
        <v>47777.62</v>
      </c>
      <c r="D1135" s="24">
        <f t="shared" si="34"/>
        <v>-6.6448924428427003E-3</v>
      </c>
      <c r="E1135" s="24">
        <f t="shared" si="35"/>
        <v>-7.6921191709392704E-3</v>
      </c>
    </row>
    <row r="1136" spans="1:5" x14ac:dyDescent="0.35">
      <c r="A1136" s="23">
        <v>44414</v>
      </c>
      <c r="B1136" s="22">
        <v>177.58</v>
      </c>
      <c r="C1136" s="22">
        <v>48147.98</v>
      </c>
      <c r="D1136" s="24">
        <f t="shared" si="34"/>
        <v>-7.9329608938546788E-3</v>
      </c>
      <c r="E1136" s="24">
        <f t="shared" si="35"/>
        <v>-3.2023081130521649E-3</v>
      </c>
    </row>
    <row r="1137" spans="1:5" x14ac:dyDescent="0.35">
      <c r="A1137" s="23">
        <v>44383</v>
      </c>
      <c r="B1137" s="22">
        <v>179</v>
      </c>
      <c r="C1137" s="22">
        <v>48302.66</v>
      </c>
      <c r="D1137" s="24">
        <f t="shared" si="34"/>
        <v>4.0385909804801371E-3</v>
      </c>
      <c r="E1137" s="24">
        <f t="shared" si="35"/>
        <v>1.8866789596717478E-3</v>
      </c>
    </row>
    <row r="1138" spans="1:5" x14ac:dyDescent="0.35">
      <c r="A1138" s="23">
        <v>44292</v>
      </c>
      <c r="B1138" s="22">
        <v>178.28</v>
      </c>
      <c r="C1138" s="22">
        <v>48211.7</v>
      </c>
      <c r="D1138" s="24">
        <f t="shared" si="34"/>
        <v>3.3203894422871483E-3</v>
      </c>
      <c r="E1138" s="24">
        <f t="shared" si="35"/>
        <v>2.4570872630891986E-3</v>
      </c>
    </row>
    <row r="1139" spans="1:5" x14ac:dyDescent="0.35">
      <c r="A1139" s="23">
        <v>44261</v>
      </c>
      <c r="B1139" s="22">
        <v>177.69</v>
      </c>
      <c r="C1139" s="22">
        <v>48093.53</v>
      </c>
      <c r="D1139" s="24">
        <f t="shared" si="34"/>
        <v>-1.2833333333333346E-2</v>
      </c>
      <c r="E1139" s="24">
        <f t="shared" si="35"/>
        <v>-6.9337522258866905E-4</v>
      </c>
    </row>
    <row r="1140" spans="1:5" x14ac:dyDescent="0.35">
      <c r="A1140" s="23">
        <v>44233</v>
      </c>
      <c r="B1140" s="22">
        <v>180</v>
      </c>
      <c r="C1140" s="22">
        <v>48126.9</v>
      </c>
      <c r="D1140" s="24">
        <f t="shared" si="34"/>
        <v>0</v>
      </c>
      <c r="E1140" s="24">
        <f t="shared" si="35"/>
        <v>-1.3355118749748519E-3</v>
      </c>
    </row>
    <row r="1141" spans="1:5" x14ac:dyDescent="0.35">
      <c r="A1141" s="23">
        <v>44202</v>
      </c>
      <c r="B1141" s="22">
        <v>180</v>
      </c>
      <c r="C1141" s="22">
        <v>48191.26</v>
      </c>
      <c r="D1141" s="24">
        <f t="shared" si="34"/>
        <v>4.4464206313924251E-4</v>
      </c>
      <c r="E1141" s="24">
        <f t="shared" si="35"/>
        <v>6.157464223780054E-3</v>
      </c>
    </row>
    <row r="1142" spans="1:5" x14ac:dyDescent="0.35">
      <c r="A1142" s="22" t="s">
        <v>713</v>
      </c>
      <c r="B1142" s="22">
        <v>179.92</v>
      </c>
      <c r="C1142" s="22">
        <v>47896.34</v>
      </c>
      <c r="D1142" s="24">
        <f t="shared" si="34"/>
        <v>4.6046511627906905E-2</v>
      </c>
      <c r="E1142" s="24">
        <f t="shared" si="35"/>
        <v>1.6340136259399916E-2</v>
      </c>
    </row>
    <row r="1143" spans="1:5" x14ac:dyDescent="0.35">
      <c r="A1143" s="22" t="s">
        <v>714</v>
      </c>
      <c r="B1143" s="22">
        <v>172</v>
      </c>
      <c r="C1143" s="22">
        <v>47126.29</v>
      </c>
      <c r="D1143" s="24">
        <f t="shared" si="34"/>
        <v>1.4150943396226448E-2</v>
      </c>
      <c r="E1143" s="24">
        <f t="shared" si="35"/>
        <v>7.171075479662131E-3</v>
      </c>
    </row>
    <row r="1144" spans="1:5" x14ac:dyDescent="0.35">
      <c r="A1144" s="22" t="s">
        <v>715</v>
      </c>
      <c r="B1144" s="22">
        <v>169.6</v>
      </c>
      <c r="C1144" s="22">
        <v>46790.75</v>
      </c>
      <c r="D1144" s="24">
        <f t="shared" si="34"/>
        <v>1.4354066985645968E-2</v>
      </c>
      <c r="E1144" s="24">
        <f t="shared" si="35"/>
        <v>-4.6056261696971742E-4</v>
      </c>
    </row>
    <row r="1145" spans="1:5" x14ac:dyDescent="0.35">
      <c r="A1145" s="22" t="s">
        <v>716</v>
      </c>
      <c r="B1145" s="22">
        <v>167.2</v>
      </c>
      <c r="C1145" s="22">
        <v>46812.31</v>
      </c>
      <c r="D1145" s="24">
        <f t="shared" si="34"/>
        <v>1.5302404663589881E-2</v>
      </c>
      <c r="E1145" s="24">
        <f t="shared" si="35"/>
        <v>1.1050598414795689E-2</v>
      </c>
    </row>
    <row r="1146" spans="1:5" x14ac:dyDescent="0.35">
      <c r="A1146" s="22" t="s">
        <v>717</v>
      </c>
      <c r="B1146" s="22">
        <v>164.68</v>
      </c>
      <c r="C1146" s="22">
        <v>46300.66</v>
      </c>
      <c r="D1146" s="24">
        <f t="shared" si="34"/>
        <v>1.403940886699508E-2</v>
      </c>
      <c r="E1146" s="24">
        <f t="shared" si="35"/>
        <v>4.4156781195177509E-3</v>
      </c>
    </row>
    <row r="1147" spans="1:5" x14ac:dyDescent="0.35">
      <c r="A1147" s="22" t="s">
        <v>718</v>
      </c>
      <c r="B1147" s="22">
        <v>162.4</v>
      </c>
      <c r="C1147" s="22">
        <v>46097.11</v>
      </c>
      <c r="D1147" s="24">
        <f t="shared" si="34"/>
        <v>1.5000000000000036E-2</v>
      </c>
      <c r="E1147" s="24">
        <f t="shared" si="35"/>
        <v>3.966679284189983E-3</v>
      </c>
    </row>
    <row r="1148" spans="1:5" x14ac:dyDescent="0.35">
      <c r="A1148" s="22" t="s">
        <v>719</v>
      </c>
      <c r="B1148" s="22">
        <v>160</v>
      </c>
      <c r="C1148" s="22">
        <v>45914.98</v>
      </c>
      <c r="D1148" s="24">
        <f t="shared" si="34"/>
        <v>-9.9009900990098664E-3</v>
      </c>
      <c r="E1148" s="24">
        <f t="shared" si="35"/>
        <v>7.4803501201451501E-3</v>
      </c>
    </row>
    <row r="1149" spans="1:5" x14ac:dyDescent="0.35">
      <c r="A1149" s="22" t="s">
        <v>720</v>
      </c>
      <c r="B1149" s="22">
        <v>161.6</v>
      </c>
      <c r="C1149" s="22">
        <v>45574.07</v>
      </c>
      <c r="D1149" s="24">
        <f t="shared" si="34"/>
        <v>9.9999999999999638E-3</v>
      </c>
      <c r="E1149" s="24">
        <f t="shared" si="35"/>
        <v>-2.3650396183539E-3</v>
      </c>
    </row>
    <row r="1150" spans="1:5" x14ac:dyDescent="0.35">
      <c r="A1150" s="22" t="s">
        <v>721</v>
      </c>
      <c r="B1150" s="22">
        <v>160</v>
      </c>
      <c r="C1150" s="22">
        <v>45682.11</v>
      </c>
      <c r="D1150" s="24">
        <f t="shared" si="34"/>
        <v>-2.9910269192422096E-3</v>
      </c>
      <c r="E1150" s="24">
        <f t="shared" si="35"/>
        <v>-6.5180108138390156E-3</v>
      </c>
    </row>
    <row r="1151" spans="1:5" x14ac:dyDescent="0.35">
      <c r="A1151" s="22" t="s">
        <v>722</v>
      </c>
      <c r="B1151" s="22">
        <v>160.47999999999999</v>
      </c>
      <c r="C1151" s="22">
        <v>45981.82</v>
      </c>
      <c r="D1151" s="24">
        <f t="shared" si="34"/>
        <v>-4.9825610363734738E-4</v>
      </c>
      <c r="E1151" s="24">
        <f t="shared" si="35"/>
        <v>4.0507630418259036E-3</v>
      </c>
    </row>
    <row r="1152" spans="1:5" x14ac:dyDescent="0.35">
      <c r="A1152" s="22" t="s">
        <v>723</v>
      </c>
      <c r="B1152" s="22">
        <v>160.56</v>
      </c>
      <c r="C1152" s="22">
        <v>45796.31</v>
      </c>
      <c r="D1152" s="24">
        <f t="shared" si="34"/>
        <v>-1.4925373134328922E-3</v>
      </c>
      <c r="E1152" s="24">
        <f t="shared" si="35"/>
        <v>1.376080887807259E-2</v>
      </c>
    </row>
    <row r="1153" spans="1:5" x14ac:dyDescent="0.35">
      <c r="A1153" s="23">
        <v>44352</v>
      </c>
      <c r="B1153" s="22">
        <v>160.80000000000001</v>
      </c>
      <c r="C1153" s="22">
        <v>45174.67</v>
      </c>
      <c r="D1153" s="24">
        <f t="shared" si="34"/>
        <v>-4.9504950495048447E-3</v>
      </c>
      <c r="E1153" s="24">
        <f t="shared" si="35"/>
        <v>5.1411090475375178E-3</v>
      </c>
    </row>
    <row r="1154" spans="1:5" x14ac:dyDescent="0.35">
      <c r="A1154" s="23">
        <v>44321</v>
      </c>
      <c r="B1154" s="22">
        <v>161.6</v>
      </c>
      <c r="C1154" s="22">
        <v>44943.61</v>
      </c>
      <c r="D1154" s="24">
        <f t="shared" si="34"/>
        <v>-9.7432440713279209E-3</v>
      </c>
      <c r="E1154" s="24">
        <f t="shared" si="35"/>
        <v>8.5275894513885467E-3</v>
      </c>
    </row>
    <row r="1155" spans="1:5" x14ac:dyDescent="0.35">
      <c r="A1155" s="23">
        <v>44291</v>
      </c>
      <c r="B1155" s="22">
        <v>163.19</v>
      </c>
      <c r="C1155" s="22">
        <v>44563.59</v>
      </c>
      <c r="D1155" s="24">
        <f t="shared" si="34"/>
        <v>5.3597831444061397E-3</v>
      </c>
      <c r="E1155" s="24">
        <f t="shared" si="35"/>
        <v>1.1057895190601718E-2</v>
      </c>
    </row>
    <row r="1156" spans="1:5" x14ac:dyDescent="0.35">
      <c r="A1156" s="23">
        <v>44260</v>
      </c>
      <c r="B1156" s="22">
        <v>162.32</v>
      </c>
      <c r="C1156" s="22">
        <v>44076.2</v>
      </c>
      <c r="D1156" s="24">
        <f t="shared" si="34"/>
        <v>-7.338551859099908E-3</v>
      </c>
      <c r="E1156" s="24">
        <f t="shared" si="35"/>
        <v>-4.2056058930445735E-3</v>
      </c>
    </row>
    <row r="1157" spans="1:5" x14ac:dyDescent="0.35">
      <c r="A1157" s="22" t="s">
        <v>724</v>
      </c>
      <c r="B1157" s="22">
        <v>163.52000000000001</v>
      </c>
      <c r="C1157" s="22">
        <v>44262.35</v>
      </c>
      <c r="D1157" s="24">
        <f t="shared" ref="D1157:D1220" si="36">(B1157-B1158)/B1158</f>
        <v>-2.6835813613076218E-3</v>
      </c>
      <c r="E1157" s="24">
        <f t="shared" ref="E1157:E1220" si="37">(C1157-C1158)/C1158</f>
        <v>-1.3390957514982845E-2</v>
      </c>
    </row>
    <row r="1158" spans="1:5" x14ac:dyDescent="0.35">
      <c r="A1158" s="22" t="s">
        <v>725</v>
      </c>
      <c r="B1158" s="22">
        <v>163.96</v>
      </c>
      <c r="C1158" s="22">
        <v>44863.11</v>
      </c>
      <c r="D1158" s="24">
        <f t="shared" si="36"/>
        <v>7.1253071253071041E-3</v>
      </c>
      <c r="E1158" s="24">
        <f t="shared" si="37"/>
        <v>-4.3500627619891827E-3</v>
      </c>
    </row>
    <row r="1159" spans="1:5" x14ac:dyDescent="0.35">
      <c r="A1159" s="22" t="s">
        <v>726</v>
      </c>
      <c r="B1159" s="22">
        <v>162.80000000000001</v>
      </c>
      <c r="C1159" s="22">
        <v>45059.12</v>
      </c>
      <c r="D1159" s="24">
        <f t="shared" si="36"/>
        <v>-5.254796529390109E-3</v>
      </c>
      <c r="E1159" s="24">
        <f t="shared" si="37"/>
        <v>-5.1608564438508754E-3</v>
      </c>
    </row>
    <row r="1160" spans="1:5" x14ac:dyDescent="0.35">
      <c r="A1160" s="22" t="s">
        <v>727</v>
      </c>
      <c r="B1160" s="22">
        <v>163.66</v>
      </c>
      <c r="C1160" s="22">
        <v>45292.87</v>
      </c>
      <c r="D1160" s="24">
        <f t="shared" si="36"/>
        <v>-2.073170731707338E-3</v>
      </c>
      <c r="E1160" s="24">
        <f t="shared" si="37"/>
        <v>-8.5349465454917506E-3</v>
      </c>
    </row>
    <row r="1161" spans="1:5" x14ac:dyDescent="0.35">
      <c r="A1161" s="22" t="s">
        <v>728</v>
      </c>
      <c r="B1161" s="22">
        <v>164</v>
      </c>
      <c r="C1161" s="22">
        <v>45682.77</v>
      </c>
      <c r="D1161" s="24">
        <f t="shared" si="36"/>
        <v>2.5000000000000001E-2</v>
      </c>
      <c r="E1161" s="24">
        <f t="shared" si="37"/>
        <v>2.1831374047235692E-2</v>
      </c>
    </row>
    <row r="1162" spans="1:5" x14ac:dyDescent="0.35">
      <c r="A1162" s="22" t="s">
        <v>729</v>
      </c>
      <c r="B1162" s="22">
        <v>160</v>
      </c>
      <c r="C1162" s="22">
        <v>44706.76</v>
      </c>
      <c r="D1162" s="24">
        <f t="shared" si="36"/>
        <v>-9.9009900990098664E-3</v>
      </c>
      <c r="E1162" s="24">
        <f t="shared" si="37"/>
        <v>-4.9599807343085897E-3</v>
      </c>
    </row>
    <row r="1163" spans="1:5" x14ac:dyDescent="0.35">
      <c r="A1163" s="22" t="s">
        <v>730</v>
      </c>
      <c r="B1163" s="22">
        <v>161.6</v>
      </c>
      <c r="C1163" s="22">
        <v>44929.61</v>
      </c>
      <c r="D1163" s="24">
        <f t="shared" si="36"/>
        <v>-4.8648315782991074E-3</v>
      </c>
      <c r="E1163" s="24">
        <f t="shared" si="37"/>
        <v>-8.3195494513595668E-3</v>
      </c>
    </row>
    <row r="1164" spans="1:5" x14ac:dyDescent="0.35">
      <c r="A1164" s="22" t="s">
        <v>731</v>
      </c>
      <c r="B1164" s="22">
        <v>162.38999999999999</v>
      </c>
      <c r="C1164" s="22">
        <v>45306.54</v>
      </c>
      <c r="D1164" s="24">
        <f t="shared" si="36"/>
        <v>2.0037688442211044E-2</v>
      </c>
      <c r="E1164" s="24">
        <f t="shared" si="37"/>
        <v>-2.0537544455060787E-3</v>
      </c>
    </row>
    <row r="1165" spans="1:5" x14ac:dyDescent="0.35">
      <c r="A1165" s="22" t="s">
        <v>732</v>
      </c>
      <c r="B1165" s="22">
        <v>159.19999999999999</v>
      </c>
      <c r="C1165" s="22">
        <v>45399.78</v>
      </c>
      <c r="D1165" s="24">
        <f t="shared" si="36"/>
        <v>1.5306122448979446E-2</v>
      </c>
      <c r="E1165" s="24">
        <f t="shared" si="37"/>
        <v>1.0825458764466934E-2</v>
      </c>
    </row>
    <row r="1166" spans="1:5" x14ac:dyDescent="0.35">
      <c r="A1166" s="22" t="s">
        <v>733</v>
      </c>
      <c r="B1166" s="22">
        <v>156.80000000000001</v>
      </c>
      <c r="C1166" s="22">
        <v>44913.57</v>
      </c>
      <c r="D1166" s="24">
        <f t="shared" si="36"/>
        <v>-1.9938746171635713E-2</v>
      </c>
      <c r="E1166" s="24">
        <f t="shared" si="37"/>
        <v>-8.653670636519074E-3</v>
      </c>
    </row>
    <row r="1167" spans="1:5" x14ac:dyDescent="0.35">
      <c r="A1167" s="22" t="s">
        <v>734</v>
      </c>
      <c r="B1167" s="22">
        <v>159.99</v>
      </c>
      <c r="C1167" s="22">
        <v>45305.63</v>
      </c>
      <c r="D1167" s="24">
        <f t="shared" si="36"/>
        <v>-1.2407407407407351E-2</v>
      </c>
      <c r="E1167" s="24">
        <f t="shared" si="37"/>
        <v>1.6681339760309839E-3</v>
      </c>
    </row>
    <row r="1168" spans="1:5" x14ac:dyDescent="0.35">
      <c r="A1168" s="22" t="s">
        <v>735</v>
      </c>
      <c r="B1168" s="22">
        <v>162</v>
      </c>
      <c r="C1168" s="22">
        <v>45230.18</v>
      </c>
      <c r="D1168" s="24">
        <f t="shared" si="36"/>
        <v>1.2500000000000001E-2</v>
      </c>
      <c r="E1168" s="24">
        <f t="shared" si="37"/>
        <v>-1.7885194881091455E-3</v>
      </c>
    </row>
    <row r="1169" spans="1:5" x14ac:dyDescent="0.35">
      <c r="A1169" s="22" t="s">
        <v>736</v>
      </c>
      <c r="B1169" s="22">
        <v>160</v>
      </c>
      <c r="C1169" s="22">
        <v>45311.22</v>
      </c>
      <c r="D1169" s="24">
        <f t="shared" si="36"/>
        <v>5.0025012506260951E-4</v>
      </c>
      <c r="E1169" s="24">
        <f t="shared" si="37"/>
        <v>5.8303737499326054E-3</v>
      </c>
    </row>
    <row r="1170" spans="1:5" x14ac:dyDescent="0.35">
      <c r="A1170" s="22" t="s">
        <v>737</v>
      </c>
      <c r="B1170" s="22">
        <v>159.91999999999999</v>
      </c>
      <c r="C1170" s="22">
        <v>45048.57</v>
      </c>
      <c r="D1170" s="24">
        <f t="shared" si="36"/>
        <v>-5.0000000000007818E-4</v>
      </c>
      <c r="E1170" s="24">
        <f t="shared" si="37"/>
        <v>1.5678758861266062E-3</v>
      </c>
    </row>
    <row r="1171" spans="1:5" x14ac:dyDescent="0.35">
      <c r="A1171" s="23">
        <v>44534</v>
      </c>
      <c r="B1171" s="22">
        <v>160</v>
      </c>
      <c r="C1171" s="22">
        <v>44978.05</v>
      </c>
      <c r="D1171" s="24">
        <f t="shared" si="36"/>
        <v>-1.0758006677383511E-2</v>
      </c>
      <c r="E1171" s="24">
        <f t="shared" si="37"/>
        <v>-4.6126629027089579E-3</v>
      </c>
    </row>
    <row r="1172" spans="1:5" x14ac:dyDescent="0.35">
      <c r="A1172" s="23">
        <v>44443</v>
      </c>
      <c r="B1172" s="22">
        <v>161.74</v>
      </c>
      <c r="C1172" s="22">
        <v>45186.48</v>
      </c>
      <c r="D1172" s="24">
        <f t="shared" si="36"/>
        <v>-1.6180048661800464E-2</v>
      </c>
      <c r="E1172" s="24">
        <f t="shared" si="37"/>
        <v>9.948736471131021E-3</v>
      </c>
    </row>
    <row r="1173" spans="1:5" x14ac:dyDescent="0.35">
      <c r="A1173" s="23">
        <v>44412</v>
      </c>
      <c r="B1173" s="22">
        <v>164.4</v>
      </c>
      <c r="C1173" s="22">
        <v>44741.36</v>
      </c>
      <c r="D1173" s="24">
        <f t="shared" si="36"/>
        <v>1.4063656550703189E-2</v>
      </c>
      <c r="E1173" s="24">
        <f t="shared" si="37"/>
        <v>1.7922999673746685E-2</v>
      </c>
    </row>
    <row r="1174" spans="1:5" x14ac:dyDescent="0.35">
      <c r="A1174" s="23">
        <v>44381</v>
      </c>
      <c r="B1174" s="22">
        <v>162.12</v>
      </c>
      <c r="C1174" s="22">
        <v>43953.58</v>
      </c>
      <c r="D1174" s="24">
        <f t="shared" si="36"/>
        <v>-6.0085836909870623E-3</v>
      </c>
      <c r="E1174" s="24">
        <f t="shared" si="37"/>
        <v>-1.015928494055799E-2</v>
      </c>
    </row>
    <row r="1175" spans="1:5" x14ac:dyDescent="0.35">
      <c r="A1175" s="23">
        <v>44351</v>
      </c>
      <c r="B1175" s="22">
        <v>163.1</v>
      </c>
      <c r="C1175" s="22">
        <v>44404.7</v>
      </c>
      <c r="D1175" s="24">
        <f t="shared" si="36"/>
        <v>2.9671717171717099E-2</v>
      </c>
      <c r="E1175" s="24">
        <f t="shared" si="37"/>
        <v>1.9667628129835829E-2</v>
      </c>
    </row>
    <row r="1176" spans="1:5" x14ac:dyDescent="0.35">
      <c r="A1176" s="23">
        <v>44320</v>
      </c>
      <c r="B1176" s="22">
        <v>158.4</v>
      </c>
      <c r="C1176" s="22">
        <v>43548.21</v>
      </c>
      <c r="D1176" s="24">
        <f t="shared" si="36"/>
        <v>-3.9999999999999966E-2</v>
      </c>
      <c r="E1176" s="24">
        <f t="shared" si="37"/>
        <v>-1.69915092114277E-2</v>
      </c>
    </row>
    <row r="1177" spans="1:5" x14ac:dyDescent="0.35">
      <c r="A1177" s="23">
        <v>44231</v>
      </c>
      <c r="B1177" s="22">
        <v>165</v>
      </c>
      <c r="C1177" s="22">
        <v>44300.95</v>
      </c>
      <c r="D1177" s="24">
        <f t="shared" si="36"/>
        <v>-3.1416143064282877E-3</v>
      </c>
      <c r="E1177" s="24">
        <f t="shared" si="37"/>
        <v>-2.8619274738285335E-3</v>
      </c>
    </row>
    <row r="1178" spans="1:5" x14ac:dyDescent="0.35">
      <c r="A1178" s="23">
        <v>44200</v>
      </c>
      <c r="B1178" s="22">
        <v>165.52</v>
      </c>
      <c r="C1178" s="22">
        <v>44428.1</v>
      </c>
      <c r="D1178" s="24">
        <f t="shared" si="36"/>
        <v>-1.470325614619917E-2</v>
      </c>
      <c r="E1178" s="24">
        <f t="shared" si="37"/>
        <v>-3.5828146008385696E-3</v>
      </c>
    </row>
    <row r="1179" spans="1:5" x14ac:dyDescent="0.35">
      <c r="A1179" s="22" t="s">
        <v>738</v>
      </c>
      <c r="B1179" s="22">
        <v>167.99</v>
      </c>
      <c r="C1179" s="22">
        <v>44587.85</v>
      </c>
      <c r="D1179" s="24">
        <f t="shared" si="36"/>
        <v>-5.9523809523755388E-5</v>
      </c>
      <c r="E1179" s="24">
        <f t="shared" si="37"/>
        <v>2.1761689940646397E-3</v>
      </c>
    </row>
    <row r="1180" spans="1:5" x14ac:dyDescent="0.35">
      <c r="A1180" s="22" t="s">
        <v>739</v>
      </c>
      <c r="B1180" s="22">
        <v>168</v>
      </c>
      <c r="C1180" s="22">
        <v>44491.03</v>
      </c>
      <c r="D1180" s="24">
        <f t="shared" si="36"/>
        <v>1.9417475728155269E-2</v>
      </c>
      <c r="E1180" s="24">
        <f t="shared" si="37"/>
        <v>1.3330542539351528E-3</v>
      </c>
    </row>
    <row r="1181" spans="1:5" x14ac:dyDescent="0.35">
      <c r="A1181" s="22" t="s">
        <v>740</v>
      </c>
      <c r="B1181" s="22">
        <v>164.8</v>
      </c>
      <c r="C1181" s="22">
        <v>44431.8</v>
      </c>
      <c r="D1181" s="24">
        <f t="shared" si="36"/>
        <v>-2.3523137998459433E-2</v>
      </c>
      <c r="E1181" s="24">
        <f t="shared" si="37"/>
        <v>-2.3940926544150431E-2</v>
      </c>
    </row>
    <row r="1182" spans="1:5" x14ac:dyDescent="0.35">
      <c r="A1182" s="22" t="s">
        <v>741</v>
      </c>
      <c r="B1182" s="22">
        <v>168.77</v>
      </c>
      <c r="C1182" s="22">
        <v>45521.63</v>
      </c>
      <c r="D1182" s="24">
        <f t="shared" si="36"/>
        <v>5.1816557474687582E-3</v>
      </c>
      <c r="E1182" s="24">
        <f t="shared" si="37"/>
        <v>-4.4729319059375657E-3</v>
      </c>
    </row>
    <row r="1183" spans="1:5" x14ac:dyDescent="0.35">
      <c r="A1183" s="22" t="s">
        <v>742</v>
      </c>
      <c r="B1183" s="22">
        <v>167.9</v>
      </c>
      <c r="C1183" s="22">
        <v>45726.16</v>
      </c>
      <c r="D1183" s="24">
        <f t="shared" si="36"/>
        <v>3.8985148514851554E-2</v>
      </c>
      <c r="E1183" s="24">
        <f t="shared" si="37"/>
        <v>3.9954602332372396E-3</v>
      </c>
    </row>
    <row r="1184" spans="1:5" x14ac:dyDescent="0.35">
      <c r="A1184" s="22" t="s">
        <v>743</v>
      </c>
      <c r="B1184" s="22">
        <v>161.6</v>
      </c>
      <c r="C1184" s="22">
        <v>45544.19</v>
      </c>
      <c r="D1184" s="24">
        <f t="shared" si="36"/>
        <v>9.9999999999999638E-3</v>
      </c>
      <c r="E1184" s="24">
        <f t="shared" si="37"/>
        <v>3.014050815143735E-3</v>
      </c>
    </row>
    <row r="1185" spans="1:5" x14ac:dyDescent="0.35">
      <c r="A1185" s="22" t="s">
        <v>744</v>
      </c>
      <c r="B1185" s="22">
        <v>160</v>
      </c>
      <c r="C1185" s="22">
        <v>45407.33</v>
      </c>
      <c r="D1185" s="24">
        <f t="shared" si="36"/>
        <v>-1.9607843137254832E-2</v>
      </c>
      <c r="E1185" s="24">
        <f t="shared" si="37"/>
        <v>1.1269604383480217E-2</v>
      </c>
    </row>
    <row r="1186" spans="1:5" x14ac:dyDescent="0.35">
      <c r="A1186" s="22" t="s">
        <v>745</v>
      </c>
      <c r="B1186" s="22">
        <v>163.19999999999999</v>
      </c>
      <c r="C1186" s="22">
        <v>44901.31</v>
      </c>
      <c r="D1186" s="24">
        <f t="shared" si="36"/>
        <v>1.9999999999999928E-2</v>
      </c>
      <c r="E1186" s="24">
        <f t="shared" si="37"/>
        <v>3.9625177393212739E-3</v>
      </c>
    </row>
    <row r="1187" spans="1:5" x14ac:dyDescent="0.35">
      <c r="A1187" s="22" t="s">
        <v>746</v>
      </c>
      <c r="B1187" s="22">
        <v>160</v>
      </c>
      <c r="C1187" s="22">
        <v>44724.09</v>
      </c>
      <c r="D1187" s="24">
        <f t="shared" si="36"/>
        <v>-6.7599067599067572E-2</v>
      </c>
      <c r="E1187" s="24">
        <f t="shared" si="37"/>
        <v>-1.5978328860683264E-2</v>
      </c>
    </row>
    <row r="1188" spans="1:5" x14ac:dyDescent="0.35">
      <c r="A1188" s="22" t="s">
        <v>747</v>
      </c>
      <c r="B1188" s="22">
        <v>171.6</v>
      </c>
      <c r="C1188" s="22">
        <v>45450.31</v>
      </c>
      <c r="D1188" s="24">
        <f t="shared" si="36"/>
        <v>6.8759342301943152E-2</v>
      </c>
      <c r="E1188" s="24">
        <f t="shared" si="37"/>
        <v>1.3225342900314912E-2</v>
      </c>
    </row>
    <row r="1189" spans="1:5" x14ac:dyDescent="0.35">
      <c r="A1189" s="22" t="s">
        <v>748</v>
      </c>
      <c r="B1189" s="22">
        <v>160.56</v>
      </c>
      <c r="C1189" s="22">
        <v>44857.06</v>
      </c>
      <c r="D1189" s="24">
        <f t="shared" si="36"/>
        <v>-1.1330049261083764E-2</v>
      </c>
      <c r="E1189" s="24">
        <f t="shared" si="37"/>
        <v>2.0209267670376761E-3</v>
      </c>
    </row>
    <row r="1190" spans="1:5" x14ac:dyDescent="0.35">
      <c r="A1190" s="22" t="s">
        <v>749</v>
      </c>
      <c r="B1190" s="22">
        <v>162.4</v>
      </c>
      <c r="C1190" s="22">
        <v>44766.59</v>
      </c>
      <c r="D1190" s="24">
        <f t="shared" si="36"/>
        <v>2.473498233215558E-2</v>
      </c>
      <c r="E1190" s="24">
        <f t="shared" si="37"/>
        <v>2.2346492470096763E-2</v>
      </c>
    </row>
    <row r="1191" spans="1:5" x14ac:dyDescent="0.35">
      <c r="A1191" s="23">
        <v>44533</v>
      </c>
      <c r="B1191" s="22">
        <v>158.47999999999999</v>
      </c>
      <c r="C1191" s="22">
        <v>43788.08</v>
      </c>
      <c r="D1191" s="24">
        <f t="shared" si="36"/>
        <v>4.2357274401473285E-2</v>
      </c>
      <c r="E1191" s="24">
        <f t="shared" si="37"/>
        <v>2.3570024703270884E-2</v>
      </c>
    </row>
    <row r="1192" spans="1:5" x14ac:dyDescent="0.35">
      <c r="A1192" s="23">
        <v>44503</v>
      </c>
      <c r="B1192" s="22">
        <v>152.04</v>
      </c>
      <c r="C1192" s="22">
        <v>42779.76</v>
      </c>
      <c r="D1192" s="24">
        <f t="shared" si="36"/>
        <v>-3.6013187927973665E-2</v>
      </c>
      <c r="E1192" s="24">
        <f t="shared" si="37"/>
        <v>-2.0871708297781139E-2</v>
      </c>
    </row>
    <row r="1193" spans="1:5" x14ac:dyDescent="0.35">
      <c r="A1193" s="23">
        <v>44472</v>
      </c>
      <c r="B1193" s="22">
        <v>157.72</v>
      </c>
      <c r="C1193" s="22">
        <v>43691.68</v>
      </c>
      <c r="D1193" s="24">
        <f t="shared" si="36"/>
        <v>-2.0248038471272663E-3</v>
      </c>
      <c r="E1193" s="24">
        <f t="shared" si="37"/>
        <v>-1.2012551865085385E-2</v>
      </c>
    </row>
    <row r="1194" spans="1:5" x14ac:dyDescent="0.35">
      <c r="A1194" s="23">
        <v>44442</v>
      </c>
      <c r="B1194" s="22">
        <v>158.04</v>
      </c>
      <c r="C1194" s="22">
        <v>44222.91</v>
      </c>
      <c r="D1194" s="24">
        <f t="shared" si="36"/>
        <v>-4.5652173913043492E-2</v>
      </c>
      <c r="E1194" s="24">
        <f t="shared" si="37"/>
        <v>-1.8382257461257826E-2</v>
      </c>
    </row>
    <row r="1195" spans="1:5" x14ac:dyDescent="0.35">
      <c r="A1195" s="23">
        <v>44411</v>
      </c>
      <c r="B1195" s="22">
        <v>165.6</v>
      </c>
      <c r="C1195" s="22">
        <v>45051.05</v>
      </c>
      <c r="D1195" s="24">
        <f t="shared" si="36"/>
        <v>-3.6481061267236922E-2</v>
      </c>
      <c r="E1195" s="24">
        <f t="shared" si="37"/>
        <v>-1.7154133037795501E-2</v>
      </c>
    </row>
    <row r="1196" spans="1:5" x14ac:dyDescent="0.35">
      <c r="A1196" s="23">
        <v>44319</v>
      </c>
      <c r="B1196" s="22">
        <v>171.87</v>
      </c>
      <c r="C1196" s="22">
        <v>45837.35</v>
      </c>
      <c r="D1196" s="24">
        <f t="shared" si="36"/>
        <v>2.3035714285714312E-2</v>
      </c>
      <c r="E1196" s="24">
        <f t="shared" si="37"/>
        <v>1.2341831768831711E-2</v>
      </c>
    </row>
    <row r="1197" spans="1:5" x14ac:dyDescent="0.35">
      <c r="A1197" s="23">
        <v>44289</v>
      </c>
      <c r="B1197" s="22">
        <v>168</v>
      </c>
      <c r="C1197" s="22">
        <v>45278.53</v>
      </c>
      <c r="D1197" s="24">
        <f t="shared" si="36"/>
        <v>-2.3255813953488372E-2</v>
      </c>
      <c r="E1197" s="24">
        <f t="shared" si="37"/>
        <v>-1.9112545325273966E-2</v>
      </c>
    </row>
    <row r="1198" spans="1:5" x14ac:dyDescent="0.35">
      <c r="A1198" s="23">
        <v>44258</v>
      </c>
      <c r="B1198" s="22">
        <v>172</v>
      </c>
      <c r="C1198" s="22">
        <v>46160.78</v>
      </c>
      <c r="D1198" s="24">
        <f t="shared" si="36"/>
        <v>-2.8985507246376812E-3</v>
      </c>
      <c r="E1198" s="24">
        <f t="shared" si="37"/>
        <v>4.275277296909144E-3</v>
      </c>
    </row>
    <row r="1199" spans="1:5" x14ac:dyDescent="0.35">
      <c r="A1199" s="23">
        <v>44230</v>
      </c>
      <c r="B1199" s="22">
        <v>172.5</v>
      </c>
      <c r="C1199" s="22">
        <v>45964.27</v>
      </c>
      <c r="D1199" s="24">
        <f t="shared" si="36"/>
        <v>-6.3364055299538844E-3</v>
      </c>
      <c r="E1199" s="24">
        <f t="shared" si="37"/>
        <v>8.133628024914916E-3</v>
      </c>
    </row>
    <row r="1200" spans="1:5" x14ac:dyDescent="0.35">
      <c r="A1200" s="23">
        <v>44199</v>
      </c>
      <c r="B1200" s="22">
        <v>173.6</v>
      </c>
      <c r="C1200" s="22">
        <v>45593.43</v>
      </c>
      <c r="D1200" s="24">
        <f t="shared" si="36"/>
        <v>-2.2988505747126762E-3</v>
      </c>
      <c r="E1200" s="24">
        <f t="shared" si="37"/>
        <v>-5.9215061936089101E-3</v>
      </c>
    </row>
    <row r="1201" spans="1:5" x14ac:dyDescent="0.35">
      <c r="A1201" s="22" t="s">
        <v>750</v>
      </c>
      <c r="B1201" s="22">
        <v>174</v>
      </c>
      <c r="C1201" s="22">
        <v>45865.02</v>
      </c>
      <c r="D1201" s="24">
        <f t="shared" si="36"/>
        <v>-2.3507826386101518E-3</v>
      </c>
      <c r="E1201" s="24">
        <f t="shared" si="37"/>
        <v>-2.1885922565605732E-3</v>
      </c>
    </row>
    <row r="1202" spans="1:5" x14ac:dyDescent="0.35">
      <c r="A1202" s="22" t="s">
        <v>751</v>
      </c>
      <c r="B1202" s="22">
        <v>174.41</v>
      </c>
      <c r="C1202" s="22">
        <v>45965.62</v>
      </c>
      <c r="D1202" s="24">
        <f t="shared" si="36"/>
        <v>4.665898617511534E-3</v>
      </c>
      <c r="E1202" s="24">
        <f t="shared" si="37"/>
        <v>1.329377650036662E-2</v>
      </c>
    </row>
    <row r="1203" spans="1:5" x14ac:dyDescent="0.35">
      <c r="A1203" s="22" t="s">
        <v>752</v>
      </c>
      <c r="B1203" s="22">
        <v>173.6</v>
      </c>
      <c r="C1203" s="22">
        <v>45362.58</v>
      </c>
      <c r="D1203" s="24">
        <f t="shared" si="36"/>
        <v>-1.9873532068654078E-2</v>
      </c>
      <c r="E1203" s="24">
        <f t="shared" si="37"/>
        <v>-8.0074351474728311E-3</v>
      </c>
    </row>
    <row r="1204" spans="1:5" x14ac:dyDescent="0.35">
      <c r="A1204" s="22" t="s">
        <v>753</v>
      </c>
      <c r="B1204" s="22">
        <v>177.12</v>
      </c>
      <c r="C1204" s="22">
        <v>45728.75</v>
      </c>
      <c r="D1204" s="24">
        <f t="shared" si="36"/>
        <v>-2.466960352422902E-2</v>
      </c>
      <c r="E1204" s="24">
        <f t="shared" si="37"/>
        <v>-3.5147060233549779E-3</v>
      </c>
    </row>
    <row r="1205" spans="1:5" x14ac:dyDescent="0.35">
      <c r="A1205" s="22" t="s">
        <v>754</v>
      </c>
      <c r="B1205" s="22">
        <v>181.6</v>
      </c>
      <c r="C1205" s="22">
        <v>45890.04</v>
      </c>
      <c r="D1205" s="24">
        <f t="shared" si="36"/>
        <v>1.3336309357736657E-2</v>
      </c>
      <c r="E1205" s="24">
        <f t="shared" si="37"/>
        <v>-7.3032049000976811E-3</v>
      </c>
    </row>
    <row r="1206" spans="1:5" x14ac:dyDescent="0.35">
      <c r="A1206" s="22" t="s">
        <v>755</v>
      </c>
      <c r="B1206" s="22">
        <v>179.21</v>
      </c>
      <c r="C1206" s="22">
        <v>46227.65</v>
      </c>
      <c r="D1206" s="24">
        <f t="shared" si="36"/>
        <v>-3.2552364500107969E-2</v>
      </c>
      <c r="E1206" s="24">
        <f t="shared" si="37"/>
        <v>1.8401594703739634E-3</v>
      </c>
    </row>
    <row r="1207" spans="1:5" x14ac:dyDescent="0.35">
      <c r="A1207" s="22" t="s">
        <v>756</v>
      </c>
      <c r="B1207" s="22">
        <v>185.24</v>
      </c>
      <c r="C1207" s="22">
        <v>46142.74</v>
      </c>
      <c r="D1207" s="24">
        <f t="shared" si="36"/>
        <v>2.4351967097787602E-3</v>
      </c>
      <c r="E1207" s="24">
        <f t="shared" si="37"/>
        <v>-1.3372351348589049E-2</v>
      </c>
    </row>
    <row r="1208" spans="1:5" x14ac:dyDescent="0.35">
      <c r="A1208" s="22" t="s">
        <v>757</v>
      </c>
      <c r="B1208" s="22">
        <v>184.79</v>
      </c>
      <c r="C1208" s="22">
        <v>46768.14</v>
      </c>
      <c r="D1208" s="24">
        <f t="shared" si="36"/>
        <v>-5.4112554112658691E-5</v>
      </c>
      <c r="E1208" s="24">
        <f t="shared" si="37"/>
        <v>-2.1296002918838497E-3</v>
      </c>
    </row>
    <row r="1209" spans="1:5" x14ac:dyDescent="0.35">
      <c r="A1209" s="22" t="s">
        <v>758</v>
      </c>
      <c r="B1209" s="22">
        <v>184.8</v>
      </c>
      <c r="C1209" s="22">
        <v>46867.95</v>
      </c>
      <c r="D1209" s="24">
        <f t="shared" si="36"/>
        <v>1.4047410008779643E-2</v>
      </c>
      <c r="E1209" s="24">
        <f t="shared" si="37"/>
        <v>1.0616792152940816E-2</v>
      </c>
    </row>
    <row r="1210" spans="1:5" x14ac:dyDescent="0.35">
      <c r="A1210" s="22" t="s">
        <v>759</v>
      </c>
      <c r="B1210" s="22">
        <v>182.24</v>
      </c>
      <c r="C1210" s="22">
        <v>46375.59</v>
      </c>
      <c r="D1210" s="24">
        <f t="shared" si="36"/>
        <v>-8.2176870748298832E-3</v>
      </c>
      <c r="E1210" s="24">
        <f t="shared" si="37"/>
        <v>1.238267425421901E-2</v>
      </c>
    </row>
    <row r="1211" spans="1:5" x14ac:dyDescent="0.35">
      <c r="A1211" s="23">
        <v>44532</v>
      </c>
      <c r="B1211" s="22">
        <v>183.75</v>
      </c>
      <c r="C1211" s="22">
        <v>45808.36</v>
      </c>
      <c r="D1211" s="24">
        <f t="shared" si="36"/>
        <v>-1.4163849991952285E-2</v>
      </c>
      <c r="E1211" s="24">
        <f t="shared" si="37"/>
        <v>-5.3665662661065653E-3</v>
      </c>
    </row>
    <row r="1212" spans="1:5" x14ac:dyDescent="0.35">
      <c r="A1212" s="23">
        <v>44502</v>
      </c>
      <c r="B1212" s="22">
        <v>186.39</v>
      </c>
      <c r="C1212" s="22">
        <v>46055.519999999997</v>
      </c>
      <c r="D1212" s="24">
        <f t="shared" si="36"/>
        <v>-4.3269230769230893E-3</v>
      </c>
      <c r="E1212" s="24">
        <f t="shared" si="37"/>
        <v>-1.2622552513930517E-2</v>
      </c>
    </row>
    <row r="1213" spans="1:5" x14ac:dyDescent="0.35">
      <c r="A1213" s="23">
        <v>44471</v>
      </c>
      <c r="B1213" s="22">
        <v>187.2</v>
      </c>
      <c r="C1213" s="22">
        <v>46644.29</v>
      </c>
      <c r="D1213" s="24">
        <f t="shared" si="36"/>
        <v>-6.3694267515924472E-3</v>
      </c>
      <c r="E1213" s="24">
        <f t="shared" si="37"/>
        <v>-6.5302946324097429E-4</v>
      </c>
    </row>
    <row r="1214" spans="1:5" x14ac:dyDescent="0.35">
      <c r="A1214" s="23">
        <v>44441</v>
      </c>
      <c r="B1214" s="22">
        <v>188.4</v>
      </c>
      <c r="C1214" s="22">
        <v>46674.77</v>
      </c>
      <c r="D1214" s="24">
        <f t="shared" si="36"/>
        <v>-2.1186440677966401E-3</v>
      </c>
      <c r="E1214" s="24">
        <f t="shared" si="37"/>
        <v>-1.0080932120226742E-3</v>
      </c>
    </row>
    <row r="1215" spans="1:5" x14ac:dyDescent="0.35">
      <c r="A1215" s="23">
        <v>44410</v>
      </c>
      <c r="B1215" s="22">
        <v>188.8</v>
      </c>
      <c r="C1215" s="22">
        <v>46721.87</v>
      </c>
      <c r="D1215" s="24">
        <f t="shared" si="36"/>
        <v>-8.4033613445377853E-3</v>
      </c>
      <c r="E1215" s="24">
        <f t="shared" si="37"/>
        <v>-3.9210511111740839E-3</v>
      </c>
    </row>
    <row r="1216" spans="1:5" x14ac:dyDescent="0.35">
      <c r="A1216" s="23">
        <v>44288</v>
      </c>
      <c r="B1216" s="22">
        <v>190.4</v>
      </c>
      <c r="C1216" s="22">
        <v>46905.79</v>
      </c>
      <c r="D1216" s="24">
        <f t="shared" si="36"/>
        <v>1.4925373134328419E-2</v>
      </c>
      <c r="E1216" s="24">
        <f t="shared" si="37"/>
        <v>-5.9317806868969031E-4</v>
      </c>
    </row>
    <row r="1217" spans="1:5" x14ac:dyDescent="0.35">
      <c r="A1217" s="23">
        <v>44257</v>
      </c>
      <c r="B1217" s="22">
        <v>187.6</v>
      </c>
      <c r="C1217" s="22">
        <v>46933.63</v>
      </c>
      <c r="D1217" s="24">
        <f t="shared" si="36"/>
        <v>1.0775862068965518E-2</v>
      </c>
      <c r="E1217" s="24">
        <f t="shared" si="37"/>
        <v>7.5845302975461517E-3</v>
      </c>
    </row>
    <row r="1218" spans="1:5" x14ac:dyDescent="0.35">
      <c r="A1218" s="23">
        <v>44229</v>
      </c>
      <c r="B1218" s="22">
        <v>185.6</v>
      </c>
      <c r="C1218" s="22">
        <v>46580.34</v>
      </c>
      <c r="D1218" s="24">
        <f t="shared" si="36"/>
        <v>5.3882213481280806E-5</v>
      </c>
      <c r="E1218" s="24">
        <f t="shared" si="37"/>
        <v>7.1762405010329959E-3</v>
      </c>
    </row>
    <row r="1219" spans="1:5" x14ac:dyDescent="0.35">
      <c r="A1219" s="23">
        <v>44198</v>
      </c>
      <c r="B1219" s="22">
        <v>185.59</v>
      </c>
      <c r="C1219" s="22">
        <v>46248.45</v>
      </c>
      <c r="D1219" s="24">
        <f t="shared" si="36"/>
        <v>-9.1515934539183625E-4</v>
      </c>
      <c r="E1219" s="24">
        <f t="shared" si="37"/>
        <v>-2.9554468914235726E-3</v>
      </c>
    </row>
    <row r="1220" spans="1:5" x14ac:dyDescent="0.35">
      <c r="A1220" s="22" t="s">
        <v>760</v>
      </c>
      <c r="B1220" s="22">
        <v>185.76</v>
      </c>
      <c r="C1220" s="22">
        <v>46385.54</v>
      </c>
      <c r="D1220" s="24">
        <f t="shared" si="36"/>
        <v>-7.639296970992077E-3</v>
      </c>
      <c r="E1220" s="24">
        <f t="shared" si="37"/>
        <v>4.7543595347663047E-3</v>
      </c>
    </row>
    <row r="1221" spans="1:5" x14ac:dyDescent="0.35">
      <c r="A1221" s="22" t="s">
        <v>761</v>
      </c>
      <c r="B1221" s="22">
        <v>187.19</v>
      </c>
      <c r="C1221" s="22">
        <v>46166.05</v>
      </c>
      <c r="D1221" s="24">
        <f t="shared" ref="D1221:D1284" si="38">(B1221-B1222)/B1222</f>
        <v>-8.5275423728814279E-3</v>
      </c>
      <c r="E1221" s="24">
        <f t="shared" ref="E1221:E1284" si="39">(C1221-C1222)/C1222</f>
        <v>-6.2869512828001147E-3</v>
      </c>
    </row>
    <row r="1222" spans="1:5" x14ac:dyDescent="0.35">
      <c r="A1222" s="22" t="s">
        <v>762</v>
      </c>
      <c r="B1222" s="22">
        <v>188.8</v>
      </c>
      <c r="C1222" s="22">
        <v>46458.13</v>
      </c>
      <c r="D1222" s="24">
        <f t="shared" si="38"/>
        <v>-4.2194092827003322E-3</v>
      </c>
      <c r="E1222" s="24">
        <f t="shared" si="39"/>
        <v>3.6889104546422805E-3</v>
      </c>
    </row>
    <row r="1223" spans="1:5" x14ac:dyDescent="0.35">
      <c r="A1223" s="22" t="s">
        <v>763</v>
      </c>
      <c r="B1223" s="22">
        <v>189.6</v>
      </c>
      <c r="C1223" s="22">
        <v>46287.38</v>
      </c>
      <c r="D1223" s="24">
        <f t="shared" si="38"/>
        <v>4.2372881355931301E-3</v>
      </c>
      <c r="E1223" s="24">
        <f t="shared" si="39"/>
        <v>4.3339168592706843E-3</v>
      </c>
    </row>
    <row r="1224" spans="1:5" x14ac:dyDescent="0.35">
      <c r="A1224" s="22" t="s">
        <v>764</v>
      </c>
      <c r="B1224" s="22">
        <v>188.8</v>
      </c>
      <c r="C1224" s="22">
        <v>46087.64</v>
      </c>
      <c r="D1224" s="24">
        <f t="shared" si="38"/>
        <v>-4.1143580546471204E-3</v>
      </c>
      <c r="E1224" s="24">
        <f t="shared" si="39"/>
        <v>4.7876473466055783E-3</v>
      </c>
    </row>
    <row r="1225" spans="1:5" x14ac:dyDescent="0.35">
      <c r="A1225" s="22" t="s">
        <v>765</v>
      </c>
      <c r="B1225" s="22">
        <v>189.58</v>
      </c>
      <c r="C1225" s="22">
        <v>45868.04</v>
      </c>
      <c r="D1225" s="24">
        <f t="shared" si="38"/>
        <v>-4.3067226890755941E-3</v>
      </c>
      <c r="E1225" s="24">
        <f t="shared" si="39"/>
        <v>-2.5317248479159752E-3</v>
      </c>
    </row>
    <row r="1226" spans="1:5" x14ac:dyDescent="0.35">
      <c r="A1226" s="22" t="s">
        <v>766</v>
      </c>
      <c r="B1226" s="22">
        <v>190.4</v>
      </c>
      <c r="C1226" s="22">
        <v>45984.46</v>
      </c>
      <c r="D1226" s="24">
        <f t="shared" si="38"/>
        <v>3.9358043561329811E-2</v>
      </c>
      <c r="E1226" s="24">
        <f t="shared" si="39"/>
        <v>6.7325000317446128E-3</v>
      </c>
    </row>
    <row r="1227" spans="1:5" x14ac:dyDescent="0.35">
      <c r="A1227" s="22" t="s">
        <v>767</v>
      </c>
      <c r="B1227" s="22">
        <v>183.19</v>
      </c>
      <c r="C1227" s="22">
        <v>45676.94</v>
      </c>
      <c r="D1227" s="24">
        <f t="shared" si="38"/>
        <v>-2.1995622230526958E-2</v>
      </c>
      <c r="E1227" s="24">
        <f t="shared" si="39"/>
        <v>-4.9297184533637576E-3</v>
      </c>
    </row>
    <row r="1228" spans="1:5" x14ac:dyDescent="0.35">
      <c r="A1228" s="22" t="s">
        <v>768</v>
      </c>
      <c r="B1228" s="22">
        <v>187.31</v>
      </c>
      <c r="C1228" s="22">
        <v>45903.23</v>
      </c>
      <c r="D1228" s="24">
        <f t="shared" si="38"/>
        <v>-1.5608576834139158E-2</v>
      </c>
      <c r="E1228" s="24">
        <f t="shared" si="39"/>
        <v>3.8609844405936076E-3</v>
      </c>
    </row>
    <row r="1229" spans="1:5" x14ac:dyDescent="0.35">
      <c r="A1229" s="22" t="s">
        <v>769</v>
      </c>
      <c r="B1229" s="22">
        <v>190.28</v>
      </c>
      <c r="C1229" s="22">
        <v>45726.68</v>
      </c>
      <c r="D1229" s="24">
        <f t="shared" si="38"/>
        <v>-1.7199524817933021E-2</v>
      </c>
      <c r="E1229" s="24">
        <f t="shared" si="39"/>
        <v>-4.4484117480568615E-3</v>
      </c>
    </row>
    <row r="1230" spans="1:5" x14ac:dyDescent="0.35">
      <c r="A1230" s="22" t="s">
        <v>770</v>
      </c>
      <c r="B1230" s="22">
        <v>193.61</v>
      </c>
      <c r="C1230" s="22">
        <v>45931</v>
      </c>
      <c r="D1230" s="24">
        <f t="shared" si="38"/>
        <v>6.1458333333333372E-2</v>
      </c>
      <c r="E1230" s="24">
        <f t="shared" si="39"/>
        <v>-1.268772009171657E-3</v>
      </c>
    </row>
    <row r="1231" spans="1:5" x14ac:dyDescent="0.35">
      <c r="A1231" s="22" t="s">
        <v>771</v>
      </c>
      <c r="B1231" s="22">
        <v>182.4</v>
      </c>
      <c r="C1231" s="22">
        <v>45989.35</v>
      </c>
      <c r="D1231" s="24">
        <f t="shared" si="38"/>
        <v>-1.0470352085932874E-2</v>
      </c>
      <c r="E1231" s="24">
        <f t="shared" si="39"/>
        <v>-2.2262017063279711E-3</v>
      </c>
    </row>
    <row r="1232" spans="1:5" x14ac:dyDescent="0.35">
      <c r="A1232" s="22" t="s">
        <v>772</v>
      </c>
      <c r="B1232" s="22">
        <v>184.33</v>
      </c>
      <c r="C1232" s="22">
        <v>46091.96</v>
      </c>
      <c r="D1232" s="24">
        <f t="shared" si="38"/>
        <v>1.0581140350877229E-2</v>
      </c>
      <c r="E1232" s="24">
        <f t="shared" si="39"/>
        <v>3.7001840510569269E-3</v>
      </c>
    </row>
    <row r="1233" spans="1:5" x14ac:dyDescent="0.35">
      <c r="A1233" s="23">
        <v>44531</v>
      </c>
      <c r="B1233" s="22">
        <v>182.4</v>
      </c>
      <c r="C1233" s="22">
        <v>45922.04</v>
      </c>
      <c r="D1233" s="24">
        <f t="shared" si="38"/>
        <v>-3.9318479685452098E-3</v>
      </c>
      <c r="E1233" s="24">
        <f t="shared" si="39"/>
        <v>6.9425958581239384E-3</v>
      </c>
    </row>
    <row r="1234" spans="1:5" x14ac:dyDescent="0.35">
      <c r="A1234" s="23">
        <v>44501</v>
      </c>
      <c r="B1234" s="22">
        <v>183.12</v>
      </c>
      <c r="C1234" s="22">
        <v>45605.42</v>
      </c>
      <c r="D1234" s="24">
        <f t="shared" si="38"/>
        <v>-1.5267175572519145E-3</v>
      </c>
      <c r="E1234" s="24">
        <f t="shared" si="39"/>
        <v>-1.0715301108284176E-3</v>
      </c>
    </row>
    <row r="1235" spans="1:5" x14ac:dyDescent="0.35">
      <c r="A1235" s="23">
        <v>44409</v>
      </c>
      <c r="B1235" s="22">
        <v>183.4</v>
      </c>
      <c r="C1235" s="22">
        <v>45654.34</v>
      </c>
      <c r="D1235" s="24">
        <f t="shared" si="38"/>
        <v>1.0917030567686521E-3</v>
      </c>
      <c r="E1235" s="24">
        <f t="shared" si="39"/>
        <v>6.8321345855530922E-3</v>
      </c>
    </row>
    <row r="1236" spans="1:5" x14ac:dyDescent="0.35">
      <c r="A1236" s="23">
        <v>44378</v>
      </c>
      <c r="B1236" s="22">
        <v>183.2</v>
      </c>
      <c r="C1236" s="22">
        <v>45344.54</v>
      </c>
      <c r="D1236" s="24">
        <f t="shared" si="38"/>
        <v>3.1531531531531501E-2</v>
      </c>
      <c r="E1236" s="24">
        <f t="shared" si="39"/>
        <v>4.2326804924190152E-3</v>
      </c>
    </row>
    <row r="1237" spans="1:5" x14ac:dyDescent="0.35">
      <c r="A1237" s="23">
        <v>44348</v>
      </c>
      <c r="B1237" s="22">
        <v>177.6</v>
      </c>
      <c r="C1237" s="22">
        <v>45153.42</v>
      </c>
      <c r="D1237" s="24">
        <f t="shared" si="38"/>
        <v>9.0909090909090592E-3</v>
      </c>
      <c r="E1237" s="24">
        <f t="shared" si="39"/>
        <v>1.1265065084479544E-2</v>
      </c>
    </row>
    <row r="1238" spans="1:5" x14ac:dyDescent="0.35">
      <c r="A1238" s="23">
        <v>44317</v>
      </c>
      <c r="B1238" s="22">
        <v>176</v>
      </c>
      <c r="C1238" s="22">
        <v>44650.43</v>
      </c>
      <c r="D1238" s="24">
        <f t="shared" si="38"/>
        <v>-4.524886877828118E-3</v>
      </c>
      <c r="E1238" s="24">
        <f t="shared" si="39"/>
        <v>-8.0628449870495081E-4</v>
      </c>
    </row>
    <row r="1239" spans="1:5" x14ac:dyDescent="0.35">
      <c r="A1239" s="23">
        <v>44287</v>
      </c>
      <c r="B1239" s="22">
        <v>176.8</v>
      </c>
      <c r="C1239" s="22">
        <v>44686.46</v>
      </c>
      <c r="D1239" s="24">
        <f t="shared" si="38"/>
        <v>2.0667359427317934E-2</v>
      </c>
      <c r="E1239" s="24">
        <f t="shared" si="39"/>
        <v>5.6635789966421862E-3</v>
      </c>
    </row>
    <row r="1240" spans="1:5" x14ac:dyDescent="0.35">
      <c r="A1240" s="23">
        <v>44197</v>
      </c>
      <c r="B1240" s="22">
        <v>173.22</v>
      </c>
      <c r="C1240" s="22">
        <v>44434.8</v>
      </c>
      <c r="D1240" s="24">
        <f t="shared" si="38"/>
        <v>-1.5739530655150918E-2</v>
      </c>
      <c r="E1240" s="24">
        <f t="shared" si="39"/>
        <v>1.552769053771229E-2</v>
      </c>
    </row>
    <row r="1241" spans="1:5" x14ac:dyDescent="0.35">
      <c r="A1241" s="22" t="s">
        <v>773</v>
      </c>
      <c r="B1241" s="22">
        <v>175.99</v>
      </c>
      <c r="C1241" s="22">
        <v>43755.38</v>
      </c>
      <c r="D1241" s="24">
        <f t="shared" si="38"/>
        <v>-5.6818181818130142E-5</v>
      </c>
      <c r="E1241" s="24">
        <f t="shared" si="39"/>
        <v>1.3873517099074429E-3</v>
      </c>
    </row>
    <row r="1242" spans="1:5" x14ac:dyDescent="0.35">
      <c r="A1242" s="22" t="s">
        <v>774</v>
      </c>
      <c r="B1242" s="22">
        <v>176</v>
      </c>
      <c r="C1242" s="22">
        <v>43694.76</v>
      </c>
      <c r="D1242" s="24">
        <f t="shared" si="38"/>
        <v>3.7735849056603807E-2</v>
      </c>
      <c r="E1242" s="24">
        <f t="shared" si="39"/>
        <v>1.0153841530162005E-2</v>
      </c>
    </row>
    <row r="1243" spans="1:5" x14ac:dyDescent="0.35">
      <c r="A1243" s="22" t="s">
        <v>775</v>
      </c>
      <c r="B1243" s="22">
        <v>169.6</v>
      </c>
      <c r="C1243" s="22">
        <v>43255.55</v>
      </c>
      <c r="D1243" s="24">
        <f t="shared" si="38"/>
        <v>8.3234244946492619E-3</v>
      </c>
      <c r="E1243" s="24">
        <f t="shared" si="39"/>
        <v>-9.5875650382787284E-3</v>
      </c>
    </row>
    <row r="1244" spans="1:5" x14ac:dyDescent="0.35">
      <c r="A1244" s="22" t="s">
        <v>776</v>
      </c>
      <c r="B1244" s="22">
        <v>168.2</v>
      </c>
      <c r="C1244" s="22">
        <v>43674.28</v>
      </c>
      <c r="D1244" s="24">
        <f t="shared" si="38"/>
        <v>5.0191204588908639E-3</v>
      </c>
      <c r="E1244" s="24">
        <f t="shared" si="39"/>
        <v>5.9311183213307224E-3</v>
      </c>
    </row>
    <row r="1245" spans="1:5" x14ac:dyDescent="0.35">
      <c r="A1245" s="22" t="s">
        <v>777</v>
      </c>
      <c r="B1245" s="22">
        <v>167.36</v>
      </c>
      <c r="C1245" s="22">
        <v>43416.77</v>
      </c>
      <c r="D1245" s="24">
        <f t="shared" si="38"/>
        <v>2.0356843491797592E-3</v>
      </c>
      <c r="E1245" s="24">
        <f t="shared" si="39"/>
        <v>7.6372143326285625E-3</v>
      </c>
    </row>
    <row r="1246" spans="1:5" x14ac:dyDescent="0.35">
      <c r="A1246" s="22" t="s">
        <v>778</v>
      </c>
      <c r="B1246" s="22">
        <v>167.02</v>
      </c>
      <c r="C1246" s="22">
        <v>43087.7</v>
      </c>
      <c r="D1246" s="24">
        <f t="shared" si="38"/>
        <v>8.5748792270532361E-3</v>
      </c>
      <c r="E1246" s="24">
        <f t="shared" si="39"/>
        <v>4.2128382960890422E-3</v>
      </c>
    </row>
    <row r="1247" spans="1:5" x14ac:dyDescent="0.35">
      <c r="A1247" s="22" t="s">
        <v>779</v>
      </c>
      <c r="B1247" s="22">
        <v>165.6</v>
      </c>
      <c r="C1247" s="22">
        <v>42906.94</v>
      </c>
      <c r="D1247" s="24">
        <f t="shared" si="38"/>
        <v>-1.6743854649091519E-2</v>
      </c>
      <c r="E1247" s="24">
        <f t="shared" si="39"/>
        <v>-9.8495953270613876E-3</v>
      </c>
    </row>
    <row r="1248" spans="1:5" x14ac:dyDescent="0.35">
      <c r="A1248" s="22" t="s">
        <v>780</v>
      </c>
      <c r="B1248" s="22">
        <v>168.42</v>
      </c>
      <c r="C1248" s="22">
        <v>43333.760000000002</v>
      </c>
      <c r="D1248" s="24">
        <f t="shared" si="38"/>
        <v>-1.5720881304424207E-2</v>
      </c>
      <c r="E1248" s="24">
        <f t="shared" si="39"/>
        <v>-9.3000659571038959E-3</v>
      </c>
    </row>
    <row r="1249" spans="1:5" x14ac:dyDescent="0.35">
      <c r="A1249" s="22" t="s">
        <v>781</v>
      </c>
      <c r="B1249" s="22">
        <v>171.11</v>
      </c>
      <c r="C1249" s="22">
        <v>43740.55</v>
      </c>
      <c r="D1249" s="24">
        <f t="shared" si="38"/>
        <v>6.2926370265821083E-3</v>
      </c>
      <c r="E1249" s="24">
        <f t="shared" si="39"/>
        <v>-5.9725786894095523E-4</v>
      </c>
    </row>
    <row r="1250" spans="1:5" x14ac:dyDescent="0.35">
      <c r="A1250" s="22" t="s">
        <v>782</v>
      </c>
      <c r="B1250" s="22">
        <v>170.04</v>
      </c>
      <c r="C1250" s="22">
        <v>43766.69</v>
      </c>
      <c r="D1250" s="24">
        <f t="shared" si="38"/>
        <v>-6.0790273556232191E-3</v>
      </c>
      <c r="E1250" s="24">
        <f t="shared" si="39"/>
        <v>9.3749589196910794E-3</v>
      </c>
    </row>
    <row r="1251" spans="1:5" x14ac:dyDescent="0.35">
      <c r="A1251" s="22" t="s">
        <v>783</v>
      </c>
      <c r="B1251" s="22">
        <v>171.08</v>
      </c>
      <c r="C1251" s="22">
        <v>43360.19</v>
      </c>
      <c r="D1251" s="24">
        <f t="shared" si="38"/>
        <v>1.5807037058720814E-3</v>
      </c>
      <c r="E1251" s="24">
        <f t="shared" si="39"/>
        <v>2.5282745953605947E-3</v>
      </c>
    </row>
    <row r="1252" spans="1:5" x14ac:dyDescent="0.35">
      <c r="A1252" s="22" t="s">
        <v>784</v>
      </c>
      <c r="B1252" s="22">
        <v>170.81</v>
      </c>
      <c r="C1252" s="22">
        <v>43250.84</v>
      </c>
      <c r="D1252" s="24">
        <f t="shared" si="38"/>
        <v>-6.4357594196106499E-4</v>
      </c>
      <c r="E1252" s="24">
        <f t="shared" si="39"/>
        <v>-3.5547362353366337E-4</v>
      </c>
    </row>
    <row r="1253" spans="1:5" x14ac:dyDescent="0.35">
      <c r="A1253" s="22" t="s">
        <v>785</v>
      </c>
      <c r="B1253" s="22">
        <v>170.92</v>
      </c>
      <c r="C1253" s="22">
        <v>43266.22</v>
      </c>
      <c r="D1253" s="24">
        <f t="shared" si="38"/>
        <v>3.2871566095326005E-3</v>
      </c>
      <c r="E1253" s="24">
        <f t="shared" si="39"/>
        <v>1.8738466964866623E-2</v>
      </c>
    </row>
    <row r="1254" spans="1:5" x14ac:dyDescent="0.35">
      <c r="A1254" s="23">
        <v>44147</v>
      </c>
      <c r="B1254" s="22">
        <v>170.36</v>
      </c>
      <c r="C1254" s="22">
        <v>42470.39</v>
      </c>
      <c r="D1254" s="24">
        <f t="shared" si="38"/>
        <v>1.7925430210325045E-2</v>
      </c>
      <c r="E1254" s="24">
        <f t="shared" si="39"/>
        <v>3.8895339272309194E-3</v>
      </c>
    </row>
    <row r="1255" spans="1:5" x14ac:dyDescent="0.35">
      <c r="A1255" s="23">
        <v>44116</v>
      </c>
      <c r="B1255" s="22">
        <v>167.36</v>
      </c>
      <c r="C1255" s="22">
        <v>42305.84</v>
      </c>
      <c r="D1255" s="24">
        <f t="shared" si="38"/>
        <v>-1.9566490919742094E-2</v>
      </c>
      <c r="E1255" s="24">
        <f t="shared" si="39"/>
        <v>2.4123288700154386E-3</v>
      </c>
    </row>
    <row r="1256" spans="1:5" x14ac:dyDescent="0.35">
      <c r="A1256" s="23">
        <v>44086</v>
      </c>
      <c r="B1256" s="22">
        <v>170.7</v>
      </c>
      <c r="C1256" s="22">
        <v>42204.03</v>
      </c>
      <c r="D1256" s="24">
        <f t="shared" si="38"/>
        <v>6.5451972404032381E-3</v>
      </c>
      <c r="E1256" s="24">
        <f t="shared" si="39"/>
        <v>2.428638409112394E-3</v>
      </c>
    </row>
    <row r="1257" spans="1:5" x14ac:dyDescent="0.35">
      <c r="A1257" s="23">
        <v>44055</v>
      </c>
      <c r="B1257" s="22">
        <v>169.59</v>
      </c>
      <c r="C1257" s="22">
        <v>42101.78</v>
      </c>
      <c r="D1257" s="24">
        <f t="shared" si="38"/>
        <v>-6.6190253045922886E-3</v>
      </c>
      <c r="E1257" s="24">
        <f t="shared" si="39"/>
        <v>-3.2126084314703697E-4</v>
      </c>
    </row>
    <row r="1258" spans="1:5" x14ac:dyDescent="0.35">
      <c r="A1258" s="23">
        <v>44024</v>
      </c>
      <c r="B1258" s="22">
        <v>170.72</v>
      </c>
      <c r="C1258" s="22">
        <v>42115.31</v>
      </c>
      <c r="D1258" s="24">
        <f t="shared" si="38"/>
        <v>-2.8037383177569497E-3</v>
      </c>
      <c r="E1258" s="24">
        <f t="shared" si="39"/>
        <v>-2.1723884663681931E-3</v>
      </c>
    </row>
    <row r="1259" spans="1:5" x14ac:dyDescent="0.35">
      <c r="A1259" s="23">
        <v>43933</v>
      </c>
      <c r="B1259" s="22">
        <v>171.2</v>
      </c>
      <c r="C1259" s="22">
        <v>42207</v>
      </c>
      <c r="D1259" s="24">
        <f t="shared" si="38"/>
        <v>-9.2592592592593906E-3</v>
      </c>
      <c r="E1259" s="24">
        <f t="shared" si="39"/>
        <v>3.7880769753984005E-3</v>
      </c>
    </row>
    <row r="1260" spans="1:5" x14ac:dyDescent="0.35">
      <c r="A1260" s="23">
        <v>43902</v>
      </c>
      <c r="B1260" s="22">
        <v>172.8</v>
      </c>
      <c r="C1260" s="22">
        <v>42047.72</v>
      </c>
      <c r="D1260" s="24">
        <f t="shared" si="38"/>
        <v>-1.5945330296127467E-2</v>
      </c>
      <c r="E1260" s="24">
        <f t="shared" si="39"/>
        <v>4.8397021180011186E-4</v>
      </c>
    </row>
    <row r="1261" spans="1:5" x14ac:dyDescent="0.35">
      <c r="A1261" s="23">
        <v>43873</v>
      </c>
      <c r="B1261" s="22">
        <v>175.6</v>
      </c>
      <c r="C1261" s="22">
        <v>42027.38</v>
      </c>
      <c r="D1261" s="24">
        <f t="shared" si="38"/>
        <v>5.9107358262967327E-2</v>
      </c>
      <c r="E1261" s="24">
        <f t="shared" si="39"/>
        <v>8.6909313200178619E-3</v>
      </c>
    </row>
    <row r="1262" spans="1:5" x14ac:dyDescent="0.35">
      <c r="A1262" s="23">
        <v>43842</v>
      </c>
      <c r="B1262" s="22">
        <v>165.8</v>
      </c>
      <c r="C1262" s="22">
        <v>41665.269999999997</v>
      </c>
      <c r="D1262" s="24">
        <f t="shared" si="38"/>
        <v>2.5990099009901096E-2</v>
      </c>
      <c r="E1262" s="24">
        <f t="shared" si="39"/>
        <v>1.4523183281136325E-2</v>
      </c>
    </row>
    <row r="1263" spans="1:5" x14ac:dyDescent="0.35">
      <c r="A1263" s="22" t="s">
        <v>786</v>
      </c>
      <c r="B1263" s="22">
        <v>161.6</v>
      </c>
      <c r="C1263" s="22">
        <v>41068.82</v>
      </c>
      <c r="D1263" s="24">
        <f t="shared" si="38"/>
        <v>7.0418146694085837E-3</v>
      </c>
      <c r="E1263" s="24">
        <f t="shared" si="39"/>
        <v>6.4138364191125424E-3</v>
      </c>
    </row>
    <row r="1264" spans="1:5" x14ac:dyDescent="0.35">
      <c r="A1264" s="22" t="s">
        <v>787</v>
      </c>
      <c r="B1264" s="22">
        <v>160.47</v>
      </c>
      <c r="C1264" s="22">
        <v>40807.089999999997</v>
      </c>
      <c r="D1264" s="24">
        <f t="shared" si="38"/>
        <v>-1.090976331360953E-2</v>
      </c>
      <c r="E1264" s="24">
        <f t="shared" si="39"/>
        <v>-5.4578205811553438E-3</v>
      </c>
    </row>
    <row r="1265" spans="1:5" x14ac:dyDescent="0.35">
      <c r="A1265" s="22" t="s">
        <v>788</v>
      </c>
      <c r="B1265" s="22">
        <v>162.24</v>
      </c>
      <c r="C1265" s="22">
        <v>41031.03</v>
      </c>
      <c r="D1265" s="24">
        <f t="shared" si="38"/>
        <v>2.0377358490566096E-2</v>
      </c>
      <c r="E1265" s="24">
        <f t="shared" si="39"/>
        <v>1.6184744336763542E-2</v>
      </c>
    </row>
    <row r="1266" spans="1:5" x14ac:dyDescent="0.35">
      <c r="A1266" s="22" t="s">
        <v>789</v>
      </c>
      <c r="B1266" s="22">
        <v>159</v>
      </c>
      <c r="C1266" s="22">
        <v>40377.53</v>
      </c>
      <c r="D1266" s="24">
        <f t="shared" si="38"/>
        <v>-6.2500000000000003E-3</v>
      </c>
      <c r="E1266" s="24">
        <f t="shared" si="39"/>
        <v>1.2898310629108992E-2</v>
      </c>
    </row>
    <row r="1267" spans="1:5" x14ac:dyDescent="0.35">
      <c r="A1267" s="22" t="s">
        <v>790</v>
      </c>
      <c r="B1267" s="22">
        <v>160</v>
      </c>
      <c r="C1267" s="22">
        <v>39863.360000000001</v>
      </c>
      <c r="D1267" s="24">
        <f t="shared" si="38"/>
        <v>0</v>
      </c>
      <c r="E1267" s="24">
        <f t="shared" si="39"/>
        <v>5.824509771268741E-3</v>
      </c>
    </row>
    <row r="1268" spans="1:5" x14ac:dyDescent="0.35">
      <c r="A1268" s="22" t="s">
        <v>791</v>
      </c>
      <c r="B1268" s="22">
        <v>160</v>
      </c>
      <c r="C1268" s="22">
        <v>39632.519999999997</v>
      </c>
      <c r="D1268" s="24">
        <f t="shared" si="38"/>
        <v>-2.4390243902439025E-2</v>
      </c>
      <c r="E1268" s="24">
        <f t="shared" si="39"/>
        <v>-1.380191394370054E-2</v>
      </c>
    </row>
    <row r="1269" spans="1:5" x14ac:dyDescent="0.35">
      <c r="A1269" s="22" t="s">
        <v>792</v>
      </c>
      <c r="B1269" s="22">
        <v>164</v>
      </c>
      <c r="C1269" s="22">
        <v>40187.18</v>
      </c>
      <c r="D1269" s="24">
        <f t="shared" si="38"/>
        <v>-1.4423076923076957E-2</v>
      </c>
      <c r="E1269" s="24">
        <f t="shared" si="39"/>
        <v>-8.7201257008388319E-3</v>
      </c>
    </row>
    <row r="1270" spans="1:5" x14ac:dyDescent="0.35">
      <c r="A1270" s="22" t="s">
        <v>793</v>
      </c>
      <c r="B1270" s="22">
        <v>166.4</v>
      </c>
      <c r="C1270" s="22">
        <v>40540.699999999997</v>
      </c>
      <c r="D1270" s="24">
        <f t="shared" si="38"/>
        <v>-1.4218009478673018E-2</v>
      </c>
      <c r="E1270" s="24">
        <f t="shared" si="39"/>
        <v>6.4248332764400742E-4</v>
      </c>
    </row>
    <row r="1271" spans="1:5" x14ac:dyDescent="0.35">
      <c r="A1271" s="22" t="s">
        <v>794</v>
      </c>
      <c r="B1271" s="22">
        <v>168.8</v>
      </c>
      <c r="C1271" s="22">
        <v>40514.67</v>
      </c>
      <c r="D1271" s="24">
        <f t="shared" si="38"/>
        <v>-1.8604651162790631E-2</v>
      </c>
      <c r="E1271" s="24">
        <f t="shared" si="39"/>
        <v>-3.3946109812713408E-3</v>
      </c>
    </row>
    <row r="1272" spans="1:5" x14ac:dyDescent="0.35">
      <c r="A1272" s="22" t="s">
        <v>795</v>
      </c>
      <c r="B1272" s="22">
        <v>172</v>
      </c>
      <c r="C1272" s="22">
        <v>40652.67</v>
      </c>
      <c r="D1272" s="24">
        <f t="shared" si="38"/>
        <v>-1.3761467889908289E-2</v>
      </c>
      <c r="E1272" s="24">
        <f t="shared" si="39"/>
        <v>3.6519173677160891E-3</v>
      </c>
    </row>
    <row r="1273" spans="1:5" x14ac:dyDescent="0.35">
      <c r="A1273" s="22" t="s">
        <v>796</v>
      </c>
      <c r="B1273" s="22">
        <v>174.4</v>
      </c>
      <c r="C1273" s="22">
        <v>40504.75</v>
      </c>
      <c r="D1273" s="24">
        <f t="shared" si="38"/>
        <v>-2.6785714285714191E-2</v>
      </c>
      <c r="E1273" s="24">
        <f t="shared" si="39"/>
        <v>-1.5923351002665447E-3</v>
      </c>
    </row>
    <row r="1274" spans="1:5" x14ac:dyDescent="0.35">
      <c r="A1274" s="22" t="s">
        <v>797</v>
      </c>
      <c r="B1274" s="22">
        <v>179.2</v>
      </c>
      <c r="C1274" s="22">
        <v>40569.35</v>
      </c>
      <c r="D1274" s="24">
        <f t="shared" si="38"/>
        <v>2.2364217252396096E-2</v>
      </c>
      <c r="E1274" s="24">
        <f t="shared" si="39"/>
        <v>1.1832992107630022E-4</v>
      </c>
    </row>
    <row r="1275" spans="1:5" x14ac:dyDescent="0.35">
      <c r="A1275" s="23">
        <v>44176</v>
      </c>
      <c r="B1275" s="22">
        <v>175.28</v>
      </c>
      <c r="C1275" s="22">
        <v>40564.550000000003</v>
      </c>
      <c r="D1275" s="24">
        <f t="shared" si="38"/>
        <v>-1.5280898876404488E-2</v>
      </c>
      <c r="E1275" s="24">
        <f t="shared" si="39"/>
        <v>-1.5359494258364302E-2</v>
      </c>
    </row>
    <row r="1276" spans="1:5" x14ac:dyDescent="0.35">
      <c r="A1276" s="23">
        <v>44146</v>
      </c>
      <c r="B1276" s="22">
        <v>178</v>
      </c>
      <c r="C1276" s="22">
        <v>41197.32</v>
      </c>
      <c r="D1276" s="24">
        <f t="shared" si="38"/>
        <v>-1.1111111111111112E-2</v>
      </c>
      <c r="E1276" s="24">
        <f t="shared" si="39"/>
        <v>1.0757404372214647E-3</v>
      </c>
    </row>
    <row r="1277" spans="1:5" x14ac:dyDescent="0.35">
      <c r="A1277" s="23">
        <v>44115</v>
      </c>
      <c r="B1277" s="22">
        <v>180</v>
      </c>
      <c r="C1277" s="22">
        <v>41153.050000000003</v>
      </c>
      <c r="D1277" s="24">
        <f t="shared" si="38"/>
        <v>3.5682426404994778E-3</v>
      </c>
      <c r="E1277" s="24">
        <f t="shared" si="39"/>
        <v>9.0479020714966454E-3</v>
      </c>
    </row>
    <row r="1278" spans="1:5" x14ac:dyDescent="0.35">
      <c r="A1278" s="23">
        <v>44085</v>
      </c>
      <c r="B1278" s="22">
        <v>179.36</v>
      </c>
      <c r="C1278" s="22">
        <v>40784.04</v>
      </c>
      <c r="D1278" s="24">
        <f t="shared" si="38"/>
        <v>-3.5555555555554798E-3</v>
      </c>
      <c r="E1278" s="24">
        <f t="shared" si="39"/>
        <v>1.2872066682362983E-3</v>
      </c>
    </row>
    <row r="1279" spans="1:5" x14ac:dyDescent="0.35">
      <c r="A1279" s="23">
        <v>43993</v>
      </c>
      <c r="B1279" s="22">
        <v>180</v>
      </c>
      <c r="C1279" s="22">
        <v>40731.61</v>
      </c>
      <c r="D1279" s="24">
        <f t="shared" si="38"/>
        <v>0</v>
      </c>
      <c r="E1279" s="24">
        <f t="shared" si="39"/>
        <v>-8.2707389344871558E-3</v>
      </c>
    </row>
    <row r="1280" spans="1:5" x14ac:dyDescent="0.35">
      <c r="A1280" s="23">
        <v>43962</v>
      </c>
      <c r="B1280" s="22">
        <v>180</v>
      </c>
      <c r="C1280" s="22">
        <v>41071.300000000003</v>
      </c>
      <c r="D1280" s="24">
        <f t="shared" si="38"/>
        <v>8.9686098654708207E-3</v>
      </c>
      <c r="E1280" s="24">
        <f t="shared" si="39"/>
        <v>1.9595372221212767E-2</v>
      </c>
    </row>
    <row r="1281" spans="1:5" x14ac:dyDescent="0.35">
      <c r="A1281" s="23">
        <v>43932</v>
      </c>
      <c r="B1281" s="22">
        <v>178.4</v>
      </c>
      <c r="C1281" s="22">
        <v>40281.96</v>
      </c>
      <c r="D1281" s="24">
        <f t="shared" si="38"/>
        <v>9.0497737556560764E-3</v>
      </c>
      <c r="E1281" s="24">
        <f t="shared" si="39"/>
        <v>-4.9139247961012275E-3</v>
      </c>
    </row>
    <row r="1282" spans="1:5" x14ac:dyDescent="0.35">
      <c r="A1282" s="23">
        <v>43901</v>
      </c>
      <c r="B1282" s="22">
        <v>176.8</v>
      </c>
      <c r="C1282" s="22">
        <v>40480.879999999997</v>
      </c>
      <c r="D1282" s="24">
        <f t="shared" si="38"/>
        <v>-1.7777777777777715E-2</v>
      </c>
      <c r="E1282" s="24">
        <f t="shared" si="39"/>
        <v>3.4994214078581075E-2</v>
      </c>
    </row>
    <row r="1283" spans="1:5" x14ac:dyDescent="0.35">
      <c r="A1283" s="23">
        <v>43872</v>
      </c>
      <c r="B1283" s="22">
        <v>180</v>
      </c>
      <c r="C1283" s="22">
        <v>39112.18</v>
      </c>
      <c r="D1283" s="24">
        <f t="shared" si="38"/>
        <v>5.1463286406916303E-2</v>
      </c>
      <c r="E1283" s="24">
        <f t="shared" si="39"/>
        <v>-1.9449959887685511E-2</v>
      </c>
    </row>
    <row r="1284" spans="1:5" x14ac:dyDescent="0.35">
      <c r="A1284" s="22" t="s">
        <v>798</v>
      </c>
      <c r="B1284" s="22">
        <v>171.19</v>
      </c>
      <c r="C1284" s="22">
        <v>39888</v>
      </c>
      <c r="D1284" s="24">
        <f t="shared" si="38"/>
        <v>-3.167599977374283E-2</v>
      </c>
      <c r="E1284" s="24">
        <f t="shared" si="39"/>
        <v>-3.153578592784205E-2</v>
      </c>
    </row>
    <row r="1285" spans="1:5" x14ac:dyDescent="0.35">
      <c r="A1285" s="22" t="s">
        <v>799</v>
      </c>
      <c r="B1285" s="22">
        <v>176.79</v>
      </c>
      <c r="C1285" s="22">
        <v>41186.86</v>
      </c>
      <c r="D1285" s="24">
        <f t="shared" ref="D1285:D1348" si="40">(B1285-B1286)/B1286</f>
        <v>-5.6561085972959989E-5</v>
      </c>
      <c r="E1285" s="24">
        <f t="shared" ref="E1285:E1348" si="41">(C1285-C1286)/C1286</f>
        <v>-4.7114881096365522E-3</v>
      </c>
    </row>
    <row r="1286" spans="1:5" x14ac:dyDescent="0.35">
      <c r="A1286" s="22" t="s">
        <v>800</v>
      </c>
      <c r="B1286" s="22">
        <v>176.8</v>
      </c>
      <c r="C1286" s="22">
        <v>41381.83</v>
      </c>
      <c r="D1286" s="24">
        <f t="shared" si="40"/>
        <v>-1.7777777777777715E-2</v>
      </c>
      <c r="E1286" s="24">
        <f t="shared" si="41"/>
        <v>-1.119796265131549E-2</v>
      </c>
    </row>
    <row r="1287" spans="1:5" x14ac:dyDescent="0.35">
      <c r="A1287" s="22" t="s">
        <v>801</v>
      </c>
      <c r="B1287" s="22">
        <v>180</v>
      </c>
      <c r="C1287" s="22">
        <v>41850.47</v>
      </c>
      <c r="D1287" s="24">
        <f t="shared" si="40"/>
        <v>1.8214730173096497E-2</v>
      </c>
      <c r="E1287" s="24">
        <f t="shared" si="41"/>
        <v>1.4163475985072485E-2</v>
      </c>
    </row>
    <row r="1288" spans="1:5" x14ac:dyDescent="0.35">
      <c r="A1288" s="22" t="s">
        <v>802</v>
      </c>
      <c r="B1288" s="22">
        <v>176.78</v>
      </c>
      <c r="C1288" s="22">
        <v>41266</v>
      </c>
      <c r="D1288" s="24">
        <f t="shared" si="40"/>
        <v>1.9270006801179065E-3</v>
      </c>
      <c r="E1288" s="24">
        <f t="shared" si="41"/>
        <v>1.6257668264925526E-3</v>
      </c>
    </row>
    <row r="1289" spans="1:5" x14ac:dyDescent="0.35">
      <c r="A1289" s="22" t="s">
        <v>803</v>
      </c>
      <c r="B1289" s="22">
        <v>176.44</v>
      </c>
      <c r="C1289" s="22">
        <v>41199.019999999997</v>
      </c>
      <c r="D1289" s="24">
        <f t="shared" si="40"/>
        <v>-1.8469069870938992E-2</v>
      </c>
      <c r="E1289" s="24">
        <f t="shared" si="41"/>
        <v>-8.1110518317639643E-3</v>
      </c>
    </row>
    <row r="1290" spans="1:5" x14ac:dyDescent="0.35">
      <c r="A1290" s="22" t="s">
        <v>804</v>
      </c>
      <c r="B1290" s="22">
        <v>179.76</v>
      </c>
      <c r="C1290" s="22">
        <v>41535.919999999998</v>
      </c>
      <c r="D1290" s="24">
        <f t="shared" si="40"/>
        <v>2.8375286041189812E-2</v>
      </c>
      <c r="E1290" s="24">
        <f t="shared" si="41"/>
        <v>1.4145224039702448E-2</v>
      </c>
    </row>
    <row r="1291" spans="1:5" x14ac:dyDescent="0.35">
      <c r="A1291" s="22" t="s">
        <v>805</v>
      </c>
      <c r="B1291" s="22">
        <v>174.8</v>
      </c>
      <c r="C1291" s="22">
        <v>40956.58</v>
      </c>
      <c r="D1291" s="24">
        <f t="shared" si="40"/>
        <v>2.2935779816514088E-3</v>
      </c>
      <c r="E1291" s="24">
        <f t="shared" si="41"/>
        <v>1.5280302487570169E-2</v>
      </c>
    </row>
    <row r="1292" spans="1:5" x14ac:dyDescent="0.35">
      <c r="A1292" s="22" t="s">
        <v>806</v>
      </c>
      <c r="B1292" s="22">
        <v>174.4</v>
      </c>
      <c r="C1292" s="22">
        <v>40340.17</v>
      </c>
      <c r="D1292" s="24">
        <f t="shared" si="40"/>
        <v>-4.5093898053541418E-3</v>
      </c>
      <c r="E1292" s="24">
        <f t="shared" si="41"/>
        <v>4.3857661658370222E-3</v>
      </c>
    </row>
    <row r="1293" spans="1:5" x14ac:dyDescent="0.35">
      <c r="A1293" s="22" t="s">
        <v>807</v>
      </c>
      <c r="B1293" s="22">
        <v>175.19</v>
      </c>
      <c r="C1293" s="22">
        <v>40164.019999999997</v>
      </c>
      <c r="D1293" s="24">
        <f t="shared" si="40"/>
        <v>4.0692342961944523E-3</v>
      </c>
      <c r="E1293" s="24">
        <f t="shared" si="41"/>
        <v>2.3841677088405088E-3</v>
      </c>
    </row>
    <row r="1294" spans="1:5" x14ac:dyDescent="0.35">
      <c r="A1294" s="22" t="s">
        <v>808</v>
      </c>
      <c r="B1294" s="22">
        <v>174.48</v>
      </c>
      <c r="C1294" s="22">
        <v>40068.49</v>
      </c>
      <c r="D1294" s="24">
        <f t="shared" si="40"/>
        <v>-8.523695874531197E-3</v>
      </c>
      <c r="E1294" s="24">
        <f t="shared" si="41"/>
        <v>-1.8881888308400251E-3</v>
      </c>
    </row>
    <row r="1295" spans="1:5" x14ac:dyDescent="0.35">
      <c r="A1295" s="22" t="s">
        <v>809</v>
      </c>
      <c r="B1295" s="22">
        <v>175.98</v>
      </c>
      <c r="C1295" s="22">
        <v>40144.29</v>
      </c>
      <c r="D1295" s="24">
        <f t="shared" si="40"/>
        <v>-9.1774111818029597E-3</v>
      </c>
      <c r="E1295" s="24">
        <f t="shared" si="41"/>
        <v>3.439926392274154E-3</v>
      </c>
    </row>
    <row r="1296" spans="1:5" x14ac:dyDescent="0.35">
      <c r="A1296" s="22" t="s">
        <v>810</v>
      </c>
      <c r="B1296" s="22">
        <v>177.61</v>
      </c>
      <c r="C1296" s="22">
        <v>40006.67</v>
      </c>
      <c r="D1296" s="24">
        <f t="shared" si="40"/>
        <v>-3.451837355946942E-2</v>
      </c>
      <c r="E1296" s="24">
        <f t="shared" si="41"/>
        <v>-5.0522484308559816E-3</v>
      </c>
    </row>
    <row r="1297" spans="1:5" x14ac:dyDescent="0.35">
      <c r="A1297" s="23">
        <v>44175</v>
      </c>
      <c r="B1297" s="22">
        <v>183.96</v>
      </c>
      <c r="C1297" s="22">
        <v>40209.82</v>
      </c>
      <c r="D1297" s="24">
        <f t="shared" si="40"/>
        <v>1.7425397516882032E-3</v>
      </c>
      <c r="E1297" s="24">
        <f t="shared" si="41"/>
        <v>-1.4427270853314713E-2</v>
      </c>
    </row>
    <row r="1298" spans="1:5" x14ac:dyDescent="0.35">
      <c r="A1298" s="23">
        <v>44084</v>
      </c>
      <c r="B1298" s="22">
        <v>183.64</v>
      </c>
      <c r="C1298" s="22">
        <v>40798.43</v>
      </c>
      <c r="D1298" s="24">
        <f t="shared" si="40"/>
        <v>4.9032961046022877E-4</v>
      </c>
      <c r="E1298" s="24">
        <f t="shared" si="41"/>
        <v>1.1022802910866426E-2</v>
      </c>
    </row>
    <row r="1299" spans="1:5" x14ac:dyDescent="0.35">
      <c r="A1299" s="23">
        <v>44053</v>
      </c>
      <c r="B1299" s="22">
        <v>183.55</v>
      </c>
      <c r="C1299" s="22">
        <v>40353.620000000003</v>
      </c>
      <c r="D1299" s="24">
        <f t="shared" si="40"/>
        <v>1.7010195035461112E-2</v>
      </c>
      <c r="E1299" s="24">
        <f t="shared" si="41"/>
        <v>1.2638908545955969E-2</v>
      </c>
    </row>
    <row r="1300" spans="1:5" x14ac:dyDescent="0.35">
      <c r="A1300" s="23">
        <v>44022</v>
      </c>
      <c r="B1300" s="22">
        <v>180.48</v>
      </c>
      <c r="C1300" s="22">
        <v>39849.96</v>
      </c>
      <c r="D1300" s="24">
        <f t="shared" si="40"/>
        <v>-6.6596950850349931E-3</v>
      </c>
      <c r="E1300" s="24">
        <f t="shared" si="41"/>
        <v>1.8464772073233337E-2</v>
      </c>
    </row>
    <row r="1301" spans="1:5" x14ac:dyDescent="0.35">
      <c r="A1301" s="23">
        <v>43992</v>
      </c>
      <c r="B1301" s="22">
        <v>181.69</v>
      </c>
      <c r="C1301" s="22">
        <v>39127.480000000003</v>
      </c>
      <c r="D1301" s="24">
        <f t="shared" si="40"/>
        <v>-1.426866319444442E-2</v>
      </c>
      <c r="E1301" s="24">
        <f t="shared" si="41"/>
        <v>1.4078966597197986E-3</v>
      </c>
    </row>
    <row r="1302" spans="1:5" x14ac:dyDescent="0.35">
      <c r="A1302" s="23">
        <v>43961</v>
      </c>
      <c r="B1302" s="22">
        <v>184.32</v>
      </c>
      <c r="C1302" s="22">
        <v>39072.47</v>
      </c>
      <c r="D1302" s="24">
        <f t="shared" si="40"/>
        <v>1.74431441819386E-2</v>
      </c>
      <c r="E1302" s="24">
        <f t="shared" si="41"/>
        <v>-2.4914881972746772E-2</v>
      </c>
    </row>
    <row r="1303" spans="1:5" x14ac:dyDescent="0.35">
      <c r="A1303" s="23">
        <v>43871</v>
      </c>
      <c r="B1303" s="22">
        <v>181.16</v>
      </c>
      <c r="C1303" s="22">
        <v>40070.83</v>
      </c>
      <c r="D1303" s="24">
        <f t="shared" si="40"/>
        <v>-1.0216904332623093E-2</v>
      </c>
      <c r="E1303" s="24">
        <f t="shared" si="41"/>
        <v>-1.490009568079384E-2</v>
      </c>
    </row>
    <row r="1304" spans="1:5" x14ac:dyDescent="0.35">
      <c r="A1304" s="23">
        <v>43840</v>
      </c>
      <c r="B1304" s="22">
        <v>183.03</v>
      </c>
      <c r="C1304" s="22">
        <v>40676.92</v>
      </c>
      <c r="D1304" s="24">
        <f t="shared" si="40"/>
        <v>2.5195815303719559E-3</v>
      </c>
      <c r="E1304" s="24">
        <f t="shared" si="41"/>
        <v>2.5988699450943138E-3</v>
      </c>
    </row>
    <row r="1305" spans="1:5" x14ac:dyDescent="0.35">
      <c r="A1305" s="22" t="s">
        <v>811</v>
      </c>
      <c r="B1305" s="22">
        <v>182.57</v>
      </c>
      <c r="C1305" s="22">
        <v>40571.480000000003</v>
      </c>
      <c r="D1305" s="24">
        <f t="shared" si="40"/>
        <v>-7.7178107505843571E-3</v>
      </c>
      <c r="E1305" s="24">
        <f t="shared" si="41"/>
        <v>-1.5359539621535133E-2</v>
      </c>
    </row>
    <row r="1306" spans="1:5" x14ac:dyDescent="0.35">
      <c r="A1306" s="22" t="s">
        <v>812</v>
      </c>
      <c r="B1306" s="22">
        <v>183.99</v>
      </c>
      <c r="C1306" s="22">
        <v>41204.36</v>
      </c>
      <c r="D1306" s="24">
        <f t="shared" si="40"/>
        <v>2.3076067615658395E-2</v>
      </c>
      <c r="E1306" s="24">
        <f t="shared" si="41"/>
        <v>1.1374550667080751E-2</v>
      </c>
    </row>
    <row r="1307" spans="1:5" x14ac:dyDescent="0.35">
      <c r="A1307" s="22" t="s">
        <v>813</v>
      </c>
      <c r="B1307" s="22">
        <v>179.84</v>
      </c>
      <c r="C1307" s="22">
        <v>40740.949999999997</v>
      </c>
      <c r="D1307" s="24">
        <f t="shared" si="40"/>
        <v>-2.7681660899654004E-2</v>
      </c>
      <c r="E1307" s="24">
        <f t="shared" si="41"/>
        <v>-2.3027618130208774E-2</v>
      </c>
    </row>
    <row r="1308" spans="1:5" x14ac:dyDescent="0.35">
      <c r="A1308" s="22" t="s">
        <v>814</v>
      </c>
      <c r="B1308" s="22">
        <v>184.96</v>
      </c>
      <c r="C1308" s="22">
        <v>41701.230000000003</v>
      </c>
      <c r="D1308" s="24">
        <f t="shared" si="40"/>
        <v>1.0489510489510577E-2</v>
      </c>
      <c r="E1308" s="24">
        <f t="shared" si="41"/>
        <v>-2.5149277490487554E-3</v>
      </c>
    </row>
    <row r="1309" spans="1:5" x14ac:dyDescent="0.35">
      <c r="A1309" s="22" t="s">
        <v>815</v>
      </c>
      <c r="B1309" s="22">
        <v>183.04</v>
      </c>
      <c r="C1309" s="22">
        <v>41806.370000000003</v>
      </c>
      <c r="D1309" s="24">
        <f t="shared" si="40"/>
        <v>-1.2249743672764612E-2</v>
      </c>
      <c r="E1309" s="24">
        <f t="shared" si="41"/>
        <v>-1.6689647069723851E-3</v>
      </c>
    </row>
    <row r="1310" spans="1:5" x14ac:dyDescent="0.35">
      <c r="A1310" s="22" t="s">
        <v>816</v>
      </c>
      <c r="B1310" s="22">
        <v>185.31</v>
      </c>
      <c r="C1310" s="22">
        <v>41876.26</v>
      </c>
      <c r="D1310" s="24">
        <f t="shared" si="40"/>
        <v>7.1195652173913163E-3</v>
      </c>
      <c r="E1310" s="24">
        <f t="shared" si="41"/>
        <v>1.1319922034783727E-3</v>
      </c>
    </row>
    <row r="1311" spans="1:5" x14ac:dyDescent="0.35">
      <c r="A1311" s="22" t="s">
        <v>817</v>
      </c>
      <c r="B1311" s="22">
        <v>184</v>
      </c>
      <c r="C1311" s="22">
        <v>41828.910000000003</v>
      </c>
      <c r="D1311" s="24">
        <f t="shared" si="40"/>
        <v>-8.6206896551723842E-3</v>
      </c>
      <c r="E1311" s="24">
        <f t="shared" si="41"/>
        <v>-8.1855867566205612E-3</v>
      </c>
    </row>
    <row r="1312" spans="1:5" x14ac:dyDescent="0.35">
      <c r="A1312" s="22" t="s">
        <v>818</v>
      </c>
      <c r="B1312" s="22">
        <v>185.6</v>
      </c>
      <c r="C1312" s="22">
        <v>42174.13</v>
      </c>
      <c r="D1312" s="24">
        <f t="shared" si="40"/>
        <v>2.6208116775406284E-2</v>
      </c>
      <c r="E1312" s="24">
        <f t="shared" si="41"/>
        <v>-7.7786582020461861E-3</v>
      </c>
    </row>
    <row r="1313" spans="1:5" x14ac:dyDescent="0.35">
      <c r="A1313" s="22" t="s">
        <v>819</v>
      </c>
      <c r="B1313" s="22">
        <v>180.86</v>
      </c>
      <c r="C1313" s="22">
        <v>42504.76</v>
      </c>
      <c r="D1313" s="24">
        <f t="shared" si="40"/>
        <v>9.6014290499052551E-3</v>
      </c>
      <c r="E1313" s="24">
        <f t="shared" si="41"/>
        <v>4.0156127021860992E-3</v>
      </c>
    </row>
    <row r="1314" spans="1:5" x14ac:dyDescent="0.35">
      <c r="A1314" s="22" t="s">
        <v>820</v>
      </c>
      <c r="B1314" s="22">
        <v>179.14</v>
      </c>
      <c r="C1314" s="22">
        <v>42334.76</v>
      </c>
      <c r="D1314" s="24">
        <f t="shared" si="40"/>
        <v>-4.7224845824769303E-3</v>
      </c>
      <c r="E1314" s="24">
        <f t="shared" si="41"/>
        <v>1.2411818851775071E-3</v>
      </c>
    </row>
    <row r="1315" spans="1:5" x14ac:dyDescent="0.35">
      <c r="A1315" s="22" t="s">
        <v>821</v>
      </c>
      <c r="B1315" s="22">
        <v>179.99</v>
      </c>
      <c r="C1315" s="22">
        <v>42282.28</v>
      </c>
      <c r="D1315" s="24">
        <f t="shared" si="40"/>
        <v>-9.7925950376849917E-3</v>
      </c>
      <c r="E1315" s="24">
        <f t="shared" si="41"/>
        <v>-1.5146498806746691E-3</v>
      </c>
    </row>
    <row r="1316" spans="1:5" x14ac:dyDescent="0.35">
      <c r="A1316" s="22" t="s">
        <v>822</v>
      </c>
      <c r="B1316" s="22">
        <v>181.77</v>
      </c>
      <c r="C1316" s="22">
        <v>42346.42</v>
      </c>
      <c r="D1316" s="24">
        <f t="shared" si="40"/>
        <v>1.7977150537634452E-2</v>
      </c>
      <c r="E1316" s="24">
        <f t="shared" si="41"/>
        <v>-4.3471503699274586E-3</v>
      </c>
    </row>
    <row r="1317" spans="1:5" x14ac:dyDescent="0.35">
      <c r="A1317" s="22" t="s">
        <v>823</v>
      </c>
      <c r="B1317" s="22">
        <v>178.56</v>
      </c>
      <c r="C1317" s="22">
        <v>42531.31</v>
      </c>
      <c r="D1317" s="24">
        <f t="shared" si="40"/>
        <v>-1.413427561837457E-2</v>
      </c>
      <c r="E1317" s="24">
        <f t="shared" si="41"/>
        <v>1.5047964210284436E-5</v>
      </c>
    </row>
    <row r="1318" spans="1:5" x14ac:dyDescent="0.35">
      <c r="A1318" s="23">
        <v>44144</v>
      </c>
      <c r="B1318" s="22">
        <v>181.12</v>
      </c>
      <c r="C1318" s="22">
        <v>42530.67</v>
      </c>
      <c r="D1318" s="24">
        <f t="shared" si="40"/>
        <v>-1.7041137523065162E-2</v>
      </c>
      <c r="E1318" s="24">
        <f t="shared" si="41"/>
        <v>-2.735926147814584E-3</v>
      </c>
    </row>
    <row r="1319" spans="1:5" x14ac:dyDescent="0.35">
      <c r="A1319" s="23">
        <v>44113</v>
      </c>
      <c r="B1319" s="22">
        <v>184.26</v>
      </c>
      <c r="C1319" s="22">
        <v>42647.35</v>
      </c>
      <c r="D1319" s="24">
        <f t="shared" si="40"/>
        <v>-2.9904180267452916E-2</v>
      </c>
      <c r="E1319" s="24">
        <f t="shared" si="41"/>
        <v>1.4875452885078704E-2</v>
      </c>
    </row>
    <row r="1320" spans="1:5" x14ac:dyDescent="0.35">
      <c r="A1320" s="23">
        <v>44083</v>
      </c>
      <c r="B1320" s="22">
        <v>189.94</v>
      </c>
      <c r="C1320" s="22">
        <v>42022.25</v>
      </c>
      <c r="D1320" s="24">
        <f t="shared" si="40"/>
        <v>7.4990095647744642E-2</v>
      </c>
      <c r="E1320" s="24">
        <f t="shared" si="41"/>
        <v>8.8269220646608167E-4</v>
      </c>
    </row>
    <row r="1321" spans="1:5" x14ac:dyDescent="0.35">
      <c r="A1321" s="23">
        <v>44052</v>
      </c>
      <c r="B1321" s="22">
        <v>176.69</v>
      </c>
      <c r="C1321" s="22">
        <v>41985.19</v>
      </c>
      <c r="D1321" s="24">
        <f t="shared" si="40"/>
        <v>7.8430175781249958E-2</v>
      </c>
      <c r="E1321" s="24">
        <f t="shared" si="41"/>
        <v>-7.3425817014711329E-3</v>
      </c>
    </row>
    <row r="1322" spans="1:5" x14ac:dyDescent="0.35">
      <c r="A1322" s="23">
        <v>44021</v>
      </c>
      <c r="B1322" s="22">
        <v>163.84</v>
      </c>
      <c r="C1322" s="22">
        <v>42295.75</v>
      </c>
      <c r="D1322" s="24">
        <f t="shared" si="40"/>
        <v>1.5054829316647091E-2</v>
      </c>
      <c r="E1322" s="24">
        <f t="shared" si="41"/>
        <v>6.49049330128739E-3</v>
      </c>
    </row>
    <row r="1323" spans="1:5" x14ac:dyDescent="0.35">
      <c r="A1323" s="23">
        <v>43930</v>
      </c>
      <c r="B1323" s="22">
        <v>161.41</v>
      </c>
      <c r="C1323" s="22">
        <v>42023</v>
      </c>
      <c r="D1323" s="24">
        <f t="shared" si="40"/>
        <v>4.3386636915825695E-4</v>
      </c>
      <c r="E1323" s="24">
        <f t="shared" si="41"/>
        <v>-3.9136619298660354E-3</v>
      </c>
    </row>
    <row r="1324" spans="1:5" x14ac:dyDescent="0.35">
      <c r="A1324" s="23">
        <v>43899</v>
      </c>
      <c r="B1324" s="22">
        <v>161.34</v>
      </c>
      <c r="C1324" s="22">
        <v>42188.11</v>
      </c>
      <c r="D1324" s="24">
        <f t="shared" si="40"/>
        <v>5.0390625000000064E-2</v>
      </c>
      <c r="E1324" s="24">
        <f t="shared" si="41"/>
        <v>8.4441560086865874E-3</v>
      </c>
    </row>
    <row r="1325" spans="1:5" x14ac:dyDescent="0.35">
      <c r="A1325" s="23">
        <v>43870</v>
      </c>
      <c r="B1325" s="22">
        <v>153.6</v>
      </c>
      <c r="C1325" s="22">
        <v>41834.85</v>
      </c>
      <c r="D1325" s="24">
        <f t="shared" si="40"/>
        <v>-8.2644628099173625E-3</v>
      </c>
      <c r="E1325" s="24">
        <f t="shared" si="41"/>
        <v>1.1058972972110684E-2</v>
      </c>
    </row>
    <row r="1326" spans="1:5" x14ac:dyDescent="0.35">
      <c r="A1326" s="23">
        <v>43839</v>
      </c>
      <c r="B1326" s="22">
        <v>154.88</v>
      </c>
      <c r="C1326" s="22">
        <v>41377.26</v>
      </c>
      <c r="D1326" s="24">
        <f t="shared" si="40"/>
        <v>8.4006462035538258E-4</v>
      </c>
      <c r="E1326" s="24">
        <f t="shared" si="41"/>
        <v>6.4783258369489997E-3</v>
      </c>
    </row>
    <row r="1327" spans="1:5" x14ac:dyDescent="0.35">
      <c r="A1327" s="22" t="s">
        <v>824</v>
      </c>
      <c r="B1327" s="22">
        <v>154.75</v>
      </c>
      <c r="C1327" s="22">
        <v>41110.93</v>
      </c>
      <c r="D1327" s="24">
        <f t="shared" si="40"/>
        <v>3.3715878882189603E-3</v>
      </c>
      <c r="E1327" s="24">
        <f t="shared" si="41"/>
        <v>1.3325630075052971E-3</v>
      </c>
    </row>
    <row r="1328" spans="1:5" x14ac:dyDescent="0.35">
      <c r="A1328" s="22" t="s">
        <v>825</v>
      </c>
      <c r="B1328" s="22">
        <v>154.22999999999999</v>
      </c>
      <c r="C1328" s="22">
        <v>41056.22</v>
      </c>
      <c r="D1328" s="24">
        <f t="shared" si="40"/>
        <v>6.1978079331940807E-3</v>
      </c>
      <c r="E1328" s="24">
        <f t="shared" si="41"/>
        <v>-6.2606585764939928E-4</v>
      </c>
    </row>
    <row r="1329" spans="1:5" x14ac:dyDescent="0.35">
      <c r="A1329" s="22" t="s">
        <v>826</v>
      </c>
      <c r="B1329" s="22">
        <v>153.28</v>
      </c>
      <c r="C1329" s="22">
        <v>41081.94</v>
      </c>
      <c r="D1329" s="24">
        <f t="shared" si="40"/>
        <v>-3.427419354838708E-2</v>
      </c>
      <c r="E1329" s="24">
        <f t="shared" si="41"/>
        <v>5.367990624187205E-3</v>
      </c>
    </row>
    <row r="1330" spans="1:5" x14ac:dyDescent="0.35">
      <c r="A1330" s="22" t="s">
        <v>827</v>
      </c>
      <c r="B1330" s="22">
        <v>158.72</v>
      </c>
      <c r="C1330" s="22">
        <v>40862.589999999997</v>
      </c>
      <c r="D1330" s="24">
        <f t="shared" si="40"/>
        <v>5.9121847057253332E-2</v>
      </c>
      <c r="E1330" s="24">
        <f t="shared" si="41"/>
        <v>1.4140732765787969E-2</v>
      </c>
    </row>
    <row r="1331" spans="1:5" x14ac:dyDescent="0.35">
      <c r="A1331" s="22" t="s">
        <v>828</v>
      </c>
      <c r="B1331" s="22">
        <v>149.86000000000001</v>
      </c>
      <c r="C1331" s="22">
        <v>40292.82</v>
      </c>
      <c r="D1331" s="24">
        <f t="shared" si="40"/>
        <v>1.7932346148621211E-2</v>
      </c>
      <c r="E1331" s="24">
        <f t="shared" si="41"/>
        <v>1.2316280845974916E-2</v>
      </c>
    </row>
    <row r="1332" spans="1:5" x14ac:dyDescent="0.35">
      <c r="A1332" s="22" t="s">
        <v>829</v>
      </c>
      <c r="B1332" s="22">
        <v>147.22</v>
      </c>
      <c r="C1332" s="22">
        <v>39802.6</v>
      </c>
      <c r="D1332" s="24">
        <f t="shared" si="40"/>
        <v>-3.3482142857142821E-2</v>
      </c>
      <c r="E1332" s="24">
        <f t="shared" si="41"/>
        <v>4.568468857509304E-3</v>
      </c>
    </row>
    <row r="1333" spans="1:5" x14ac:dyDescent="0.35">
      <c r="A1333" s="22" t="s">
        <v>830</v>
      </c>
      <c r="B1333" s="22">
        <v>152.32</v>
      </c>
      <c r="C1333" s="22">
        <v>39621.589999999997</v>
      </c>
      <c r="D1333" s="24">
        <f t="shared" si="40"/>
        <v>-4.3793712007321774E-3</v>
      </c>
      <c r="E1333" s="24">
        <f t="shared" si="41"/>
        <v>-6.1943562030725065E-3</v>
      </c>
    </row>
    <row r="1334" spans="1:5" x14ac:dyDescent="0.35">
      <c r="A1334" s="22" t="s">
        <v>831</v>
      </c>
      <c r="B1334" s="22">
        <v>152.99</v>
      </c>
      <c r="C1334" s="22">
        <v>39868.550000000003</v>
      </c>
      <c r="D1334" s="24">
        <f t="shared" si="40"/>
        <v>-2.8264735772357653E-2</v>
      </c>
      <c r="E1334" s="24">
        <f t="shared" si="41"/>
        <v>-7.1116007800944327E-3</v>
      </c>
    </row>
    <row r="1335" spans="1:5" x14ac:dyDescent="0.35">
      <c r="A1335" s="22" t="s">
        <v>832</v>
      </c>
      <c r="B1335" s="22">
        <v>157.44</v>
      </c>
      <c r="C1335" s="22">
        <v>40154.11</v>
      </c>
      <c r="D1335" s="24">
        <f t="shared" si="40"/>
        <v>-3.2288698955365049E-3</v>
      </c>
      <c r="E1335" s="24">
        <f t="shared" si="41"/>
        <v>-7.4407705950703905E-4</v>
      </c>
    </row>
    <row r="1336" spans="1:5" x14ac:dyDescent="0.35">
      <c r="A1336" s="22" t="s">
        <v>833</v>
      </c>
      <c r="B1336" s="22">
        <v>157.94999999999999</v>
      </c>
      <c r="C1336" s="22">
        <v>40184.01</v>
      </c>
      <c r="D1336" s="24">
        <f t="shared" si="40"/>
        <v>7.7197907362509853E-3</v>
      </c>
      <c r="E1336" s="24">
        <f t="shared" si="41"/>
        <v>1.5330550190043501E-3</v>
      </c>
    </row>
    <row r="1337" spans="1:5" x14ac:dyDescent="0.35">
      <c r="A1337" s="22" t="s">
        <v>834</v>
      </c>
      <c r="B1337" s="22">
        <v>156.74</v>
      </c>
      <c r="C1337" s="22">
        <v>40122.5</v>
      </c>
      <c r="D1337" s="24">
        <f t="shared" si="40"/>
        <v>7.4559712045249808E-3</v>
      </c>
      <c r="E1337" s="24">
        <f t="shared" si="41"/>
        <v>-4.1756492931129575E-3</v>
      </c>
    </row>
    <row r="1338" spans="1:5" x14ac:dyDescent="0.35">
      <c r="A1338" s="22" t="s">
        <v>835</v>
      </c>
      <c r="B1338" s="22">
        <v>155.58000000000001</v>
      </c>
      <c r="C1338" s="22">
        <v>40290.74</v>
      </c>
      <c r="D1338" s="24">
        <f t="shared" si="40"/>
        <v>2.0610588689940848E-3</v>
      </c>
      <c r="E1338" s="24">
        <f t="shared" si="41"/>
        <v>-4.507676441534921E-3</v>
      </c>
    </row>
    <row r="1339" spans="1:5" x14ac:dyDescent="0.35">
      <c r="A1339" s="23">
        <v>44173</v>
      </c>
      <c r="B1339" s="22">
        <v>155.26</v>
      </c>
      <c r="C1339" s="22">
        <v>40473.18</v>
      </c>
      <c r="D1339" s="24">
        <f t="shared" si="40"/>
        <v>3.8659793814434457E-4</v>
      </c>
      <c r="E1339" s="24">
        <f t="shared" si="41"/>
        <v>-2.1196203569355167E-3</v>
      </c>
    </row>
    <row r="1340" spans="1:5" x14ac:dyDescent="0.35">
      <c r="A1340" s="23">
        <v>44143</v>
      </c>
      <c r="B1340" s="22">
        <v>155.19999999999999</v>
      </c>
      <c r="C1340" s="22">
        <v>40559.15</v>
      </c>
      <c r="D1340" s="24">
        <f t="shared" si="40"/>
        <v>-9.3827790898065935E-3</v>
      </c>
      <c r="E1340" s="24">
        <f t="shared" si="41"/>
        <v>1.6144153190448832E-2</v>
      </c>
    </row>
    <row r="1341" spans="1:5" x14ac:dyDescent="0.35">
      <c r="A1341" s="23">
        <v>44112</v>
      </c>
      <c r="B1341" s="22">
        <v>156.66999999999999</v>
      </c>
      <c r="C1341" s="22">
        <v>39914.76</v>
      </c>
      <c r="D1341" s="24">
        <f t="shared" si="40"/>
        <v>7.3945473251027342E-3</v>
      </c>
      <c r="E1341" s="24">
        <f t="shared" si="41"/>
        <v>-2.8711189119875842E-3</v>
      </c>
    </row>
    <row r="1342" spans="1:5" x14ac:dyDescent="0.35">
      <c r="A1342" s="23">
        <v>44020</v>
      </c>
      <c r="B1342" s="22">
        <v>155.52000000000001</v>
      </c>
      <c r="C1342" s="22">
        <v>40029.69</v>
      </c>
      <c r="D1342" s="24">
        <f t="shared" si="40"/>
        <v>-8.1632653061224549E-3</v>
      </c>
      <c r="E1342" s="24">
        <f t="shared" si="41"/>
        <v>-3.3966437385537932E-3</v>
      </c>
    </row>
    <row r="1343" spans="1:5" x14ac:dyDescent="0.35">
      <c r="A1343" s="23">
        <v>43990</v>
      </c>
      <c r="B1343" s="22">
        <v>156.80000000000001</v>
      </c>
      <c r="C1343" s="22">
        <v>40166.120000000003</v>
      </c>
      <c r="D1343" s="24">
        <f t="shared" si="40"/>
        <v>-4.0650406504064178E-3</v>
      </c>
      <c r="E1343" s="24">
        <f t="shared" si="41"/>
        <v>7.1043192074374904E-3</v>
      </c>
    </row>
    <row r="1344" spans="1:5" x14ac:dyDescent="0.35">
      <c r="A1344" s="23">
        <v>43959</v>
      </c>
      <c r="B1344" s="22">
        <v>157.44</v>
      </c>
      <c r="C1344" s="22">
        <v>39882.78</v>
      </c>
      <c r="D1344" s="24">
        <f t="shared" si="40"/>
        <v>-1.4028056112224505E-2</v>
      </c>
      <c r="E1344" s="24">
        <f t="shared" si="41"/>
        <v>7.7104181605664058E-3</v>
      </c>
    </row>
    <row r="1345" spans="1:5" x14ac:dyDescent="0.35">
      <c r="A1345" s="23">
        <v>43929</v>
      </c>
      <c r="B1345" s="22">
        <v>159.68</v>
      </c>
      <c r="C1345" s="22">
        <v>39577.620000000003</v>
      </c>
      <c r="D1345" s="24">
        <f t="shared" si="40"/>
        <v>-1.9999999999999575E-3</v>
      </c>
      <c r="E1345" s="24">
        <f t="shared" si="41"/>
        <v>-7.3734168246528788E-3</v>
      </c>
    </row>
    <row r="1346" spans="1:5" x14ac:dyDescent="0.35">
      <c r="A1346" s="23">
        <v>43898</v>
      </c>
      <c r="B1346" s="22">
        <v>160</v>
      </c>
      <c r="C1346" s="22">
        <v>39871.61</v>
      </c>
      <c r="D1346" s="24">
        <f t="shared" si="40"/>
        <v>0</v>
      </c>
      <c r="E1346" s="24">
        <f t="shared" si="41"/>
        <v>1.5618807064162464E-2</v>
      </c>
    </row>
    <row r="1347" spans="1:5" x14ac:dyDescent="0.35">
      <c r="A1347" s="22" t="s">
        <v>836</v>
      </c>
      <c r="B1347" s="22">
        <v>160</v>
      </c>
      <c r="C1347" s="22">
        <v>39258.44</v>
      </c>
      <c r="D1347" s="24">
        <f t="shared" si="40"/>
        <v>-1.9607843137254832E-2</v>
      </c>
      <c r="E1347" s="24">
        <f t="shared" si="41"/>
        <v>1.0870508419063046E-2</v>
      </c>
    </row>
    <row r="1348" spans="1:5" x14ac:dyDescent="0.35">
      <c r="A1348" s="22" t="s">
        <v>837</v>
      </c>
      <c r="B1348" s="22">
        <v>163.19999999999999</v>
      </c>
      <c r="C1348" s="22">
        <v>38836.269999999997</v>
      </c>
      <c r="D1348" s="24">
        <f t="shared" si="40"/>
        <v>1.5936254980079698E-2</v>
      </c>
      <c r="E1348" s="24">
        <f t="shared" si="41"/>
        <v>5.4106852490481468E-3</v>
      </c>
    </row>
    <row r="1349" spans="1:5" x14ac:dyDescent="0.35">
      <c r="A1349" s="22" t="s">
        <v>838</v>
      </c>
      <c r="B1349" s="22">
        <v>160.63999999999999</v>
      </c>
      <c r="C1349" s="22">
        <v>38627.269999999997</v>
      </c>
      <c r="D1349" s="24">
        <f t="shared" ref="D1349:D1412" si="42">(B1349-B1350)/B1350</f>
        <v>-9.8008999568514055E-3</v>
      </c>
      <c r="E1349" s="24">
        <f t="shared" ref="E1349:E1412" si="43">(C1349-C1350)/C1350</f>
        <v>1.0625266213793439E-2</v>
      </c>
    </row>
    <row r="1350" spans="1:5" x14ac:dyDescent="0.35">
      <c r="A1350" s="22" t="s">
        <v>839</v>
      </c>
      <c r="B1350" s="22">
        <v>162.22999999999999</v>
      </c>
      <c r="C1350" s="22">
        <v>38221.160000000003</v>
      </c>
      <c r="D1350" s="24">
        <f t="shared" si="42"/>
        <v>5.8903769841269138E-3</v>
      </c>
      <c r="E1350" s="24">
        <f t="shared" si="43"/>
        <v>1.6314246953144092E-2</v>
      </c>
    </row>
    <row r="1351" spans="1:5" x14ac:dyDescent="0.35">
      <c r="A1351" s="22" t="s">
        <v>840</v>
      </c>
      <c r="B1351" s="22">
        <v>161.28</v>
      </c>
      <c r="C1351" s="22">
        <v>37607.620000000003</v>
      </c>
      <c r="D1351" s="24">
        <f t="shared" si="42"/>
        <v>-1.1764705882352865E-2</v>
      </c>
      <c r="E1351" s="24">
        <f t="shared" si="43"/>
        <v>7.8263440435304111E-4</v>
      </c>
    </row>
    <row r="1352" spans="1:5" x14ac:dyDescent="0.35">
      <c r="A1352" s="22" t="s">
        <v>841</v>
      </c>
      <c r="B1352" s="22">
        <v>163.19999999999999</v>
      </c>
      <c r="C1352" s="22">
        <v>37578.21</v>
      </c>
      <c r="D1352" s="24">
        <f t="shared" si="42"/>
        <v>-1.9407558733401539E-2</v>
      </c>
      <c r="E1352" s="24">
        <f t="shared" si="43"/>
        <v>-5.9886876230174427E-3</v>
      </c>
    </row>
    <row r="1353" spans="1:5" x14ac:dyDescent="0.35">
      <c r="A1353" s="22" t="s">
        <v>842</v>
      </c>
      <c r="B1353" s="22">
        <v>166.43</v>
      </c>
      <c r="C1353" s="22">
        <v>37804.61</v>
      </c>
      <c r="D1353" s="24">
        <f t="shared" si="42"/>
        <v>1.979166666666678E-2</v>
      </c>
      <c r="E1353" s="24">
        <f t="shared" si="43"/>
        <v>2.7665555004720895E-3</v>
      </c>
    </row>
    <row r="1354" spans="1:5" x14ac:dyDescent="0.35">
      <c r="A1354" s="22" t="s">
        <v>843</v>
      </c>
      <c r="B1354" s="22">
        <v>163.19999999999999</v>
      </c>
      <c r="C1354" s="22">
        <v>37700.31</v>
      </c>
      <c r="D1354" s="24">
        <f t="shared" si="42"/>
        <v>3.9370078740156638E-3</v>
      </c>
      <c r="E1354" s="24">
        <f t="shared" si="43"/>
        <v>1.3210955371989843E-3</v>
      </c>
    </row>
    <row r="1355" spans="1:5" x14ac:dyDescent="0.35">
      <c r="A1355" s="22" t="s">
        <v>844</v>
      </c>
      <c r="B1355" s="22">
        <v>162.56</v>
      </c>
      <c r="C1355" s="22">
        <v>37650.57</v>
      </c>
      <c r="D1355" s="24">
        <f t="shared" si="42"/>
        <v>-7.8125000000000069E-3</v>
      </c>
      <c r="E1355" s="24">
        <f t="shared" si="43"/>
        <v>8.5644982635005949E-3</v>
      </c>
    </row>
    <row r="1356" spans="1:5" x14ac:dyDescent="0.35">
      <c r="A1356" s="22" t="s">
        <v>845</v>
      </c>
      <c r="B1356" s="22">
        <v>163.84</v>
      </c>
      <c r="C1356" s="22">
        <v>37330.85</v>
      </c>
      <c r="D1356" s="24">
        <f t="shared" si="42"/>
        <v>2.7725504955463658E-2</v>
      </c>
      <c r="E1356" s="24">
        <f t="shared" si="43"/>
        <v>8.9026264923742476E-3</v>
      </c>
    </row>
    <row r="1357" spans="1:5" x14ac:dyDescent="0.35">
      <c r="A1357" s="22" t="s">
        <v>846</v>
      </c>
      <c r="B1357" s="22">
        <v>159.41999999999999</v>
      </c>
      <c r="C1357" s="22">
        <v>37001.440000000002</v>
      </c>
      <c r="D1357" s="24">
        <f t="shared" si="42"/>
        <v>1.2576219512195057E-2</v>
      </c>
      <c r="E1357" s="24">
        <f t="shared" si="43"/>
        <v>8.790036159625909E-3</v>
      </c>
    </row>
    <row r="1358" spans="1:5" x14ac:dyDescent="0.35">
      <c r="A1358" s="22" t="s">
        <v>847</v>
      </c>
      <c r="B1358" s="22">
        <v>157.44</v>
      </c>
      <c r="C1358" s="22">
        <v>36679.03</v>
      </c>
      <c r="D1358" s="24">
        <f t="shared" si="42"/>
        <v>-1.6798850933616424E-2</v>
      </c>
      <c r="E1358" s="24">
        <f t="shared" si="43"/>
        <v>-1.801322729868057E-3</v>
      </c>
    </row>
    <row r="1359" spans="1:5" x14ac:dyDescent="0.35">
      <c r="A1359" s="22" t="s">
        <v>848</v>
      </c>
      <c r="B1359" s="22">
        <v>160.13</v>
      </c>
      <c r="C1359" s="22">
        <v>36745.22</v>
      </c>
      <c r="D1359" s="24">
        <f t="shared" si="42"/>
        <v>2.8181362725450188E-3</v>
      </c>
      <c r="E1359" s="24">
        <f t="shared" si="43"/>
        <v>3.4586276853520348E-3</v>
      </c>
    </row>
    <row r="1360" spans="1:5" x14ac:dyDescent="0.35">
      <c r="A1360" s="22" t="s">
        <v>849</v>
      </c>
      <c r="B1360" s="22">
        <v>159.68</v>
      </c>
      <c r="C1360" s="22">
        <v>36618.57</v>
      </c>
      <c r="D1360" s="24">
        <f t="shared" si="42"/>
        <v>-1.9999999999999575E-3</v>
      </c>
      <c r="E1360" s="24">
        <f t="shared" si="43"/>
        <v>1.1831038065343247E-2</v>
      </c>
    </row>
    <row r="1361" spans="1:5" x14ac:dyDescent="0.35">
      <c r="A1361" s="23">
        <v>44111</v>
      </c>
      <c r="B1361" s="22">
        <v>160</v>
      </c>
      <c r="C1361" s="22">
        <v>36190.400000000001</v>
      </c>
      <c r="D1361" s="24">
        <f t="shared" si="42"/>
        <v>2.047324446712168E-2</v>
      </c>
      <c r="E1361" s="24">
        <f t="shared" si="43"/>
        <v>1.3344522478866987E-3</v>
      </c>
    </row>
    <row r="1362" spans="1:5" x14ac:dyDescent="0.35">
      <c r="A1362" s="23">
        <v>44081</v>
      </c>
      <c r="B1362" s="22">
        <v>156.79</v>
      </c>
      <c r="C1362" s="22">
        <v>36142.17</v>
      </c>
      <c r="D1362" s="24">
        <f t="shared" si="42"/>
        <v>-6.3775510204204885E-5</v>
      </c>
      <c r="E1362" s="24">
        <f t="shared" si="43"/>
        <v>1.2530645142764099E-2</v>
      </c>
    </row>
    <row r="1363" spans="1:5" x14ac:dyDescent="0.35">
      <c r="A1363" s="23">
        <v>44050</v>
      </c>
      <c r="B1363" s="22">
        <v>156.80000000000001</v>
      </c>
      <c r="C1363" s="22">
        <v>35694.89</v>
      </c>
      <c r="D1363" s="24">
        <f t="shared" si="42"/>
        <v>-1.6064257028112462E-2</v>
      </c>
      <c r="E1363" s="24">
        <f t="shared" si="43"/>
        <v>9.0898939455833529E-3</v>
      </c>
    </row>
    <row r="1364" spans="1:5" x14ac:dyDescent="0.35">
      <c r="A1364" s="23">
        <v>44019</v>
      </c>
      <c r="B1364" s="22">
        <v>159.36000000000001</v>
      </c>
      <c r="C1364" s="22">
        <v>35373.35</v>
      </c>
      <c r="D1364" s="24">
        <f t="shared" si="42"/>
        <v>-3.2524393294970093E-3</v>
      </c>
      <c r="E1364" s="24">
        <f t="shared" si="43"/>
        <v>4.8456414083324056E-3</v>
      </c>
    </row>
    <row r="1365" spans="1:5" x14ac:dyDescent="0.35">
      <c r="A1365" s="23">
        <v>43989</v>
      </c>
      <c r="B1365" s="22">
        <v>159.88</v>
      </c>
      <c r="C1365" s="22">
        <v>35202.769999999997</v>
      </c>
      <c r="D1365" s="24">
        <f t="shared" si="42"/>
        <v>1.1770661941526294E-2</v>
      </c>
      <c r="E1365" s="24">
        <f t="shared" si="43"/>
        <v>4.3190881500243198E-3</v>
      </c>
    </row>
    <row r="1366" spans="1:5" x14ac:dyDescent="0.35">
      <c r="A1366" s="23">
        <v>43897</v>
      </c>
      <c r="B1366" s="22">
        <v>158.02000000000001</v>
      </c>
      <c r="C1366" s="22">
        <v>35051.379999999997</v>
      </c>
      <c r="D1366" s="24">
        <f t="shared" si="42"/>
        <v>7.780612244897951E-3</v>
      </c>
      <c r="E1366" s="24">
        <f t="shared" si="43"/>
        <v>2.0927332411233828E-3</v>
      </c>
    </row>
    <row r="1367" spans="1:5" x14ac:dyDescent="0.35">
      <c r="A1367" s="23">
        <v>43868</v>
      </c>
      <c r="B1367" s="22">
        <v>156.80000000000001</v>
      </c>
      <c r="C1367" s="22">
        <v>34978.18</v>
      </c>
      <c r="D1367" s="24">
        <f t="shared" si="42"/>
        <v>-8.0344151325361032E-3</v>
      </c>
      <c r="E1367" s="24">
        <f t="shared" si="43"/>
        <v>2.5443250545078518E-3</v>
      </c>
    </row>
    <row r="1368" spans="1:5" x14ac:dyDescent="0.35">
      <c r="A1368" s="23">
        <v>43837</v>
      </c>
      <c r="B1368" s="22">
        <v>158.07</v>
      </c>
      <c r="C1368" s="22">
        <v>34889.410000000003</v>
      </c>
      <c r="D1368" s="24">
        <f t="shared" si="42"/>
        <v>-8.0948795180724176E-3</v>
      </c>
      <c r="E1368" s="24">
        <f t="shared" si="43"/>
        <v>1.3581171532558476E-2</v>
      </c>
    </row>
    <row r="1369" spans="1:5" x14ac:dyDescent="0.35">
      <c r="A1369" s="22" t="s">
        <v>850</v>
      </c>
      <c r="B1369" s="22">
        <v>159.36000000000001</v>
      </c>
      <c r="C1369" s="22">
        <v>34421.919999999998</v>
      </c>
      <c r="D1369" s="24">
        <f t="shared" si="42"/>
        <v>-3.8132149778082468E-3</v>
      </c>
      <c r="E1369" s="24">
        <f t="shared" si="43"/>
        <v>7.0247909706333579E-3</v>
      </c>
    </row>
    <row r="1370" spans="1:5" x14ac:dyDescent="0.35">
      <c r="A1370" s="22" t="s">
        <v>851</v>
      </c>
      <c r="B1370" s="22">
        <v>159.97</v>
      </c>
      <c r="C1370" s="22">
        <v>34181.800000000003</v>
      </c>
      <c r="D1370" s="24">
        <f t="shared" si="42"/>
        <v>2.1927076807417259E-3</v>
      </c>
      <c r="E1370" s="24">
        <f t="shared" si="43"/>
        <v>7.1394708641763609E-3</v>
      </c>
    </row>
    <row r="1371" spans="1:5" x14ac:dyDescent="0.35">
      <c r="A1371" s="22" t="s">
        <v>852</v>
      </c>
      <c r="B1371" s="22">
        <v>159.62</v>
      </c>
      <c r="C1371" s="22">
        <v>33939.49</v>
      </c>
      <c r="D1371" s="24">
        <f t="shared" si="42"/>
        <v>-2.0007502813554658E-3</v>
      </c>
      <c r="E1371" s="24">
        <f t="shared" si="43"/>
        <v>6.8188229891577154E-3</v>
      </c>
    </row>
    <row r="1372" spans="1:5" x14ac:dyDescent="0.35">
      <c r="A1372" s="22" t="s">
        <v>853</v>
      </c>
      <c r="B1372" s="22">
        <v>159.94</v>
      </c>
      <c r="C1372" s="22">
        <v>33709.629999999997</v>
      </c>
      <c r="D1372" s="24">
        <f t="shared" si="42"/>
        <v>-4.3575697211154672E-3</v>
      </c>
      <c r="E1372" s="24">
        <f t="shared" si="43"/>
        <v>-9.5496795177856704E-3</v>
      </c>
    </row>
    <row r="1373" spans="1:5" x14ac:dyDescent="0.35">
      <c r="A1373" s="22" t="s">
        <v>854</v>
      </c>
      <c r="B1373" s="22">
        <v>160.63999999999999</v>
      </c>
      <c r="C1373" s="22">
        <v>34034.65</v>
      </c>
      <c r="D1373" s="24">
        <f t="shared" si="42"/>
        <v>-1.988071570576675E-3</v>
      </c>
      <c r="E1373" s="24">
        <f t="shared" si="43"/>
        <v>-5.2741919048199617E-4</v>
      </c>
    </row>
    <row r="1374" spans="1:5" x14ac:dyDescent="0.35">
      <c r="A1374" s="22" t="s">
        <v>855</v>
      </c>
      <c r="B1374" s="22">
        <v>160.96</v>
      </c>
      <c r="C1374" s="22">
        <v>34052.61</v>
      </c>
      <c r="D1374" s="24">
        <f t="shared" si="42"/>
        <v>1.0040160642570245E-2</v>
      </c>
      <c r="E1374" s="24">
        <f t="shared" si="43"/>
        <v>9.3274866974609686E-3</v>
      </c>
    </row>
    <row r="1375" spans="1:5" x14ac:dyDescent="0.35">
      <c r="A1375" s="22" t="s">
        <v>856</v>
      </c>
      <c r="B1375" s="22">
        <v>159.36000000000001</v>
      </c>
      <c r="C1375" s="22">
        <v>33737.919999999998</v>
      </c>
      <c r="D1375" s="24">
        <f t="shared" si="42"/>
        <v>1.632653061224491E-2</v>
      </c>
      <c r="E1375" s="24">
        <f t="shared" si="43"/>
        <v>8.9410728928607155E-3</v>
      </c>
    </row>
    <row r="1376" spans="1:5" x14ac:dyDescent="0.35">
      <c r="A1376" s="22" t="s">
        <v>857</v>
      </c>
      <c r="B1376" s="22">
        <v>156.80000000000001</v>
      </c>
      <c r="C1376" s="22">
        <v>33438.94</v>
      </c>
      <c r="D1376" s="24">
        <f t="shared" si="42"/>
        <v>8.2304526748971252E-3</v>
      </c>
      <c r="E1376" s="24">
        <f t="shared" si="43"/>
        <v>-3.0086598479121471E-3</v>
      </c>
    </row>
    <row r="1377" spans="1:5" x14ac:dyDescent="0.35">
      <c r="A1377" s="22" t="s">
        <v>858</v>
      </c>
      <c r="B1377" s="22">
        <v>155.52000000000001</v>
      </c>
      <c r="C1377" s="22">
        <v>33539.85</v>
      </c>
      <c r="D1377" s="24">
        <f t="shared" si="42"/>
        <v>3.7433845359494808E-3</v>
      </c>
      <c r="E1377" s="24">
        <f t="shared" si="43"/>
        <v>-1.4088253899571889E-2</v>
      </c>
    </row>
    <row r="1378" spans="1:5" x14ac:dyDescent="0.35">
      <c r="A1378" s="22" t="s">
        <v>859</v>
      </c>
      <c r="B1378" s="22">
        <v>154.94</v>
      </c>
      <c r="C1378" s="22">
        <v>34019.120000000003</v>
      </c>
      <c r="D1378" s="24">
        <f t="shared" si="42"/>
        <v>4.538381742738515E-3</v>
      </c>
      <c r="E1378" s="24">
        <f t="shared" si="43"/>
        <v>5.7535201544678862E-3</v>
      </c>
    </row>
    <row r="1379" spans="1:5" x14ac:dyDescent="0.35">
      <c r="A1379" s="22" t="s">
        <v>860</v>
      </c>
      <c r="B1379" s="22">
        <v>154.24</v>
      </c>
      <c r="C1379" s="22">
        <v>33824.51</v>
      </c>
      <c r="D1379" s="24">
        <f t="shared" si="42"/>
        <v>-4.1322314049585893E-3</v>
      </c>
      <c r="E1379" s="24">
        <f t="shared" si="43"/>
        <v>-2.2669766815596553E-2</v>
      </c>
    </row>
    <row r="1380" spans="1:5" x14ac:dyDescent="0.35">
      <c r="A1380" s="23">
        <v>44171</v>
      </c>
      <c r="B1380" s="22">
        <v>154.88</v>
      </c>
      <c r="C1380" s="22">
        <v>34609.089999999997</v>
      </c>
      <c r="D1380" s="24">
        <f t="shared" si="42"/>
        <v>-3.585657370517923E-2</v>
      </c>
      <c r="E1380" s="24">
        <f t="shared" si="43"/>
        <v>-1.4788243646626342E-2</v>
      </c>
    </row>
    <row r="1381" spans="1:5" x14ac:dyDescent="0.35">
      <c r="A1381" s="23">
        <v>44141</v>
      </c>
      <c r="B1381" s="22">
        <v>160.63999999999999</v>
      </c>
      <c r="C1381" s="22">
        <v>35128.58</v>
      </c>
      <c r="D1381" s="24">
        <f t="shared" si="42"/>
        <v>3.9999999999999151E-3</v>
      </c>
      <c r="E1381" s="24">
        <f t="shared" si="43"/>
        <v>1.8109184407963704E-3</v>
      </c>
    </row>
    <row r="1382" spans="1:5" x14ac:dyDescent="0.35">
      <c r="A1382" s="23">
        <v>44110</v>
      </c>
      <c r="B1382" s="22">
        <v>160</v>
      </c>
      <c r="C1382" s="22">
        <v>35065.08</v>
      </c>
      <c r="D1382" s="24">
        <f t="shared" si="42"/>
        <v>2.0408163265306048E-2</v>
      </c>
      <c r="E1382" s="24">
        <f t="shared" si="43"/>
        <v>7.5130158949075158E-3</v>
      </c>
    </row>
    <row r="1383" spans="1:5" x14ac:dyDescent="0.35">
      <c r="A1383" s="23">
        <v>44080</v>
      </c>
      <c r="B1383" s="22">
        <v>156.80000000000001</v>
      </c>
      <c r="C1383" s="22">
        <v>34803.599999999999</v>
      </c>
      <c r="D1383" s="24">
        <f t="shared" si="42"/>
        <v>0</v>
      </c>
      <c r="E1383" s="24">
        <f t="shared" si="43"/>
        <v>1.554839383623994E-3</v>
      </c>
    </row>
    <row r="1384" spans="1:5" x14ac:dyDescent="0.35">
      <c r="A1384" s="23">
        <v>44049</v>
      </c>
      <c r="B1384" s="22">
        <v>156.80000000000001</v>
      </c>
      <c r="C1384" s="22">
        <v>34749.57</v>
      </c>
      <c r="D1384" s="24">
        <f t="shared" si="42"/>
        <v>3.827995406405657E-4</v>
      </c>
      <c r="E1384" s="24">
        <f t="shared" si="43"/>
        <v>1.8469849548892883E-2</v>
      </c>
    </row>
    <row r="1385" spans="1:5" x14ac:dyDescent="0.35">
      <c r="A1385" s="23">
        <v>43927</v>
      </c>
      <c r="B1385" s="22">
        <v>156.74</v>
      </c>
      <c r="C1385" s="22">
        <v>34119.39</v>
      </c>
      <c r="D1385" s="24">
        <f t="shared" si="42"/>
        <v>3.7141393442623751E-3</v>
      </c>
      <c r="E1385" s="24">
        <f t="shared" si="43"/>
        <v>-8.1982080972238594E-3</v>
      </c>
    </row>
    <row r="1386" spans="1:5" x14ac:dyDescent="0.35">
      <c r="A1386" s="23">
        <v>43896</v>
      </c>
      <c r="B1386" s="22">
        <v>156.16</v>
      </c>
      <c r="C1386" s="22">
        <v>34401.42</v>
      </c>
      <c r="D1386" s="24">
        <f t="shared" si="42"/>
        <v>1.6666666666666684E-2</v>
      </c>
      <c r="E1386" s="24">
        <f t="shared" si="43"/>
        <v>-1.9268746703183284E-4</v>
      </c>
    </row>
    <row r="1387" spans="1:5" x14ac:dyDescent="0.35">
      <c r="A1387" s="23">
        <v>43867</v>
      </c>
      <c r="B1387" s="22">
        <v>153.6</v>
      </c>
      <c r="C1387" s="22">
        <v>34408.050000000003</v>
      </c>
      <c r="D1387" s="24">
        <f t="shared" si="42"/>
        <v>1.5000330403753264E-2</v>
      </c>
      <c r="E1387" s="24">
        <f t="shared" si="43"/>
        <v>1.1347961332045197E-2</v>
      </c>
    </row>
    <row r="1388" spans="1:5" x14ac:dyDescent="0.35">
      <c r="A1388" s="23">
        <v>43836</v>
      </c>
      <c r="B1388" s="22">
        <v>151.33000000000001</v>
      </c>
      <c r="C1388" s="22">
        <v>34021.97</v>
      </c>
      <c r="D1388" s="24">
        <f t="shared" si="42"/>
        <v>-2.3110193015299103E-2</v>
      </c>
      <c r="E1388" s="24">
        <f t="shared" si="43"/>
        <v>2.6742325580298137E-3</v>
      </c>
    </row>
    <row r="1389" spans="1:5" x14ac:dyDescent="0.35">
      <c r="A1389" s="22" t="s">
        <v>861</v>
      </c>
      <c r="B1389" s="22">
        <v>154.91</v>
      </c>
      <c r="C1389" s="22">
        <v>33931.230000000003</v>
      </c>
      <c r="D1389" s="24">
        <f t="shared" si="42"/>
        <v>-2.0053137651821963E-2</v>
      </c>
      <c r="E1389" s="24">
        <f t="shared" si="43"/>
        <v>6.9982804784746696E-3</v>
      </c>
    </row>
    <row r="1390" spans="1:5" x14ac:dyDescent="0.35">
      <c r="A1390" s="22" t="s">
        <v>862</v>
      </c>
      <c r="B1390" s="22">
        <v>158.08000000000001</v>
      </c>
      <c r="C1390" s="22">
        <v>33695.42</v>
      </c>
      <c r="D1390" s="24">
        <f t="shared" si="42"/>
        <v>1.2295081967213217E-2</v>
      </c>
      <c r="E1390" s="24">
        <f t="shared" si="43"/>
        <v>-4.1726993336508094E-3</v>
      </c>
    </row>
    <row r="1391" spans="1:5" x14ac:dyDescent="0.35">
      <c r="A1391" s="22" t="s">
        <v>863</v>
      </c>
      <c r="B1391" s="22">
        <v>156.16</v>
      </c>
      <c r="C1391" s="22">
        <v>33836.61</v>
      </c>
      <c r="D1391" s="24">
        <f t="shared" si="42"/>
        <v>-2.3389618511569787E-2</v>
      </c>
      <c r="E1391" s="24">
        <f t="shared" si="43"/>
        <v>-2.8350142531666871E-3</v>
      </c>
    </row>
    <row r="1392" spans="1:5" x14ac:dyDescent="0.35">
      <c r="A1392" s="22" t="s">
        <v>864</v>
      </c>
      <c r="B1392" s="22">
        <v>159.9</v>
      </c>
      <c r="C1392" s="22">
        <v>33932.81</v>
      </c>
      <c r="D1392" s="24">
        <f t="shared" si="42"/>
        <v>-6.2499999999996445E-4</v>
      </c>
      <c r="E1392" s="24">
        <f t="shared" si="43"/>
        <v>-6.6085943343615356E-3</v>
      </c>
    </row>
    <row r="1393" spans="1:5" x14ac:dyDescent="0.35">
      <c r="A1393" s="22" t="s">
        <v>865</v>
      </c>
      <c r="B1393" s="22">
        <v>160</v>
      </c>
      <c r="C1393" s="22">
        <v>34158.550000000003</v>
      </c>
      <c r="D1393" s="24">
        <f t="shared" si="42"/>
        <v>-7.936507936507943E-3</v>
      </c>
      <c r="E1393" s="24">
        <f t="shared" si="43"/>
        <v>1.0459408779241683E-2</v>
      </c>
    </row>
    <row r="1394" spans="1:5" x14ac:dyDescent="0.35">
      <c r="A1394" s="22" t="s">
        <v>866</v>
      </c>
      <c r="B1394" s="22">
        <v>161.28</v>
      </c>
      <c r="C1394" s="22">
        <v>33804.97</v>
      </c>
      <c r="D1394" s="24">
        <f t="shared" si="42"/>
        <v>-3.9525691699603908E-3</v>
      </c>
      <c r="E1394" s="24">
        <f t="shared" si="43"/>
        <v>-5.9797114412851373E-3</v>
      </c>
    </row>
    <row r="1395" spans="1:5" x14ac:dyDescent="0.35">
      <c r="A1395" s="22" t="s">
        <v>867</v>
      </c>
      <c r="B1395" s="22">
        <v>161.91999999999999</v>
      </c>
      <c r="C1395" s="22">
        <v>34008.33</v>
      </c>
      <c r="D1395" s="24">
        <f t="shared" si="42"/>
        <v>-3.937007874015839E-3</v>
      </c>
      <c r="E1395" s="24">
        <f t="shared" si="43"/>
        <v>6.017766655129886E-3</v>
      </c>
    </row>
    <row r="1396" spans="1:5" x14ac:dyDescent="0.35">
      <c r="A1396" s="22" t="s">
        <v>868</v>
      </c>
      <c r="B1396" s="22">
        <v>162.56</v>
      </c>
      <c r="C1396" s="22">
        <v>33804.9</v>
      </c>
      <c r="D1396" s="24">
        <f t="shared" si="42"/>
        <v>0</v>
      </c>
      <c r="E1396" s="24">
        <f t="shared" si="43"/>
        <v>3.3199735019458195E-3</v>
      </c>
    </row>
    <row r="1397" spans="1:5" x14ac:dyDescent="0.35">
      <c r="A1397" s="22" t="s">
        <v>869</v>
      </c>
      <c r="B1397" s="22">
        <v>162.56</v>
      </c>
      <c r="C1397" s="22">
        <v>33693.040000000001</v>
      </c>
      <c r="D1397" s="24">
        <f t="shared" si="42"/>
        <v>7.936507936507943E-3</v>
      </c>
      <c r="E1397" s="24">
        <f t="shared" si="43"/>
        <v>2.6789258822571328E-3</v>
      </c>
    </row>
    <row r="1398" spans="1:5" x14ac:dyDescent="0.35">
      <c r="A1398" s="23">
        <v>44170</v>
      </c>
      <c r="B1398" s="22">
        <v>161.28</v>
      </c>
      <c r="C1398" s="22">
        <v>33603.019999999997</v>
      </c>
      <c r="D1398" s="24">
        <f t="shared" si="42"/>
        <v>0</v>
      </c>
      <c r="E1398" s="24">
        <f t="shared" si="43"/>
        <v>9.5911553341730595E-3</v>
      </c>
    </row>
    <row r="1399" spans="1:5" x14ac:dyDescent="0.35">
      <c r="A1399" s="23">
        <v>44140</v>
      </c>
      <c r="B1399" s="22">
        <v>161.28</v>
      </c>
      <c r="C1399" s="22">
        <v>33283.79</v>
      </c>
      <c r="D1399" s="24">
        <f t="shared" si="42"/>
        <v>8.0000000000000071E-3</v>
      </c>
      <c r="E1399" s="24">
        <f t="shared" si="43"/>
        <v>4.8395304873883769E-4</v>
      </c>
    </row>
    <row r="1400" spans="1:5" x14ac:dyDescent="0.35">
      <c r="A1400" s="23">
        <v>44048</v>
      </c>
      <c r="B1400" s="22">
        <v>160</v>
      </c>
      <c r="C1400" s="22">
        <v>33267.69</v>
      </c>
      <c r="D1400" s="24">
        <f t="shared" si="42"/>
        <v>-2.3437500000000021E-2</v>
      </c>
      <c r="E1400" s="24">
        <f t="shared" si="43"/>
        <v>-1.0950583951074328E-3</v>
      </c>
    </row>
    <row r="1401" spans="1:5" x14ac:dyDescent="0.35">
      <c r="A1401" s="23">
        <v>44017</v>
      </c>
      <c r="B1401" s="22">
        <v>163.84</v>
      </c>
      <c r="C1401" s="22">
        <v>33304.160000000003</v>
      </c>
      <c r="D1401" s="24">
        <f t="shared" si="42"/>
        <v>3.6634509708146463E-4</v>
      </c>
      <c r="E1401" s="24">
        <f t="shared" si="43"/>
        <v>-1.2571683381670662E-2</v>
      </c>
    </row>
    <row r="1402" spans="1:5" x14ac:dyDescent="0.35">
      <c r="A1402" s="23">
        <v>43987</v>
      </c>
      <c r="B1402" s="22">
        <v>163.78</v>
      </c>
      <c r="C1402" s="22">
        <v>33728.18</v>
      </c>
      <c r="D1402" s="24">
        <f t="shared" si="42"/>
        <v>-4.2558365758754175E-3</v>
      </c>
      <c r="E1402" s="24">
        <f t="shared" si="43"/>
        <v>-7.7831302262982459E-3</v>
      </c>
    </row>
    <row r="1403" spans="1:5" x14ac:dyDescent="0.35">
      <c r="A1403" s="23">
        <v>43956</v>
      </c>
      <c r="B1403" s="22">
        <v>164.48</v>
      </c>
      <c r="C1403" s="22">
        <v>33992.75</v>
      </c>
      <c r="D1403" s="24">
        <f t="shared" si="42"/>
        <v>-1.9083969465648956E-2</v>
      </c>
      <c r="E1403" s="24">
        <f t="shared" si="43"/>
        <v>2.2440312483783943E-3</v>
      </c>
    </row>
    <row r="1404" spans="1:5" x14ac:dyDescent="0.35">
      <c r="A1404" s="23">
        <v>43926</v>
      </c>
      <c r="B1404" s="22">
        <v>167.68</v>
      </c>
      <c r="C1404" s="22">
        <v>33916.639999999999</v>
      </c>
      <c r="D1404" s="24">
        <f t="shared" si="42"/>
        <v>1.5503875968992262E-2</v>
      </c>
      <c r="E1404" s="24">
        <f t="shared" si="43"/>
        <v>-5.7165237438012361E-3</v>
      </c>
    </row>
    <row r="1405" spans="1:5" x14ac:dyDescent="0.35">
      <c r="A1405" s="22" t="s">
        <v>870</v>
      </c>
      <c r="B1405" s="22">
        <v>165.12</v>
      </c>
      <c r="C1405" s="22">
        <v>34111.64</v>
      </c>
      <c r="D1405" s="24">
        <f t="shared" si="42"/>
        <v>5.113221329437566E-3</v>
      </c>
      <c r="E1405" s="24">
        <f t="shared" si="43"/>
        <v>2.873441893624756E-2</v>
      </c>
    </row>
    <row r="1406" spans="1:5" x14ac:dyDescent="0.35">
      <c r="A1406" s="22" t="s">
        <v>871</v>
      </c>
      <c r="B1406" s="22">
        <v>164.28</v>
      </c>
      <c r="C1406" s="22">
        <v>33158.839999999997</v>
      </c>
      <c r="D1406" s="24">
        <f t="shared" si="42"/>
        <v>8.7658898305084818E-2</v>
      </c>
      <c r="E1406" s="24">
        <f t="shared" si="43"/>
        <v>1.859867743420876E-2</v>
      </c>
    </row>
    <row r="1407" spans="1:5" x14ac:dyDescent="0.35">
      <c r="A1407" s="22" t="s">
        <v>872</v>
      </c>
      <c r="B1407" s="22">
        <v>151.04</v>
      </c>
      <c r="C1407" s="22">
        <v>32553.39</v>
      </c>
      <c r="D1407" s="24">
        <f t="shared" si="42"/>
        <v>2.6505369036292008E-2</v>
      </c>
      <c r="E1407" s="24">
        <f t="shared" si="43"/>
        <v>7.3904743278341541E-3</v>
      </c>
    </row>
    <row r="1408" spans="1:5" x14ac:dyDescent="0.35">
      <c r="A1408" s="22" t="s">
        <v>873</v>
      </c>
      <c r="B1408" s="22">
        <v>147.13999999999999</v>
      </c>
      <c r="C1408" s="22">
        <v>32314.57</v>
      </c>
      <c r="D1408" s="24">
        <f t="shared" si="42"/>
        <v>1.7284292035398233E-2</v>
      </c>
      <c r="E1408" s="24">
        <f t="shared" si="43"/>
        <v>-1.4991291328089162E-2</v>
      </c>
    </row>
    <row r="1409" spans="1:5" x14ac:dyDescent="0.35">
      <c r="A1409" s="22" t="s">
        <v>874</v>
      </c>
      <c r="B1409" s="22">
        <v>144.63999999999999</v>
      </c>
      <c r="C1409" s="22">
        <v>32806.379999999997</v>
      </c>
      <c r="D1409" s="24">
        <f t="shared" si="42"/>
        <v>-1.7391304347826105E-2</v>
      </c>
      <c r="E1409" s="24">
        <f t="shared" si="43"/>
        <v>-1.3530860559688861E-3</v>
      </c>
    </row>
    <row r="1410" spans="1:5" x14ac:dyDescent="0.35">
      <c r="A1410" s="22" t="s">
        <v>875</v>
      </c>
      <c r="B1410" s="22">
        <v>147.19999999999999</v>
      </c>
      <c r="C1410" s="22">
        <v>32850.83</v>
      </c>
      <c r="D1410" s="24">
        <f t="shared" si="42"/>
        <v>-1.5252876639015261E-2</v>
      </c>
      <c r="E1410" s="24">
        <f t="shared" si="43"/>
        <v>1.190849128409952E-2</v>
      </c>
    </row>
    <row r="1411" spans="1:5" x14ac:dyDescent="0.35">
      <c r="A1411" s="22" t="s">
        <v>876</v>
      </c>
      <c r="B1411" s="22">
        <v>149.47999999999999</v>
      </c>
      <c r="C1411" s="22">
        <v>32464.23</v>
      </c>
      <c r="D1411" s="24">
        <f t="shared" si="42"/>
        <v>6.1647727272727111E-2</v>
      </c>
      <c r="E1411" s="24">
        <f t="shared" si="43"/>
        <v>1.2768780516690806E-3</v>
      </c>
    </row>
    <row r="1412" spans="1:5" x14ac:dyDescent="0.35">
      <c r="A1412" s="22" t="s">
        <v>877</v>
      </c>
      <c r="B1412" s="22">
        <v>140.80000000000001</v>
      </c>
      <c r="C1412" s="22">
        <v>32422.83</v>
      </c>
      <c r="D1412" s="24">
        <f t="shared" si="42"/>
        <v>4.2631803325282272E-4</v>
      </c>
      <c r="E1412" s="24">
        <f t="shared" si="43"/>
        <v>-3.2144216432111967E-2</v>
      </c>
    </row>
    <row r="1413" spans="1:5" x14ac:dyDescent="0.35">
      <c r="A1413" s="22" t="s">
        <v>878</v>
      </c>
      <c r="B1413" s="22">
        <v>140.74</v>
      </c>
      <c r="C1413" s="22">
        <v>33499.65</v>
      </c>
      <c r="D1413" s="24">
        <f t="shared" ref="D1413:D1476" si="44">(B1413-B1414)/B1414</f>
        <v>2.7599299065420569E-2</v>
      </c>
      <c r="E1413" s="24">
        <f t="shared" ref="E1413:E1476" si="45">(C1413-C1414)/C1414</f>
        <v>2.0340626763722877E-2</v>
      </c>
    </row>
    <row r="1414" spans="1:5" x14ac:dyDescent="0.35">
      <c r="A1414" s="22" t="s">
        <v>879</v>
      </c>
      <c r="B1414" s="22">
        <v>136.96</v>
      </c>
      <c r="C1414" s="22">
        <v>32831.83</v>
      </c>
      <c r="D1414" s="24">
        <f t="shared" si="44"/>
        <v>3.381642512077309E-2</v>
      </c>
      <c r="E1414" s="24">
        <f t="shared" si="45"/>
        <v>4.7953906642502063E-2</v>
      </c>
    </row>
    <row r="1415" spans="1:5" x14ac:dyDescent="0.35">
      <c r="A1415" s="22" t="s">
        <v>880</v>
      </c>
      <c r="B1415" s="22">
        <v>132.47999999999999</v>
      </c>
      <c r="C1415" s="22">
        <v>31329.46</v>
      </c>
      <c r="D1415" s="24">
        <f t="shared" si="44"/>
        <v>2.2222222222222188E-2</v>
      </c>
      <c r="E1415" s="24">
        <f t="shared" si="45"/>
        <v>2.7933381110607303E-3</v>
      </c>
    </row>
    <row r="1416" spans="1:5" x14ac:dyDescent="0.35">
      <c r="A1416" s="22" t="s">
        <v>881</v>
      </c>
      <c r="B1416" s="22">
        <v>129.6</v>
      </c>
      <c r="C1416" s="22">
        <v>31242.19</v>
      </c>
      <c r="D1416" s="24">
        <f t="shared" si="44"/>
        <v>1.2499999999999956E-2</v>
      </c>
      <c r="E1416" s="24">
        <f t="shared" si="45"/>
        <v>6.2294340599182158E-4</v>
      </c>
    </row>
    <row r="1417" spans="1:5" x14ac:dyDescent="0.35">
      <c r="A1417" s="22" t="s">
        <v>882</v>
      </c>
      <c r="B1417" s="22">
        <v>128</v>
      </c>
      <c r="C1417" s="22">
        <v>31222.74</v>
      </c>
      <c r="D1417" s="24">
        <f t="shared" si="44"/>
        <v>5.0251256281407079E-3</v>
      </c>
      <c r="E1417" s="24">
        <f t="shared" si="45"/>
        <v>6.1144607722298109E-3</v>
      </c>
    </row>
    <row r="1418" spans="1:5" x14ac:dyDescent="0.35">
      <c r="A1418" s="22" t="s">
        <v>883</v>
      </c>
      <c r="B1418" s="22">
        <v>127.36</v>
      </c>
      <c r="C1418" s="22">
        <v>31032.99</v>
      </c>
      <c r="D1418" s="24">
        <f t="shared" si="44"/>
        <v>-2.9268292682926751E-2</v>
      </c>
      <c r="E1418" s="24">
        <f t="shared" si="45"/>
        <v>-3.1224167426295191E-2</v>
      </c>
    </row>
    <row r="1419" spans="1:5" x14ac:dyDescent="0.35">
      <c r="A1419" s="23">
        <v>44108</v>
      </c>
      <c r="B1419" s="22">
        <v>131.19999999999999</v>
      </c>
      <c r="C1419" s="22">
        <v>32033.200000000001</v>
      </c>
      <c r="D1419" s="24">
        <f t="shared" si="44"/>
        <v>-9.2131098021446828E-3</v>
      </c>
      <c r="E1419" s="24">
        <f t="shared" si="45"/>
        <v>6.1531599727364271E-3</v>
      </c>
    </row>
    <row r="1420" spans="1:5" x14ac:dyDescent="0.35">
      <c r="A1420" s="23">
        <v>44078</v>
      </c>
      <c r="B1420" s="22">
        <v>132.41999999999999</v>
      </c>
      <c r="C1420" s="22">
        <v>31837.3</v>
      </c>
      <c r="D1420" s="24">
        <f t="shared" si="44"/>
        <v>9.2987804878048707E-3</v>
      </c>
      <c r="E1420" s="24">
        <f t="shared" si="45"/>
        <v>2.7962366412484823E-2</v>
      </c>
    </row>
    <row r="1421" spans="1:5" x14ac:dyDescent="0.35">
      <c r="A1421" s="23">
        <v>44047</v>
      </c>
      <c r="B1421" s="22">
        <v>131.19999999999999</v>
      </c>
      <c r="C1421" s="22">
        <v>30971.27</v>
      </c>
      <c r="D1421" s="24">
        <f t="shared" si="44"/>
        <v>1.5087040618955425E-2</v>
      </c>
      <c r="E1421" s="24">
        <f t="shared" si="45"/>
        <v>-8.3338803229426276E-3</v>
      </c>
    </row>
    <row r="1422" spans="1:5" x14ac:dyDescent="0.35">
      <c r="A1422" s="23">
        <v>44016</v>
      </c>
      <c r="B1422" s="22">
        <v>129.25</v>
      </c>
      <c r="C1422" s="22">
        <v>31231.55</v>
      </c>
      <c r="D1422" s="24">
        <f t="shared" si="44"/>
        <v>9.8445191030549668E-3</v>
      </c>
      <c r="E1422" s="24">
        <f t="shared" si="45"/>
        <v>2.1334798383866059E-2</v>
      </c>
    </row>
    <row r="1423" spans="1:5" x14ac:dyDescent="0.35">
      <c r="A1423" s="23">
        <v>43986</v>
      </c>
      <c r="B1423" s="22">
        <v>127.99</v>
      </c>
      <c r="C1423" s="22">
        <v>30579.15</v>
      </c>
      <c r="D1423" s="24">
        <f t="shared" si="44"/>
        <v>-3.389190821256035E-2</v>
      </c>
      <c r="E1423" s="24">
        <f t="shared" si="45"/>
        <v>-3.2972200498453737E-2</v>
      </c>
    </row>
    <row r="1424" spans="1:5" x14ac:dyDescent="0.35">
      <c r="A1424" s="23">
        <v>43894</v>
      </c>
      <c r="B1424" s="22">
        <v>132.47999999999999</v>
      </c>
      <c r="C1424" s="22">
        <v>31621.79</v>
      </c>
      <c r="D1424" s="24">
        <f t="shared" si="44"/>
        <v>9.7560975609756184E-3</v>
      </c>
      <c r="E1424" s="24">
        <f t="shared" si="45"/>
        <v>2.7259827448310219E-2</v>
      </c>
    </row>
    <row r="1425" spans="1:5" x14ac:dyDescent="0.35">
      <c r="A1425" s="23">
        <v>43865</v>
      </c>
      <c r="B1425" s="22">
        <v>131.19999999999999</v>
      </c>
      <c r="C1425" s="22">
        <v>30782.66</v>
      </c>
      <c r="D1425" s="24">
        <f t="shared" si="44"/>
        <v>1.4851485148514755E-2</v>
      </c>
      <c r="E1425" s="24">
        <f t="shared" si="45"/>
        <v>4.3283014020742527E-2</v>
      </c>
    </row>
    <row r="1426" spans="1:5" x14ac:dyDescent="0.35">
      <c r="A1426" s="23">
        <v>43834</v>
      </c>
      <c r="B1426" s="22">
        <v>129.28</v>
      </c>
      <c r="C1426" s="22">
        <v>29505.57</v>
      </c>
      <c r="D1426" s="24">
        <f t="shared" si="44"/>
        <v>1.53145370297652E-2</v>
      </c>
      <c r="E1426" s="24">
        <f t="shared" si="45"/>
        <v>9.3713556171858593E-3</v>
      </c>
    </row>
    <row r="1427" spans="1:5" x14ac:dyDescent="0.35">
      <c r="A1427" s="22" t="s">
        <v>884</v>
      </c>
      <c r="B1427" s="22">
        <v>127.33</v>
      </c>
      <c r="C1427" s="22">
        <v>29231.63</v>
      </c>
      <c r="D1427" s="24">
        <f t="shared" si="44"/>
        <v>1.5552719732014698E-2</v>
      </c>
      <c r="E1427" s="24">
        <f t="shared" si="45"/>
        <v>4.3115411804210753E-2</v>
      </c>
    </row>
    <row r="1428" spans="1:5" x14ac:dyDescent="0.35">
      <c r="A1428" s="22" t="s">
        <v>885</v>
      </c>
      <c r="B1428" s="22">
        <v>125.38</v>
      </c>
      <c r="C1428" s="22">
        <v>28023.39</v>
      </c>
      <c r="D1428" s="24">
        <f t="shared" si="44"/>
        <v>-2.3921537357468413E-4</v>
      </c>
      <c r="E1428" s="24">
        <f t="shared" si="45"/>
        <v>-3.0658597765814378E-3</v>
      </c>
    </row>
    <row r="1429" spans="1:5" x14ac:dyDescent="0.35">
      <c r="A1429" s="22" t="s">
        <v>886</v>
      </c>
      <c r="B1429" s="22">
        <v>125.41</v>
      </c>
      <c r="C1429" s="22">
        <v>28109.57</v>
      </c>
      <c r="D1429" s="24">
        <f t="shared" si="44"/>
        <v>-2.391581632653152E-4</v>
      </c>
      <c r="E1429" s="24">
        <f t="shared" si="45"/>
        <v>3.089316101396546E-2</v>
      </c>
    </row>
    <row r="1430" spans="1:5" x14ac:dyDescent="0.35">
      <c r="A1430" s="22" t="s">
        <v>887</v>
      </c>
      <c r="B1430" s="22">
        <v>125.44</v>
      </c>
      <c r="C1430" s="22">
        <v>27267.200000000001</v>
      </c>
      <c r="D1430" s="24">
        <f t="shared" si="44"/>
        <v>4.7854522252354661E-4</v>
      </c>
      <c r="E1430" s="24">
        <f t="shared" si="45"/>
        <v>1.4102714772594258E-3</v>
      </c>
    </row>
    <row r="1431" spans="1:5" x14ac:dyDescent="0.35">
      <c r="A1431" s="22" t="s">
        <v>888</v>
      </c>
      <c r="B1431" s="22">
        <v>125.38</v>
      </c>
      <c r="C1431" s="22">
        <v>27228.799999999999</v>
      </c>
      <c r="D1431" s="24">
        <f t="shared" si="44"/>
        <v>-2.0468750000000036E-2</v>
      </c>
      <c r="E1431" s="24">
        <f t="shared" si="45"/>
        <v>-4.6771851959210062E-2</v>
      </c>
    </row>
    <row r="1432" spans="1:5" x14ac:dyDescent="0.35">
      <c r="A1432" s="22" t="s">
        <v>889</v>
      </c>
      <c r="B1432" s="22">
        <v>128</v>
      </c>
      <c r="C1432" s="22">
        <v>28564.83</v>
      </c>
      <c r="D1432" s="24">
        <f t="shared" si="44"/>
        <v>-4.0767386091127081E-2</v>
      </c>
      <c r="E1432" s="24">
        <f t="shared" si="45"/>
        <v>-6.8560729451883878E-2</v>
      </c>
    </row>
    <row r="1433" spans="1:5" x14ac:dyDescent="0.35">
      <c r="A1433" s="22" t="s">
        <v>890</v>
      </c>
      <c r="B1433" s="22">
        <v>133.44</v>
      </c>
      <c r="C1433" s="22">
        <v>30667.41</v>
      </c>
      <c r="D1433" s="24">
        <f t="shared" si="44"/>
        <v>-2.5273922571219926E-2</v>
      </c>
      <c r="E1433" s="24">
        <f t="shared" si="45"/>
        <v>1.7842118591442371E-2</v>
      </c>
    </row>
    <row r="1434" spans="1:5" x14ac:dyDescent="0.35">
      <c r="A1434" s="22" t="s">
        <v>891</v>
      </c>
      <c r="B1434" s="22">
        <v>136.9</v>
      </c>
      <c r="C1434" s="22">
        <v>30129.83</v>
      </c>
      <c r="D1434" s="24">
        <f t="shared" si="44"/>
        <v>-3.421516754850084E-2</v>
      </c>
      <c r="E1434" s="24">
        <f t="shared" si="45"/>
        <v>-9.4101633841342826E-3</v>
      </c>
    </row>
    <row r="1435" spans="1:5" x14ac:dyDescent="0.35">
      <c r="A1435" s="22" t="s">
        <v>892</v>
      </c>
      <c r="B1435" s="22">
        <v>141.75</v>
      </c>
      <c r="C1435" s="22">
        <v>30416.05</v>
      </c>
      <c r="D1435" s="24">
        <f t="shared" si="44"/>
        <v>6.997282608695661E-2</v>
      </c>
      <c r="E1435" s="24">
        <f t="shared" si="45"/>
        <v>-6.7476614138731045E-2</v>
      </c>
    </row>
    <row r="1436" spans="1:5" x14ac:dyDescent="0.35">
      <c r="A1436" s="22" t="s">
        <v>893</v>
      </c>
      <c r="B1436" s="22">
        <v>132.47999999999999</v>
      </c>
      <c r="C1436" s="22">
        <v>32616.93</v>
      </c>
      <c r="D1436" s="24">
        <f t="shared" si="44"/>
        <v>-4.1389290882778575E-2</v>
      </c>
      <c r="E1436" s="24">
        <f t="shared" si="45"/>
        <v>-3.1704997875903577E-2</v>
      </c>
    </row>
    <row r="1437" spans="1:5" x14ac:dyDescent="0.35">
      <c r="A1437" s="22" t="s">
        <v>894</v>
      </c>
      <c r="B1437" s="22">
        <v>138.19999999999999</v>
      </c>
      <c r="C1437" s="22">
        <v>33684.910000000003</v>
      </c>
      <c r="D1437" s="24">
        <f t="shared" si="44"/>
        <v>-9.6495815899581713E-2</v>
      </c>
      <c r="E1437" s="24">
        <f t="shared" si="45"/>
        <v>-6.5887743172102123E-2</v>
      </c>
    </row>
    <row r="1438" spans="1:5" x14ac:dyDescent="0.35">
      <c r="A1438" s="22" t="s">
        <v>895</v>
      </c>
      <c r="B1438" s="22">
        <v>152.96</v>
      </c>
      <c r="C1438" s="22">
        <v>36060.879999999997</v>
      </c>
      <c r="D1438" s="24">
        <f t="shared" si="44"/>
        <v>5.2573630608312792E-2</v>
      </c>
      <c r="E1438" s="24">
        <f t="shared" si="45"/>
        <v>2.8976527038499663E-3</v>
      </c>
    </row>
    <row r="1439" spans="1:5" x14ac:dyDescent="0.35">
      <c r="A1439" s="23">
        <v>44168</v>
      </c>
      <c r="B1439" s="22">
        <v>145.32</v>
      </c>
      <c r="C1439" s="22">
        <v>35956.69</v>
      </c>
      <c r="D1439" s="24">
        <f t="shared" si="44"/>
        <v>-7.2859512568585014E-2</v>
      </c>
      <c r="E1439" s="24">
        <f t="shared" si="45"/>
        <v>-4.55644256866609E-2</v>
      </c>
    </row>
    <row r="1440" spans="1:5" x14ac:dyDescent="0.35">
      <c r="A1440" s="23">
        <v>44138</v>
      </c>
      <c r="B1440" s="22">
        <v>156.74</v>
      </c>
      <c r="C1440" s="22">
        <v>37673.25</v>
      </c>
      <c r="D1440" s="24">
        <f t="shared" si="44"/>
        <v>-3.8265306122450425E-4</v>
      </c>
      <c r="E1440" s="24">
        <f t="shared" si="45"/>
        <v>-5.9688426414118299E-4</v>
      </c>
    </row>
    <row r="1441" spans="1:5" x14ac:dyDescent="0.35">
      <c r="A1441" s="23">
        <v>44107</v>
      </c>
      <c r="B1441" s="22">
        <v>156.80000000000001</v>
      </c>
      <c r="C1441" s="22">
        <v>37695.75</v>
      </c>
      <c r="D1441" s="24">
        <f t="shared" si="44"/>
        <v>0</v>
      </c>
      <c r="E1441" s="24">
        <f t="shared" si="45"/>
        <v>1.7183433421616181E-2</v>
      </c>
    </row>
    <row r="1442" spans="1:5" x14ac:dyDescent="0.35">
      <c r="A1442" s="23">
        <v>44077</v>
      </c>
      <c r="B1442" s="22">
        <v>156.80000000000001</v>
      </c>
      <c r="C1442" s="22">
        <v>37058.949999999997</v>
      </c>
      <c r="D1442" s="24">
        <f t="shared" si="44"/>
        <v>0</v>
      </c>
      <c r="E1442" s="24">
        <f t="shared" si="45"/>
        <v>-3.0369702302505523E-2</v>
      </c>
    </row>
    <row r="1443" spans="1:5" x14ac:dyDescent="0.35">
      <c r="A1443" s="23">
        <v>43985</v>
      </c>
      <c r="B1443" s="22">
        <v>156.80000000000001</v>
      </c>
      <c r="C1443" s="22">
        <v>38219.67</v>
      </c>
      <c r="D1443" s="24">
        <f t="shared" si="44"/>
        <v>0</v>
      </c>
      <c r="E1443" s="24">
        <f t="shared" si="45"/>
        <v>-2.9516955795410717E-2</v>
      </c>
    </row>
    <row r="1444" spans="1:5" x14ac:dyDescent="0.35">
      <c r="A1444" s="23">
        <v>43954</v>
      </c>
      <c r="B1444" s="22">
        <v>156.80000000000001</v>
      </c>
      <c r="C1444" s="22">
        <v>39382.11</v>
      </c>
      <c r="D1444" s="24">
        <f t="shared" si="44"/>
        <v>2.6178010471204185E-2</v>
      </c>
      <c r="E1444" s="24">
        <f t="shared" si="45"/>
        <v>1.2227037196965001E-2</v>
      </c>
    </row>
    <row r="1445" spans="1:5" x14ac:dyDescent="0.35">
      <c r="A1445" s="23">
        <v>43924</v>
      </c>
      <c r="B1445" s="22">
        <v>152.80000000000001</v>
      </c>
      <c r="C1445" s="22">
        <v>38906.400000000001</v>
      </c>
      <c r="D1445" s="24">
        <f t="shared" si="44"/>
        <v>1.0482180293502688E-3</v>
      </c>
      <c r="E1445" s="24">
        <f t="shared" si="45"/>
        <v>-7.4816937281120361E-3</v>
      </c>
    </row>
    <row r="1446" spans="1:5" x14ac:dyDescent="0.35">
      <c r="A1446" s="23">
        <v>43893</v>
      </c>
      <c r="B1446" s="22">
        <v>152.63999999999999</v>
      </c>
      <c r="C1446" s="22">
        <v>39199.68</v>
      </c>
      <c r="D1446" s="24">
        <f t="shared" si="44"/>
        <v>-3.7854066048819508E-3</v>
      </c>
      <c r="E1446" s="24">
        <f t="shared" si="45"/>
        <v>-2.4587556589297874E-3</v>
      </c>
    </row>
    <row r="1447" spans="1:5" x14ac:dyDescent="0.35">
      <c r="A1447" s="23">
        <v>43864</v>
      </c>
      <c r="B1447" s="22">
        <v>153.22</v>
      </c>
      <c r="C1447" s="22">
        <v>39296.300000000003</v>
      </c>
      <c r="D1447" s="24">
        <f t="shared" si="44"/>
        <v>4.5442139737991244E-2</v>
      </c>
      <c r="E1447" s="24">
        <f t="shared" si="45"/>
        <v>3.4559107320471301E-2</v>
      </c>
    </row>
    <row r="1448" spans="1:5" x14ac:dyDescent="0.35">
      <c r="A1448" s="22" t="s">
        <v>896</v>
      </c>
      <c r="B1448" s="22">
        <v>146.56</v>
      </c>
      <c r="C1448" s="22">
        <v>37983.620000000003</v>
      </c>
      <c r="D1448" s="24">
        <f t="shared" si="44"/>
        <v>3.2039997183297031E-2</v>
      </c>
      <c r="E1448" s="24">
        <f t="shared" si="45"/>
        <v>-2.7226909113058383E-3</v>
      </c>
    </row>
    <row r="1449" spans="1:5" x14ac:dyDescent="0.35">
      <c r="A1449" s="22" t="s">
        <v>897</v>
      </c>
      <c r="B1449" s="22">
        <v>142.01</v>
      </c>
      <c r="C1449" s="22">
        <v>38087.32</v>
      </c>
      <c r="D1449" s="24">
        <f t="shared" si="44"/>
        <v>-8.3037386194873206E-2</v>
      </c>
      <c r="E1449" s="24">
        <f t="shared" si="45"/>
        <v>-6.5472335388631177E-3</v>
      </c>
    </row>
    <row r="1450" spans="1:5" x14ac:dyDescent="0.35">
      <c r="A1450" s="22" t="s">
        <v>898</v>
      </c>
      <c r="B1450" s="22">
        <v>154.87</v>
      </c>
      <c r="C1450" s="22">
        <v>38338.33</v>
      </c>
      <c r="D1450" s="24">
        <f t="shared" si="44"/>
        <v>2.9173312068049011E-2</v>
      </c>
      <c r="E1450" s="24">
        <f t="shared" si="45"/>
        <v>-1.3384990909313043E-2</v>
      </c>
    </row>
    <row r="1451" spans="1:5" x14ac:dyDescent="0.35">
      <c r="A1451" s="22" t="s">
        <v>899</v>
      </c>
      <c r="B1451" s="22">
        <v>150.47999999999999</v>
      </c>
      <c r="C1451" s="22">
        <v>38858.449999999997</v>
      </c>
      <c r="D1451" s="24">
        <f t="shared" si="44"/>
        <v>-3.2407407407407537E-2</v>
      </c>
      <c r="E1451" s="24">
        <f t="shared" si="45"/>
        <v>-7.2880126651191923E-3</v>
      </c>
    </row>
    <row r="1452" spans="1:5" x14ac:dyDescent="0.35">
      <c r="A1452" s="22" t="s">
        <v>900</v>
      </c>
      <c r="B1452" s="22">
        <v>155.52000000000001</v>
      </c>
      <c r="C1452" s="22">
        <v>39143.730000000003</v>
      </c>
      <c r="D1452" s="24">
        <f t="shared" si="44"/>
        <v>-8.2265161660607863E-3</v>
      </c>
      <c r="E1452" s="24">
        <f t="shared" si="45"/>
        <v>-2.7466122324854941E-2</v>
      </c>
    </row>
    <row r="1453" spans="1:5" x14ac:dyDescent="0.35">
      <c r="A1453" s="22" t="s">
        <v>901</v>
      </c>
      <c r="B1453" s="22">
        <v>156.81</v>
      </c>
      <c r="C1453" s="22">
        <v>40249.22</v>
      </c>
      <c r="D1453" s="24">
        <f t="shared" si="44"/>
        <v>-2.7715773809523801E-2</v>
      </c>
      <c r="E1453" s="24">
        <f t="shared" si="45"/>
        <v>-5.7416137929160562E-3</v>
      </c>
    </row>
    <row r="1454" spans="1:5" x14ac:dyDescent="0.35">
      <c r="A1454" s="22" t="s">
        <v>902</v>
      </c>
      <c r="B1454" s="22">
        <v>161.28</v>
      </c>
      <c r="C1454" s="22">
        <v>40481.65</v>
      </c>
      <c r="D1454" s="24">
        <f t="shared" si="44"/>
        <v>-1.1764705882352865E-2</v>
      </c>
      <c r="E1454" s="24">
        <f t="shared" si="45"/>
        <v>-2.2888748899554537E-3</v>
      </c>
    </row>
    <row r="1455" spans="1:5" x14ac:dyDescent="0.35">
      <c r="A1455" s="22" t="s">
        <v>903</v>
      </c>
      <c r="B1455" s="22">
        <v>163.19999999999999</v>
      </c>
      <c r="C1455" s="22">
        <v>40574.519999999997</v>
      </c>
      <c r="D1455" s="24">
        <f t="shared" si="44"/>
        <v>4.0816326530612096E-2</v>
      </c>
      <c r="E1455" s="24">
        <f t="shared" si="45"/>
        <v>9.9356943996753797E-3</v>
      </c>
    </row>
    <row r="1456" spans="1:5" x14ac:dyDescent="0.35">
      <c r="A1456" s="22" t="s">
        <v>904</v>
      </c>
      <c r="B1456" s="22">
        <v>156.80000000000001</v>
      </c>
      <c r="C1456" s="22">
        <v>40175.35</v>
      </c>
      <c r="D1456" s="24">
        <f t="shared" si="44"/>
        <v>6.3779577779318367E-5</v>
      </c>
      <c r="E1456" s="24">
        <f t="shared" si="45"/>
        <v>-2.5220392914753371E-3</v>
      </c>
    </row>
    <row r="1457" spans="1:5" x14ac:dyDescent="0.35">
      <c r="A1457" s="22" t="s">
        <v>905</v>
      </c>
      <c r="B1457" s="22">
        <v>156.79</v>
      </c>
      <c r="C1457" s="22">
        <v>40276.93</v>
      </c>
      <c r="D1457" s="24">
        <f t="shared" si="44"/>
        <v>-1.2097536387121265E-2</v>
      </c>
      <c r="E1457" s="24">
        <f t="shared" si="45"/>
        <v>8.3666184101383067E-4</v>
      </c>
    </row>
    <row r="1458" spans="1:5" x14ac:dyDescent="0.35">
      <c r="A1458" s="22" t="s">
        <v>906</v>
      </c>
      <c r="B1458" s="22">
        <v>158.71</v>
      </c>
      <c r="C1458" s="22">
        <v>40243.26</v>
      </c>
      <c r="D1458" s="24">
        <f t="shared" si="44"/>
        <v>4.1951155462184975E-2</v>
      </c>
      <c r="E1458" s="24">
        <f t="shared" si="45"/>
        <v>-5.2447829018792101E-3</v>
      </c>
    </row>
    <row r="1459" spans="1:5" x14ac:dyDescent="0.35">
      <c r="A1459" s="22" t="s">
        <v>907</v>
      </c>
      <c r="B1459" s="22">
        <v>152.32</v>
      </c>
      <c r="C1459" s="22">
        <v>40455.440000000002</v>
      </c>
      <c r="D1459" s="24">
        <f t="shared" si="44"/>
        <v>-3.2520325203252064E-2</v>
      </c>
      <c r="E1459" s="24">
        <f t="shared" si="45"/>
        <v>-1.867453485752681E-3</v>
      </c>
    </row>
    <row r="1460" spans="1:5" x14ac:dyDescent="0.35">
      <c r="A1460" s="23">
        <v>44167</v>
      </c>
      <c r="B1460" s="22">
        <v>157.44</v>
      </c>
      <c r="C1460" s="22">
        <v>40531.129999999997</v>
      </c>
      <c r="D1460" s="24">
        <f t="shared" si="44"/>
        <v>3.3613445378151294E-2</v>
      </c>
      <c r="E1460" s="24">
        <f t="shared" si="45"/>
        <v>2.0563542850639244E-2</v>
      </c>
    </row>
    <row r="1461" spans="1:5" x14ac:dyDescent="0.35">
      <c r="A1461" s="23">
        <v>44137</v>
      </c>
      <c r="B1461" s="22">
        <v>152.32</v>
      </c>
      <c r="C1461" s="22">
        <v>39714.46</v>
      </c>
      <c r="D1461" s="24">
        <f t="shared" si="44"/>
        <v>4.8458149779735629E-2</v>
      </c>
      <c r="E1461" s="24">
        <f t="shared" si="45"/>
        <v>1.0630918117806382E-2</v>
      </c>
    </row>
    <row r="1462" spans="1:5" x14ac:dyDescent="0.35">
      <c r="A1462" s="23">
        <v>44106</v>
      </c>
      <c r="B1462" s="22">
        <v>145.28</v>
      </c>
      <c r="C1462" s="22">
        <v>39296.699999999997</v>
      </c>
      <c r="D1462" s="24">
        <f t="shared" si="44"/>
        <v>-8.467741935483869E-2</v>
      </c>
      <c r="E1462" s="24">
        <f t="shared" si="45"/>
        <v>-2.109749417279903E-2</v>
      </c>
    </row>
    <row r="1463" spans="1:5" x14ac:dyDescent="0.35">
      <c r="A1463" s="23">
        <v>44014</v>
      </c>
      <c r="B1463" s="22">
        <v>158.72</v>
      </c>
      <c r="C1463" s="22">
        <v>40143.629999999997</v>
      </c>
      <c r="D1463" s="24">
        <f t="shared" si="44"/>
        <v>4.6413502109704588E-2</v>
      </c>
      <c r="E1463" s="24">
        <f t="shared" si="45"/>
        <v>-1.4261225638382632E-2</v>
      </c>
    </row>
    <row r="1464" spans="1:5" x14ac:dyDescent="0.35">
      <c r="A1464" s="23">
        <v>43984</v>
      </c>
      <c r="B1464" s="22">
        <v>151.68</v>
      </c>
      <c r="C1464" s="22">
        <v>40724.410000000003</v>
      </c>
      <c r="D1464" s="24">
        <f t="shared" si="44"/>
        <v>-3.1545741324920462E-3</v>
      </c>
      <c r="E1464" s="24">
        <f t="shared" si="45"/>
        <v>-3.9095739802001142E-3</v>
      </c>
    </row>
    <row r="1465" spans="1:5" x14ac:dyDescent="0.35">
      <c r="A1465" s="23">
        <v>43923</v>
      </c>
      <c r="B1465" s="22">
        <v>152.16</v>
      </c>
      <c r="C1465" s="22">
        <v>40884.25</v>
      </c>
      <c r="D1465" s="24">
        <f t="shared" si="44"/>
        <v>2.8177579566186817E-2</v>
      </c>
      <c r="E1465" s="24">
        <f t="shared" si="45"/>
        <v>1.1751479483228959E-2</v>
      </c>
    </row>
    <row r="1466" spans="1:5" x14ac:dyDescent="0.35">
      <c r="A1466" s="23">
        <v>43892</v>
      </c>
      <c r="B1466" s="22">
        <v>147.99</v>
      </c>
      <c r="C1466" s="22">
        <v>40409.379999999997</v>
      </c>
      <c r="D1466" s="24">
        <f t="shared" si="44"/>
        <v>-6.0022865853658465E-2</v>
      </c>
      <c r="E1466" s="24">
        <f t="shared" si="45"/>
        <v>-2.9342599518531288E-2</v>
      </c>
    </row>
    <row r="1467" spans="1:5" x14ac:dyDescent="0.35">
      <c r="A1467" s="22" t="s">
        <v>908</v>
      </c>
      <c r="B1467" s="22">
        <v>157.44</v>
      </c>
      <c r="C1467" s="22">
        <v>41630.94</v>
      </c>
      <c r="D1467" s="24">
        <f t="shared" si="44"/>
        <v>-1.6000000000000014E-2</v>
      </c>
      <c r="E1467" s="24">
        <f t="shared" si="45"/>
        <v>-6.5047056917188961E-3</v>
      </c>
    </row>
    <row r="1468" spans="1:5" x14ac:dyDescent="0.35">
      <c r="A1468" s="22" t="s">
        <v>909</v>
      </c>
      <c r="B1468" s="22">
        <v>160</v>
      </c>
      <c r="C1468" s="22">
        <v>41903.51</v>
      </c>
      <c r="D1468" s="24">
        <f t="shared" si="44"/>
        <v>-8.9197224975222852E-3</v>
      </c>
      <c r="E1468" s="24">
        <f t="shared" si="45"/>
        <v>1.1480069787379914E-4</v>
      </c>
    </row>
    <row r="1469" spans="1:5" x14ac:dyDescent="0.35">
      <c r="A1469" s="22" t="s">
        <v>910</v>
      </c>
      <c r="B1469" s="22">
        <v>161.44</v>
      </c>
      <c r="C1469" s="22">
        <v>41898.699999999997</v>
      </c>
      <c r="D1469" s="24">
        <f t="shared" si="44"/>
        <v>-2.9807692307692354E-2</v>
      </c>
      <c r="E1469" s="24">
        <f t="shared" si="45"/>
        <v>-9.4680300024658909E-3</v>
      </c>
    </row>
    <row r="1470" spans="1:5" x14ac:dyDescent="0.35">
      <c r="A1470" s="22" t="s">
        <v>911</v>
      </c>
      <c r="B1470" s="22">
        <v>166.4</v>
      </c>
      <c r="C1470" s="22">
        <v>42299.19</v>
      </c>
      <c r="D1470" s="24">
        <f t="shared" si="44"/>
        <v>-1.3458232050749879E-2</v>
      </c>
      <c r="E1470" s="24">
        <f t="shared" si="45"/>
        <v>-5.6427913716350971E-3</v>
      </c>
    </row>
    <row r="1471" spans="1:5" x14ac:dyDescent="0.35">
      <c r="A1471" s="22" t="s">
        <v>912</v>
      </c>
      <c r="B1471" s="22">
        <v>168.67</v>
      </c>
      <c r="C1471" s="22">
        <v>42539.23</v>
      </c>
      <c r="D1471" s="24">
        <f t="shared" si="44"/>
        <v>-1.2933052434456976E-2</v>
      </c>
      <c r="E1471" s="24">
        <f t="shared" si="45"/>
        <v>-2.2001720262433996E-3</v>
      </c>
    </row>
    <row r="1472" spans="1:5" x14ac:dyDescent="0.35">
      <c r="A1472" s="22" t="s">
        <v>913</v>
      </c>
      <c r="B1472" s="22">
        <v>170.88</v>
      </c>
      <c r="C1472" s="22">
        <v>42633.03</v>
      </c>
      <c r="D1472" s="24">
        <f t="shared" si="44"/>
        <v>9.4517958412097969E-3</v>
      </c>
      <c r="E1472" s="24">
        <f t="shared" si="45"/>
        <v>2.9661031901842346E-3</v>
      </c>
    </row>
    <row r="1473" spans="1:5" x14ac:dyDescent="0.35">
      <c r="A1473" s="22" t="s">
        <v>914</v>
      </c>
      <c r="B1473" s="22">
        <v>169.28</v>
      </c>
      <c r="C1473" s="22">
        <v>42506.95</v>
      </c>
      <c r="D1473" s="24">
        <f t="shared" si="44"/>
        <v>1.8103085343116561E-2</v>
      </c>
      <c r="E1473" s="24">
        <f t="shared" si="45"/>
        <v>-1.2762777050590764E-3</v>
      </c>
    </row>
    <row r="1474" spans="1:5" x14ac:dyDescent="0.35">
      <c r="A1474" s="22" t="s">
        <v>915</v>
      </c>
      <c r="B1474" s="22">
        <v>166.27</v>
      </c>
      <c r="C1474" s="22">
        <v>42561.27</v>
      </c>
      <c r="D1474" s="24">
        <f t="shared" si="44"/>
        <v>3.0767374517375683E-3</v>
      </c>
      <c r="E1474" s="24">
        <f t="shared" si="45"/>
        <v>-1.5298002556159082E-3</v>
      </c>
    </row>
    <row r="1475" spans="1:5" x14ac:dyDescent="0.35">
      <c r="A1475" s="22" t="s">
        <v>916</v>
      </c>
      <c r="B1475" s="22">
        <v>165.76</v>
      </c>
      <c r="C1475" s="22">
        <v>42626.48</v>
      </c>
      <c r="D1475" s="24">
        <f t="shared" si="44"/>
        <v>4.4354838709677366E-2</v>
      </c>
      <c r="E1475" s="24">
        <f t="shared" si="45"/>
        <v>-2.8340752458088131E-3</v>
      </c>
    </row>
    <row r="1476" spans="1:5" x14ac:dyDescent="0.35">
      <c r="A1476" s="22" t="s">
        <v>917</v>
      </c>
      <c r="B1476" s="22">
        <v>158.72</v>
      </c>
      <c r="C1476" s="22">
        <v>42747.63</v>
      </c>
      <c r="D1476" s="24">
        <f t="shared" si="44"/>
        <v>2.0444901633020488E-2</v>
      </c>
      <c r="E1476" s="24">
        <f t="shared" si="45"/>
        <v>-9.7327242060453768E-3</v>
      </c>
    </row>
    <row r="1477" spans="1:5" x14ac:dyDescent="0.35">
      <c r="A1477" s="22" t="s">
        <v>918</v>
      </c>
      <c r="B1477" s="22">
        <v>155.54</v>
      </c>
      <c r="C1477" s="22">
        <v>43167.77</v>
      </c>
      <c r="D1477" s="24">
        <f t="shared" ref="D1477:D1540" si="46">(B1477-B1478)/B1478</f>
        <v>5.2083333333333252E-2</v>
      </c>
      <c r="E1477" s="24">
        <f t="shared" ref="E1477:E1540" si="47">(C1477-C1478)/C1478</f>
        <v>2.3840650549980902E-3</v>
      </c>
    </row>
    <row r="1478" spans="1:5" x14ac:dyDescent="0.35">
      <c r="A1478" s="22" t="s">
        <v>919</v>
      </c>
      <c r="B1478" s="22">
        <v>147.84</v>
      </c>
      <c r="C1478" s="22">
        <v>43065.1</v>
      </c>
      <c r="D1478" s="24">
        <f t="shared" si="46"/>
        <v>-5.7834566240752205E-3</v>
      </c>
      <c r="E1478" s="24">
        <f t="shared" si="47"/>
        <v>1.676318231117921E-3</v>
      </c>
    </row>
    <row r="1479" spans="1:5" x14ac:dyDescent="0.35">
      <c r="A1479" s="22" t="s">
        <v>920</v>
      </c>
      <c r="B1479" s="22">
        <v>148.69999999999999</v>
      </c>
      <c r="C1479" s="22">
        <v>42993.03</v>
      </c>
      <c r="D1479" s="24">
        <f t="shared" si="46"/>
        <v>1.2391067538126315E-2</v>
      </c>
      <c r="E1479" s="24">
        <f t="shared" si="47"/>
        <v>-4.9531280087689884E-3</v>
      </c>
    </row>
    <row r="1480" spans="1:5" x14ac:dyDescent="0.35">
      <c r="A1480" s="22" t="s">
        <v>921</v>
      </c>
      <c r="B1480" s="22">
        <v>146.88</v>
      </c>
      <c r="C1480" s="22">
        <v>43207.040000000001</v>
      </c>
      <c r="D1480" s="24">
        <f t="shared" si="46"/>
        <v>-2.1321961620469194E-2</v>
      </c>
      <c r="E1480" s="24">
        <f t="shared" si="47"/>
        <v>-2.6909666586216979E-4</v>
      </c>
    </row>
    <row r="1481" spans="1:5" x14ac:dyDescent="0.35">
      <c r="A1481" s="22" t="s">
        <v>922</v>
      </c>
      <c r="B1481" s="22">
        <v>150.08000000000001</v>
      </c>
      <c r="C1481" s="22">
        <v>43218.67</v>
      </c>
      <c r="D1481" s="24">
        <f t="shared" si="46"/>
        <v>-1.0483286081624415E-2</v>
      </c>
      <c r="E1481" s="24">
        <f t="shared" si="47"/>
        <v>2.6893759236039816E-4</v>
      </c>
    </row>
    <row r="1482" spans="1:5" x14ac:dyDescent="0.35">
      <c r="A1482" s="23">
        <v>44105</v>
      </c>
      <c r="B1482" s="22">
        <v>151.66999999999999</v>
      </c>
      <c r="C1482" s="22">
        <v>43207.05</v>
      </c>
      <c r="D1482" s="24">
        <f t="shared" si="46"/>
        <v>-1.0697280020872838E-2</v>
      </c>
      <c r="E1482" s="24">
        <f t="shared" si="47"/>
        <v>1.6084915788065236E-2</v>
      </c>
    </row>
    <row r="1483" spans="1:5" x14ac:dyDescent="0.35">
      <c r="A1483" s="23">
        <v>44075</v>
      </c>
      <c r="B1483" s="22">
        <v>153.31</v>
      </c>
      <c r="C1483" s="22">
        <v>42523.07</v>
      </c>
      <c r="D1483" s="24">
        <f t="shared" si="46"/>
        <v>4.9996575577015354E-2</v>
      </c>
      <c r="E1483" s="24">
        <f t="shared" si="47"/>
        <v>2.8181304699793751E-2</v>
      </c>
    </row>
    <row r="1484" spans="1:5" x14ac:dyDescent="0.35">
      <c r="A1484" s="23">
        <v>44044</v>
      </c>
      <c r="B1484" s="22">
        <v>146.01</v>
      </c>
      <c r="C1484" s="22">
        <v>41357.56</v>
      </c>
      <c r="D1484" s="24">
        <f t="shared" si="46"/>
        <v>4.6591642176188088E-2</v>
      </c>
      <c r="E1484" s="24">
        <f t="shared" si="47"/>
        <v>-1.305135227816993E-2</v>
      </c>
    </row>
    <row r="1485" spans="1:5" x14ac:dyDescent="0.35">
      <c r="A1485" s="23">
        <v>44013</v>
      </c>
      <c r="B1485" s="22">
        <v>139.51</v>
      </c>
      <c r="C1485" s="22">
        <v>41904.47</v>
      </c>
      <c r="D1485" s="24">
        <f t="shared" si="46"/>
        <v>1.3880813953488348E-2</v>
      </c>
      <c r="E1485" s="24">
        <f t="shared" si="47"/>
        <v>1.4728459540142232E-2</v>
      </c>
    </row>
    <row r="1486" spans="1:5" x14ac:dyDescent="0.35">
      <c r="A1486" s="23">
        <v>43983</v>
      </c>
      <c r="B1486" s="22">
        <v>137.6</v>
      </c>
      <c r="C1486" s="22">
        <v>41296.239999999998</v>
      </c>
      <c r="D1486" s="24">
        <f t="shared" si="46"/>
        <v>-3.5671735931039339E-2</v>
      </c>
      <c r="E1486" s="24">
        <f t="shared" si="47"/>
        <v>-2.4267011315280352E-2</v>
      </c>
    </row>
    <row r="1487" spans="1:5" x14ac:dyDescent="0.35">
      <c r="A1487" s="23">
        <v>43891</v>
      </c>
      <c r="B1487" s="22">
        <v>142.69</v>
      </c>
      <c r="C1487" s="22">
        <v>42323.3</v>
      </c>
      <c r="D1487" s="24">
        <f t="shared" si="46"/>
        <v>-2.1020179372198107E-4</v>
      </c>
      <c r="E1487" s="24">
        <f t="shared" si="47"/>
        <v>-3.7066191847791594E-3</v>
      </c>
    </row>
    <row r="1488" spans="1:5" x14ac:dyDescent="0.35">
      <c r="A1488" s="23">
        <v>43862</v>
      </c>
      <c r="B1488" s="22">
        <v>142.72</v>
      </c>
      <c r="C1488" s="22">
        <v>42480.76</v>
      </c>
      <c r="D1488" s="24">
        <f t="shared" si="46"/>
        <v>4.9288832558793735E-3</v>
      </c>
      <c r="E1488" s="24">
        <f t="shared" si="47"/>
        <v>2.6105314009661883E-2</v>
      </c>
    </row>
    <row r="1489" spans="1:5" x14ac:dyDescent="0.35">
      <c r="A1489" s="23">
        <v>43831</v>
      </c>
      <c r="B1489" s="22">
        <v>142.02000000000001</v>
      </c>
      <c r="C1489" s="22">
        <v>41400</v>
      </c>
      <c r="D1489" s="24">
        <f t="shared" si="46"/>
        <v>-9.3470982142857366E-3</v>
      </c>
      <c r="E1489" s="24">
        <f t="shared" si="47"/>
        <v>1.6323031647415404E-2</v>
      </c>
    </row>
    <row r="1490" spans="1:5" x14ac:dyDescent="0.35">
      <c r="A1490" s="22" t="s">
        <v>923</v>
      </c>
      <c r="B1490" s="22">
        <v>143.36000000000001</v>
      </c>
      <c r="C1490" s="22">
        <v>40735.08</v>
      </c>
      <c r="D1490" s="24">
        <f t="shared" si="46"/>
        <v>0</v>
      </c>
      <c r="E1490" s="24">
        <f t="shared" si="47"/>
        <v>-3.7307135998622776E-3</v>
      </c>
    </row>
    <row r="1491" spans="1:5" x14ac:dyDescent="0.35">
      <c r="A1491" s="22" t="s">
        <v>924</v>
      </c>
      <c r="B1491" s="22">
        <v>143.36000000000001</v>
      </c>
      <c r="C1491" s="22">
        <v>40887.620000000003</v>
      </c>
      <c r="D1491" s="24">
        <f t="shared" si="46"/>
        <v>-4.4444444444443499E-3</v>
      </c>
      <c r="E1491" s="24">
        <f t="shared" si="47"/>
        <v>9.5694998081947589E-4</v>
      </c>
    </row>
    <row r="1492" spans="1:5" x14ac:dyDescent="0.35">
      <c r="A1492" s="22" t="s">
        <v>925</v>
      </c>
      <c r="B1492" s="22">
        <v>144</v>
      </c>
      <c r="C1492" s="22">
        <v>40848.53</v>
      </c>
      <c r="D1492" s="24">
        <f t="shared" si="46"/>
        <v>0</v>
      </c>
      <c r="E1492" s="24">
        <f t="shared" si="47"/>
        <v>-6.7900560667130917E-3</v>
      </c>
    </row>
    <row r="1493" spans="1:5" x14ac:dyDescent="0.35">
      <c r="A1493" s="22" t="s">
        <v>926</v>
      </c>
      <c r="B1493" s="22">
        <v>144</v>
      </c>
      <c r="C1493" s="22">
        <v>41127.79</v>
      </c>
      <c r="D1493" s="24">
        <f t="shared" si="46"/>
        <v>1.3513513513513424E-2</v>
      </c>
      <c r="E1493" s="24">
        <f t="shared" si="47"/>
        <v>1.9824034326250167E-2</v>
      </c>
    </row>
    <row r="1494" spans="1:5" x14ac:dyDescent="0.35">
      <c r="A1494" s="22" t="s">
        <v>927</v>
      </c>
      <c r="B1494" s="22">
        <v>142.08000000000001</v>
      </c>
      <c r="C1494" s="22">
        <v>40328.32</v>
      </c>
      <c r="D1494" s="24">
        <f t="shared" si="46"/>
        <v>9.0909090909090974E-3</v>
      </c>
      <c r="E1494" s="24">
        <f t="shared" si="47"/>
        <v>7.9990921881439771E-3</v>
      </c>
    </row>
    <row r="1495" spans="1:5" x14ac:dyDescent="0.35">
      <c r="A1495" s="22" t="s">
        <v>928</v>
      </c>
      <c r="B1495" s="22">
        <v>140.80000000000001</v>
      </c>
      <c r="C1495" s="22">
        <v>40008.29</v>
      </c>
      <c r="D1495" s="24">
        <f t="shared" si="46"/>
        <v>-1.345291479820619E-2</v>
      </c>
      <c r="E1495" s="24">
        <f t="shared" si="47"/>
        <v>-2.0196904512748078E-2</v>
      </c>
    </row>
    <row r="1496" spans="1:5" x14ac:dyDescent="0.35">
      <c r="A1496" s="22" t="s">
        <v>929</v>
      </c>
      <c r="B1496" s="22">
        <v>142.72</v>
      </c>
      <c r="C1496" s="22">
        <v>40832.99</v>
      </c>
      <c r="D1496" s="24">
        <f t="shared" si="46"/>
        <v>1.370835996874783E-2</v>
      </c>
      <c r="E1496" s="24">
        <f t="shared" si="47"/>
        <v>4.3689185463075438E-3</v>
      </c>
    </row>
    <row r="1497" spans="1:5" x14ac:dyDescent="0.35">
      <c r="A1497" s="22" t="s">
        <v>930</v>
      </c>
      <c r="B1497" s="22">
        <v>140.79</v>
      </c>
      <c r="C1497" s="22">
        <v>40655.370000000003</v>
      </c>
      <c r="D1497" s="24">
        <f t="shared" si="46"/>
        <v>-3.4759358288770199E-2</v>
      </c>
      <c r="E1497" s="24">
        <f t="shared" si="47"/>
        <v>-2.2794601731432041E-2</v>
      </c>
    </row>
    <row r="1498" spans="1:5" x14ac:dyDescent="0.35">
      <c r="A1498" s="22" t="s">
        <v>931</v>
      </c>
      <c r="B1498" s="22">
        <v>145.86000000000001</v>
      </c>
      <c r="C1498" s="22">
        <v>41603.71</v>
      </c>
      <c r="D1498" s="24">
        <f t="shared" si="46"/>
        <v>-4.1118421052613666E-4</v>
      </c>
      <c r="E1498" s="24">
        <f t="shared" si="47"/>
        <v>-3.9491331539006601E-3</v>
      </c>
    </row>
    <row r="1499" spans="1:5" x14ac:dyDescent="0.35">
      <c r="A1499" s="22" t="s">
        <v>932</v>
      </c>
      <c r="B1499" s="22">
        <v>145.91999999999999</v>
      </c>
      <c r="C1499" s="22">
        <v>41768.660000000003</v>
      </c>
      <c r="D1499" s="24">
        <f t="shared" si="46"/>
        <v>-2.1459227467811273E-2</v>
      </c>
      <c r="E1499" s="24">
        <f t="shared" si="47"/>
        <v>2.9722741427038839E-3</v>
      </c>
    </row>
    <row r="1500" spans="1:5" x14ac:dyDescent="0.35">
      <c r="A1500" s="22" t="s">
        <v>933</v>
      </c>
      <c r="B1500" s="22">
        <v>149.12</v>
      </c>
      <c r="C1500" s="22">
        <v>41644.879999999997</v>
      </c>
      <c r="D1500" s="24">
        <f t="shared" si="46"/>
        <v>-1.4734060125536769E-2</v>
      </c>
      <c r="E1500" s="24">
        <f t="shared" si="47"/>
        <v>1.7799381620022609E-2</v>
      </c>
    </row>
    <row r="1501" spans="1:5" x14ac:dyDescent="0.35">
      <c r="A1501" s="22" t="s">
        <v>934</v>
      </c>
      <c r="B1501" s="22">
        <v>151.35</v>
      </c>
      <c r="C1501" s="22">
        <v>40916.589999999997</v>
      </c>
      <c r="D1501" s="24">
        <f t="shared" si="46"/>
        <v>1.9741274760813953E-2</v>
      </c>
      <c r="E1501" s="24">
        <f t="shared" si="47"/>
        <v>9.9328210352081329E-3</v>
      </c>
    </row>
    <row r="1502" spans="1:5" x14ac:dyDescent="0.35">
      <c r="A1502" s="23">
        <v>43811</v>
      </c>
      <c r="B1502" s="22">
        <v>148.41999999999999</v>
      </c>
      <c r="C1502" s="22">
        <v>40514.17</v>
      </c>
      <c r="D1502" s="24">
        <f t="shared" si="46"/>
        <v>-1.3099275217767133E-2</v>
      </c>
      <c r="E1502" s="24">
        <f t="shared" si="47"/>
        <v>-4.2559574769401122E-4</v>
      </c>
    </row>
    <row r="1503" spans="1:5" x14ac:dyDescent="0.35">
      <c r="A1503" s="23">
        <v>43781</v>
      </c>
      <c r="B1503" s="22">
        <v>150.38999999999999</v>
      </c>
      <c r="C1503" s="22">
        <v>40531.42</v>
      </c>
      <c r="D1503" s="24">
        <f t="shared" si="46"/>
        <v>-6.6489361702256166E-5</v>
      </c>
      <c r="E1503" s="24">
        <f t="shared" si="47"/>
        <v>-3.2750844715059364E-3</v>
      </c>
    </row>
    <row r="1504" spans="1:5" x14ac:dyDescent="0.35">
      <c r="A1504" s="23">
        <v>43750</v>
      </c>
      <c r="B1504" s="22">
        <v>150.4</v>
      </c>
      <c r="C1504" s="22">
        <v>40664.6</v>
      </c>
      <c r="D1504" s="24">
        <f t="shared" si="46"/>
        <v>-2.0833333333333259E-2</v>
      </c>
      <c r="E1504" s="24">
        <f t="shared" si="47"/>
        <v>5.4842889216373649E-3</v>
      </c>
    </row>
    <row r="1505" spans="1:5" x14ac:dyDescent="0.35">
      <c r="A1505" s="23">
        <v>43720</v>
      </c>
      <c r="B1505" s="22">
        <v>153.6</v>
      </c>
      <c r="C1505" s="22">
        <v>40442.800000000003</v>
      </c>
      <c r="D1505" s="24">
        <f t="shared" si="46"/>
        <v>1.553719008264459E-2</v>
      </c>
      <c r="E1505" s="24">
        <f t="shared" si="47"/>
        <v>-7.1061628071122287E-3</v>
      </c>
    </row>
    <row r="1506" spans="1:5" x14ac:dyDescent="0.35">
      <c r="A1506" s="23">
        <v>43628</v>
      </c>
      <c r="B1506" s="22">
        <v>151.25</v>
      </c>
      <c r="C1506" s="22">
        <v>40732.25</v>
      </c>
      <c r="D1506" s="24">
        <f t="shared" si="46"/>
        <v>3.249368557580716E-2</v>
      </c>
      <c r="E1506" s="24">
        <f t="shared" si="47"/>
        <v>2.2428034674258682E-3</v>
      </c>
    </row>
    <row r="1507" spans="1:5" x14ac:dyDescent="0.35">
      <c r="A1507" s="23">
        <v>43597</v>
      </c>
      <c r="B1507" s="22">
        <v>146.49</v>
      </c>
      <c r="C1507" s="22">
        <v>40641.1</v>
      </c>
      <c r="D1507" s="24">
        <f t="shared" si="46"/>
        <v>-4.0941658137156104E-4</v>
      </c>
      <c r="E1507" s="24">
        <f t="shared" si="47"/>
        <v>9.2022650812555139E-3</v>
      </c>
    </row>
    <row r="1508" spans="1:5" x14ac:dyDescent="0.35">
      <c r="A1508" s="23">
        <v>43567</v>
      </c>
      <c r="B1508" s="22">
        <v>146.55000000000001</v>
      </c>
      <c r="C1508" s="22">
        <v>40270.519999999997</v>
      </c>
      <c r="D1508" s="24">
        <f t="shared" si="46"/>
        <v>-4.4157608695650635E-3</v>
      </c>
      <c r="E1508" s="24">
        <f t="shared" si="47"/>
        <v>1.2108705153444041E-2</v>
      </c>
    </row>
    <row r="1509" spans="1:5" x14ac:dyDescent="0.35">
      <c r="A1509" s="23">
        <v>43536</v>
      </c>
      <c r="B1509" s="22">
        <v>147.19999999999999</v>
      </c>
      <c r="C1509" s="22">
        <v>39788.730000000003</v>
      </c>
      <c r="D1509" s="24">
        <f t="shared" si="46"/>
        <v>-5.3497942386831414E-2</v>
      </c>
      <c r="E1509" s="24">
        <f t="shared" si="47"/>
        <v>-8.3612840324372145E-3</v>
      </c>
    </row>
    <row r="1510" spans="1:5" x14ac:dyDescent="0.35">
      <c r="A1510" s="23">
        <v>43508</v>
      </c>
      <c r="B1510" s="22">
        <v>155.52000000000001</v>
      </c>
      <c r="C1510" s="22">
        <v>40124.22</v>
      </c>
      <c r="D1510" s="24">
        <f t="shared" si="46"/>
        <v>2.5586916380902297E-2</v>
      </c>
      <c r="E1510" s="24">
        <f t="shared" si="47"/>
        <v>2.1293459904066538E-2</v>
      </c>
    </row>
    <row r="1511" spans="1:5" x14ac:dyDescent="0.35">
      <c r="A1511" s="22" t="s">
        <v>935</v>
      </c>
      <c r="B1511" s="22">
        <v>151.63999999999999</v>
      </c>
      <c r="C1511" s="22">
        <v>39287.65</v>
      </c>
      <c r="D1511" s="24">
        <f t="shared" si="46"/>
        <v>4.999307575128098E-2</v>
      </c>
      <c r="E1511" s="24">
        <f t="shared" si="47"/>
        <v>1.5020305495724716E-2</v>
      </c>
    </row>
    <row r="1512" spans="1:5" x14ac:dyDescent="0.35">
      <c r="A1512" s="22" t="s">
        <v>936</v>
      </c>
      <c r="B1512" s="22">
        <v>144.41999999999999</v>
      </c>
      <c r="C1512" s="22">
        <v>38706.269999999997</v>
      </c>
      <c r="D1512" s="24">
        <f t="shared" si="46"/>
        <v>4.9563953488372045E-2</v>
      </c>
      <c r="E1512" s="24">
        <f t="shared" si="47"/>
        <v>1.5307144925650521E-2</v>
      </c>
    </row>
    <row r="1513" spans="1:5" x14ac:dyDescent="0.35">
      <c r="A1513" s="22" t="s">
        <v>937</v>
      </c>
      <c r="B1513" s="22">
        <v>137.6</v>
      </c>
      <c r="C1513" s="22">
        <v>38122.720000000001</v>
      </c>
      <c r="D1513" s="24">
        <f t="shared" si="46"/>
        <v>2.3809523809523725E-2</v>
      </c>
      <c r="E1513" s="24">
        <f t="shared" si="47"/>
        <v>8.6696538303295857E-3</v>
      </c>
    </row>
    <row r="1514" spans="1:5" x14ac:dyDescent="0.35">
      <c r="A1514" s="22" t="s">
        <v>938</v>
      </c>
      <c r="B1514" s="22">
        <v>134.4</v>
      </c>
      <c r="C1514" s="22">
        <v>37795.050000000003</v>
      </c>
      <c r="D1514" s="24">
        <f t="shared" si="46"/>
        <v>-1.7328361482781343E-2</v>
      </c>
      <c r="E1514" s="24">
        <f t="shared" si="47"/>
        <v>-1.0918741305151013E-2</v>
      </c>
    </row>
    <row r="1515" spans="1:5" x14ac:dyDescent="0.35">
      <c r="A1515" s="22" t="s">
        <v>939</v>
      </c>
      <c r="B1515" s="22">
        <v>136.77000000000001</v>
      </c>
      <c r="C1515" s="22">
        <v>38212.28</v>
      </c>
      <c r="D1515" s="24">
        <f t="shared" si="46"/>
        <v>-1.4620951823950443E-4</v>
      </c>
      <c r="E1515" s="24">
        <f t="shared" si="47"/>
        <v>7.5539626201589459E-3</v>
      </c>
    </row>
    <row r="1516" spans="1:5" x14ac:dyDescent="0.35">
      <c r="A1516" s="22" t="s">
        <v>940</v>
      </c>
      <c r="B1516" s="22">
        <v>136.79</v>
      </c>
      <c r="C1516" s="22">
        <v>37925.79</v>
      </c>
      <c r="D1516" s="24">
        <f t="shared" si="46"/>
        <v>4.2606707317073202E-2</v>
      </c>
      <c r="E1516" s="24">
        <f t="shared" si="47"/>
        <v>2.2222395920791026E-2</v>
      </c>
    </row>
    <row r="1517" spans="1:5" x14ac:dyDescent="0.35">
      <c r="A1517" s="22" t="s">
        <v>941</v>
      </c>
      <c r="B1517" s="22">
        <v>131.19999999999999</v>
      </c>
      <c r="C1517" s="22">
        <v>37101.31</v>
      </c>
      <c r="D1517" s="24">
        <f t="shared" si="46"/>
        <v>-7.0385226670703618E-3</v>
      </c>
      <c r="E1517" s="24">
        <f t="shared" si="47"/>
        <v>-2.4616906183552799E-2</v>
      </c>
    </row>
    <row r="1518" spans="1:5" x14ac:dyDescent="0.35">
      <c r="A1518" s="22" t="s">
        <v>942</v>
      </c>
      <c r="B1518" s="22">
        <v>132.13</v>
      </c>
      <c r="C1518" s="22">
        <v>38037.68</v>
      </c>
      <c r="D1518" s="24">
        <f t="shared" si="46"/>
        <v>5.3332270408163247E-2</v>
      </c>
      <c r="E1518" s="24">
        <f t="shared" si="47"/>
        <v>-1.3657425234743944E-2</v>
      </c>
    </row>
    <row r="1519" spans="1:5" x14ac:dyDescent="0.35">
      <c r="A1519" s="22" t="s">
        <v>943</v>
      </c>
      <c r="B1519" s="22">
        <v>125.44</v>
      </c>
      <c r="C1519" s="22">
        <v>38564.370000000003</v>
      </c>
      <c r="D1519" s="24">
        <f t="shared" si="46"/>
        <v>1.3656565656565638E-2</v>
      </c>
      <c r="E1519" s="24">
        <f t="shared" si="47"/>
        <v>3.9782294705032794E-3</v>
      </c>
    </row>
    <row r="1520" spans="1:5" x14ac:dyDescent="0.35">
      <c r="A1520" s="22" t="s">
        <v>944</v>
      </c>
      <c r="B1520" s="22">
        <v>123.75</v>
      </c>
      <c r="C1520" s="22">
        <v>38411.56</v>
      </c>
      <c r="D1520" s="24">
        <f t="shared" si="46"/>
        <v>4.0090771558245052E-2</v>
      </c>
      <c r="E1520" s="24">
        <f t="shared" si="47"/>
        <v>2.2021935462241887E-2</v>
      </c>
    </row>
    <row r="1521" spans="1:5" x14ac:dyDescent="0.35">
      <c r="A1521" s="22" t="s">
        <v>945</v>
      </c>
      <c r="B1521" s="22">
        <v>118.98</v>
      </c>
      <c r="C1521" s="22">
        <v>37583.89</v>
      </c>
      <c r="D1521" s="24">
        <f t="shared" si="46"/>
        <v>4.4417134831460696E-2</v>
      </c>
      <c r="E1521" s="24">
        <f t="shared" si="47"/>
        <v>9.1477101860205981E-3</v>
      </c>
    </row>
    <row r="1522" spans="1:5" x14ac:dyDescent="0.35">
      <c r="A1522" s="22" t="s">
        <v>946</v>
      </c>
      <c r="B1522" s="22">
        <v>113.92</v>
      </c>
      <c r="C1522" s="22">
        <v>37243.199999999997</v>
      </c>
      <c r="D1522" s="24">
        <f t="shared" si="46"/>
        <v>1.7142857142857158E-2</v>
      </c>
      <c r="E1522" s="24">
        <f t="shared" si="47"/>
        <v>2.0512842589223861E-3</v>
      </c>
    </row>
    <row r="1523" spans="1:5" x14ac:dyDescent="0.35">
      <c r="A1523" s="22" t="s">
        <v>947</v>
      </c>
      <c r="B1523" s="22">
        <v>112</v>
      </c>
      <c r="C1523" s="22">
        <v>37166.959999999999</v>
      </c>
      <c r="D1523" s="24">
        <f t="shared" si="46"/>
        <v>9.3727469358327892E-3</v>
      </c>
      <c r="E1523" s="24">
        <f t="shared" si="47"/>
        <v>1.0917826357058113E-2</v>
      </c>
    </row>
    <row r="1524" spans="1:5" x14ac:dyDescent="0.35">
      <c r="A1524" s="23">
        <v>43810</v>
      </c>
      <c r="B1524" s="22">
        <v>110.96</v>
      </c>
      <c r="C1524" s="22">
        <v>36765.56</v>
      </c>
      <c r="D1524" s="24">
        <f t="shared" si="46"/>
        <v>4.9962149886449529E-2</v>
      </c>
      <c r="E1524" s="24">
        <f t="shared" si="47"/>
        <v>-1.0200227698210444E-3</v>
      </c>
    </row>
    <row r="1525" spans="1:5" x14ac:dyDescent="0.35">
      <c r="A1525" s="23">
        <v>43780</v>
      </c>
      <c r="B1525" s="22">
        <v>105.68</v>
      </c>
      <c r="C1525" s="22">
        <v>36803.1</v>
      </c>
      <c r="D1525" s="24">
        <f t="shared" si="46"/>
        <v>5.0079491255961908E-2</v>
      </c>
      <c r="E1525" s="24">
        <f t="shared" si="47"/>
        <v>2.2928910205524546E-2</v>
      </c>
    </row>
    <row r="1526" spans="1:5" x14ac:dyDescent="0.35">
      <c r="A1526" s="23">
        <v>43688</v>
      </c>
      <c r="B1526" s="22">
        <v>100.64</v>
      </c>
      <c r="C1526" s="22">
        <v>35978.160000000003</v>
      </c>
      <c r="D1526" s="24">
        <f t="shared" si="46"/>
        <v>-2.1812413246083567E-3</v>
      </c>
      <c r="E1526" s="24">
        <f t="shared" si="47"/>
        <v>6.14231237758181E-3</v>
      </c>
    </row>
    <row r="1527" spans="1:5" x14ac:dyDescent="0.35">
      <c r="A1527" s="23">
        <v>43657</v>
      </c>
      <c r="B1527" s="22">
        <v>100.86</v>
      </c>
      <c r="C1527" s="22">
        <v>35758.519999999997</v>
      </c>
      <c r="D1527" s="24">
        <f t="shared" si="46"/>
        <v>1.3464630225080421E-2</v>
      </c>
      <c r="E1527" s="24">
        <f t="shared" si="47"/>
        <v>2.9503555488363934E-3</v>
      </c>
    </row>
    <row r="1528" spans="1:5" x14ac:dyDescent="0.35">
      <c r="A1528" s="23">
        <v>43627</v>
      </c>
      <c r="B1528" s="22">
        <v>99.52</v>
      </c>
      <c r="C1528" s="22">
        <v>35653.33</v>
      </c>
      <c r="D1528" s="24">
        <f t="shared" si="46"/>
        <v>1.9672131147541003E-2</v>
      </c>
      <c r="E1528" s="24">
        <f t="shared" si="47"/>
        <v>8.3437245728091667E-3</v>
      </c>
    </row>
    <row r="1529" spans="1:5" x14ac:dyDescent="0.35">
      <c r="A1529" s="23">
        <v>43596</v>
      </c>
      <c r="B1529" s="22">
        <v>97.6</v>
      </c>
      <c r="C1529" s="22">
        <v>35358.31</v>
      </c>
      <c r="D1529" s="24">
        <f t="shared" si="46"/>
        <v>-6.5146579804560324E-3</v>
      </c>
      <c r="E1529" s="24">
        <f t="shared" si="47"/>
        <v>2.2918316681529382E-3</v>
      </c>
    </row>
    <row r="1530" spans="1:5" x14ac:dyDescent="0.35">
      <c r="A1530" s="23">
        <v>43566</v>
      </c>
      <c r="B1530" s="22">
        <v>98.24</v>
      </c>
      <c r="C1530" s="22">
        <v>35277.46</v>
      </c>
      <c r="D1530" s="24">
        <f t="shared" si="46"/>
        <v>2.3333333333333279E-2</v>
      </c>
      <c r="E1530" s="24">
        <f t="shared" si="47"/>
        <v>2.6175467113624201E-2</v>
      </c>
    </row>
    <row r="1531" spans="1:5" x14ac:dyDescent="0.35">
      <c r="A1531" s="23">
        <v>43476</v>
      </c>
      <c r="B1531" s="22">
        <v>96</v>
      </c>
      <c r="C1531" s="22">
        <v>34377.61</v>
      </c>
      <c r="D1531" s="24">
        <f t="shared" si="46"/>
        <v>-1.3157894736842117E-2</v>
      </c>
      <c r="E1531" s="24">
        <f t="shared" si="47"/>
        <v>5.0851253432379288E-3</v>
      </c>
    </row>
    <row r="1532" spans="1:5" x14ac:dyDescent="0.35">
      <c r="A1532" s="22" t="s">
        <v>948</v>
      </c>
      <c r="B1532" s="22">
        <v>97.28</v>
      </c>
      <c r="C1532" s="22">
        <v>34203.68</v>
      </c>
      <c r="D1532" s="24">
        <f t="shared" si="46"/>
        <v>-6.5359477124183061E-3</v>
      </c>
      <c r="E1532" s="24">
        <f t="shared" si="47"/>
        <v>1.3099867570696744E-2</v>
      </c>
    </row>
    <row r="1533" spans="1:5" x14ac:dyDescent="0.35">
      <c r="A1533" s="22" t="s">
        <v>949</v>
      </c>
      <c r="B1533" s="22">
        <v>97.92</v>
      </c>
      <c r="C1533" s="22">
        <v>33761.410000000003</v>
      </c>
      <c r="D1533" s="24">
        <f t="shared" si="46"/>
        <v>2.0000000000000018E-2</v>
      </c>
      <c r="E1533" s="24">
        <f t="shared" si="47"/>
        <v>-1.0681260246686382E-3</v>
      </c>
    </row>
    <row r="1534" spans="1:5" x14ac:dyDescent="0.35">
      <c r="A1534" s="22" t="s">
        <v>950</v>
      </c>
      <c r="B1534" s="22">
        <v>96</v>
      </c>
      <c r="C1534" s="22">
        <v>33797.51</v>
      </c>
      <c r="D1534" s="24">
        <f t="shared" si="46"/>
        <v>-1.7701831576793246E-2</v>
      </c>
      <c r="E1534" s="24">
        <f t="shared" si="47"/>
        <v>-1.8924096594399281E-3</v>
      </c>
    </row>
    <row r="1535" spans="1:5" x14ac:dyDescent="0.35">
      <c r="A1535" s="22" t="s">
        <v>951</v>
      </c>
      <c r="B1535" s="22">
        <v>97.73</v>
      </c>
      <c r="C1535" s="22">
        <v>33861.589999999997</v>
      </c>
      <c r="D1535" s="24">
        <f t="shared" si="46"/>
        <v>3.0798438983229634E-2</v>
      </c>
      <c r="E1535" s="24">
        <f t="shared" si="47"/>
        <v>6.0649258737883781E-3</v>
      </c>
    </row>
    <row r="1536" spans="1:5" x14ac:dyDescent="0.35">
      <c r="A1536" s="22" t="s">
        <v>952</v>
      </c>
      <c r="B1536" s="22">
        <v>94.81</v>
      </c>
      <c r="C1536" s="22">
        <v>33657.46</v>
      </c>
      <c r="D1536" s="24">
        <f t="shared" si="46"/>
        <v>-9.0928093645485427E-3</v>
      </c>
      <c r="E1536" s="24">
        <f t="shared" si="47"/>
        <v>-3.110553490146579E-3</v>
      </c>
    </row>
    <row r="1537" spans="1:5" x14ac:dyDescent="0.35">
      <c r="A1537" s="22" t="s">
        <v>953</v>
      </c>
      <c r="B1537" s="22">
        <v>95.68</v>
      </c>
      <c r="C1537" s="22">
        <v>33762.480000000003</v>
      </c>
      <c r="D1537" s="24">
        <f t="shared" si="46"/>
        <v>6.2748379000211534E-4</v>
      </c>
      <c r="E1537" s="24">
        <f t="shared" si="47"/>
        <v>9.65290049040529E-3</v>
      </c>
    </row>
    <row r="1538" spans="1:5" x14ac:dyDescent="0.35">
      <c r="A1538" s="22" t="s">
        <v>954</v>
      </c>
      <c r="B1538" s="22">
        <v>95.62</v>
      </c>
      <c r="C1538" s="22">
        <v>33439.69</v>
      </c>
      <c r="D1538" s="24">
        <f t="shared" si="46"/>
        <v>9.50168918918925E-3</v>
      </c>
      <c r="E1538" s="24">
        <f t="shared" si="47"/>
        <v>7.2511307583130076E-3</v>
      </c>
    </row>
    <row r="1539" spans="1:5" x14ac:dyDescent="0.35">
      <c r="A1539" s="22" t="s">
        <v>955</v>
      </c>
      <c r="B1539" s="22">
        <v>94.72</v>
      </c>
      <c r="C1539" s="22">
        <v>33198.959999999999</v>
      </c>
      <c r="D1539" s="24">
        <f t="shared" si="46"/>
        <v>3.4965034965034995E-2</v>
      </c>
      <c r="E1539" s="24">
        <f t="shared" si="47"/>
        <v>3.4526502105350692E-3</v>
      </c>
    </row>
    <row r="1540" spans="1:5" x14ac:dyDescent="0.35">
      <c r="A1540" s="22" t="s">
        <v>956</v>
      </c>
      <c r="B1540" s="22">
        <v>91.52</v>
      </c>
      <c r="C1540" s="22">
        <v>33084.730000000003</v>
      </c>
      <c r="D1540" s="24">
        <f t="shared" si="46"/>
        <v>-3.3783783783783813E-2</v>
      </c>
      <c r="E1540" s="24">
        <f t="shared" si="47"/>
        <v>-2.318915032853407E-2</v>
      </c>
    </row>
    <row r="1541" spans="1:5" x14ac:dyDescent="0.35">
      <c r="A1541" s="22" t="s">
        <v>957</v>
      </c>
      <c r="B1541" s="22">
        <v>94.72</v>
      </c>
      <c r="C1541" s="22">
        <v>33870.15</v>
      </c>
      <c r="D1541" s="24">
        <f t="shared" ref="D1541:D1604" si="48">(B1541-B1542)/B1542</f>
        <v>-6.7114093959731603E-3</v>
      </c>
      <c r="E1541" s="24">
        <f t="shared" ref="E1541:E1604" si="49">(C1541-C1542)/C1542</f>
        <v>-8.3808869757288267E-4</v>
      </c>
    </row>
    <row r="1542" spans="1:5" x14ac:dyDescent="0.35">
      <c r="A1542" s="22" t="s">
        <v>958</v>
      </c>
      <c r="B1542" s="22">
        <v>95.36</v>
      </c>
      <c r="C1542" s="22">
        <v>33898.559999999998</v>
      </c>
      <c r="D1542" s="24">
        <f t="shared" si="48"/>
        <v>-3.4486362211307168E-3</v>
      </c>
      <c r="E1542" s="24">
        <f t="shared" si="49"/>
        <v>-1.1158630020223945E-2</v>
      </c>
    </row>
    <row r="1543" spans="1:5" x14ac:dyDescent="0.35">
      <c r="A1543" s="22" t="s">
        <v>959</v>
      </c>
      <c r="B1543" s="22">
        <v>95.69</v>
      </c>
      <c r="C1543" s="22">
        <v>34281.089999999997</v>
      </c>
      <c r="D1543" s="24">
        <f t="shared" si="48"/>
        <v>2.0944601528956209E-3</v>
      </c>
      <c r="E1543" s="24">
        <f t="shared" si="49"/>
        <v>5.7963479721730021E-3</v>
      </c>
    </row>
    <row r="1544" spans="1:5" x14ac:dyDescent="0.35">
      <c r="A1544" s="22" t="s">
        <v>960</v>
      </c>
      <c r="B1544" s="22">
        <v>95.49</v>
      </c>
      <c r="C1544" s="22">
        <v>34083.53</v>
      </c>
      <c r="D1544" s="24">
        <f t="shared" si="48"/>
        <v>-2.1618852459016388E-2</v>
      </c>
      <c r="E1544" s="24">
        <f t="shared" si="49"/>
        <v>-3.0050084449133423E-3</v>
      </c>
    </row>
    <row r="1545" spans="1:5" x14ac:dyDescent="0.35">
      <c r="A1545" s="22" t="s">
        <v>961</v>
      </c>
      <c r="B1545" s="22">
        <v>97.6</v>
      </c>
      <c r="C1545" s="22">
        <v>34186.26</v>
      </c>
      <c r="D1545" s="24">
        <f t="shared" si="48"/>
        <v>-2.3120808727855092E-2</v>
      </c>
      <c r="E1545" s="24">
        <f t="shared" si="49"/>
        <v>-8.3951909301887874E-3</v>
      </c>
    </row>
    <row r="1546" spans="1:5" x14ac:dyDescent="0.35">
      <c r="A1546" s="23">
        <v>43779</v>
      </c>
      <c r="B1546" s="22">
        <v>99.91</v>
      </c>
      <c r="C1546" s="22">
        <v>34475.69</v>
      </c>
      <c r="D1546" s="24">
        <f t="shared" si="48"/>
        <v>-5.5738031253110606E-3</v>
      </c>
      <c r="E1546" s="24">
        <f t="shared" si="49"/>
        <v>1.3165450500621708E-2</v>
      </c>
    </row>
    <row r="1547" spans="1:5" x14ac:dyDescent="0.35">
      <c r="A1547" s="23">
        <v>43748</v>
      </c>
      <c r="B1547" s="22">
        <v>100.47</v>
      </c>
      <c r="C1547" s="22">
        <v>34027.699999999997</v>
      </c>
      <c r="D1547" s="24">
        <f t="shared" si="48"/>
        <v>3.2473538176960193E-2</v>
      </c>
      <c r="E1547" s="24">
        <f t="shared" si="49"/>
        <v>1.5032928903517304E-2</v>
      </c>
    </row>
    <row r="1548" spans="1:5" x14ac:dyDescent="0.35">
      <c r="A1548" s="23">
        <v>43718</v>
      </c>
      <c r="B1548" s="22">
        <v>97.31</v>
      </c>
      <c r="C1548" s="22">
        <v>33523.74</v>
      </c>
      <c r="D1548" s="24">
        <f t="shared" si="48"/>
        <v>6.8287635799275381E-3</v>
      </c>
      <c r="E1548" s="24">
        <f t="shared" si="49"/>
        <v>1.4075495076861207E-3</v>
      </c>
    </row>
    <row r="1549" spans="1:5" x14ac:dyDescent="0.35">
      <c r="A1549" s="23">
        <v>43687</v>
      </c>
      <c r="B1549" s="22">
        <v>96.65</v>
      </c>
      <c r="C1549" s="22">
        <v>33476.620000000003</v>
      </c>
      <c r="D1549" s="24">
        <f t="shared" si="48"/>
        <v>-6.5190057065480173E-2</v>
      </c>
      <c r="E1549" s="24">
        <f t="shared" si="49"/>
        <v>-4.7626380852885944E-3</v>
      </c>
    </row>
    <row r="1550" spans="1:5" x14ac:dyDescent="0.35">
      <c r="A1550" s="23">
        <v>43656</v>
      </c>
      <c r="B1550" s="22">
        <v>103.39</v>
      </c>
      <c r="C1550" s="22">
        <v>33636.82</v>
      </c>
      <c r="D1550" s="24">
        <f t="shared" si="48"/>
        <v>4.7836221749265218E-2</v>
      </c>
      <c r="E1550" s="24">
        <f t="shared" si="49"/>
        <v>1.8269432197550835E-2</v>
      </c>
    </row>
    <row r="1551" spans="1:5" x14ac:dyDescent="0.35">
      <c r="A1551" s="23">
        <v>43565</v>
      </c>
      <c r="B1551" s="22">
        <v>98.67</v>
      </c>
      <c r="C1551" s="22">
        <v>33033.32</v>
      </c>
      <c r="D1551" s="24">
        <f t="shared" si="48"/>
        <v>2.7439024390243497E-3</v>
      </c>
      <c r="E1551" s="24">
        <f t="shared" si="49"/>
        <v>8.5817004938591908E-3</v>
      </c>
    </row>
    <row r="1552" spans="1:5" x14ac:dyDescent="0.35">
      <c r="A1552" s="23">
        <v>43534</v>
      </c>
      <c r="B1552" s="22">
        <v>98.4</v>
      </c>
      <c r="C1552" s="22">
        <v>32752.25</v>
      </c>
      <c r="D1552" s="24">
        <f t="shared" si="48"/>
        <v>-2.7363940407418266E-3</v>
      </c>
      <c r="E1552" s="24">
        <f t="shared" si="49"/>
        <v>1.2016679361067427E-2</v>
      </c>
    </row>
    <row r="1553" spans="1:5" x14ac:dyDescent="0.35">
      <c r="A1553" s="23">
        <v>43506</v>
      </c>
      <c r="B1553" s="22">
        <v>98.67</v>
      </c>
      <c r="C1553" s="22">
        <v>32363.35</v>
      </c>
      <c r="D1553" s="24">
        <f t="shared" si="48"/>
        <v>5.5029043106084403E-3</v>
      </c>
      <c r="E1553" s="24">
        <f t="shared" si="49"/>
        <v>3.3803223878227425E-3</v>
      </c>
    </row>
    <row r="1554" spans="1:5" x14ac:dyDescent="0.35">
      <c r="A1554" s="23">
        <v>43475</v>
      </c>
      <c r="B1554" s="22">
        <v>98.13</v>
      </c>
      <c r="C1554" s="22">
        <v>32254.32</v>
      </c>
      <c r="D1554" s="24">
        <f t="shared" si="48"/>
        <v>-1.6043316955780693E-2</v>
      </c>
      <c r="E1554" s="24">
        <f t="shared" si="49"/>
        <v>5.4699591787112437E-3</v>
      </c>
    </row>
    <row r="1555" spans="1:5" x14ac:dyDescent="0.35">
      <c r="A1555" s="22" t="s">
        <v>962</v>
      </c>
      <c r="B1555" s="22">
        <v>99.73</v>
      </c>
      <c r="C1555" s="22">
        <v>32078.85</v>
      </c>
      <c r="D1555" s="24">
        <f t="shared" si="48"/>
        <v>-6.7722338412507981E-3</v>
      </c>
      <c r="E1555" s="24">
        <f t="shared" si="49"/>
        <v>2.5069525839843877E-4</v>
      </c>
    </row>
    <row r="1556" spans="1:5" x14ac:dyDescent="0.35">
      <c r="A1556" s="22" t="s">
        <v>963</v>
      </c>
      <c r="B1556" s="22">
        <v>100.41</v>
      </c>
      <c r="C1556" s="22">
        <v>32070.81</v>
      </c>
      <c r="D1556" s="24">
        <f t="shared" si="48"/>
        <v>1.2197580645161228E-2</v>
      </c>
      <c r="E1556" s="24">
        <f t="shared" si="49"/>
        <v>2.0262207445530984E-2</v>
      </c>
    </row>
    <row r="1557" spans="1:5" x14ac:dyDescent="0.35">
      <c r="A1557" s="22" t="s">
        <v>964</v>
      </c>
      <c r="B1557" s="22">
        <v>99.2</v>
      </c>
      <c r="C1557" s="22">
        <v>31433.89</v>
      </c>
      <c r="D1557" s="24">
        <f t="shared" si="48"/>
        <v>3.3333333333333361E-2</v>
      </c>
      <c r="E1557" s="24">
        <f t="shared" si="49"/>
        <v>-4.1602764562630725E-3</v>
      </c>
    </row>
    <row r="1558" spans="1:5" x14ac:dyDescent="0.35">
      <c r="A1558" s="22" t="s">
        <v>965</v>
      </c>
      <c r="B1558" s="22">
        <v>96</v>
      </c>
      <c r="C1558" s="22">
        <v>31565.21</v>
      </c>
      <c r="D1558" s="24">
        <f t="shared" si="48"/>
        <v>8.4033613445377853E-3</v>
      </c>
      <c r="E1558" s="24">
        <f t="shared" si="49"/>
        <v>-8.295202775812506E-3</v>
      </c>
    </row>
    <row r="1559" spans="1:5" x14ac:dyDescent="0.35">
      <c r="A1559" s="22" t="s">
        <v>966</v>
      </c>
      <c r="B1559" s="22">
        <v>95.2</v>
      </c>
      <c r="C1559" s="22">
        <v>31829.24</v>
      </c>
      <c r="D1559" s="24">
        <f t="shared" si="48"/>
        <v>2.5862068965517303E-2</v>
      </c>
      <c r="E1559" s="24">
        <f t="shared" si="49"/>
        <v>2.4575441376880592E-3</v>
      </c>
    </row>
    <row r="1560" spans="1:5" x14ac:dyDescent="0.35">
      <c r="A1560" s="22" t="s">
        <v>967</v>
      </c>
      <c r="B1560" s="22">
        <v>92.8</v>
      </c>
      <c r="C1560" s="22">
        <v>31751.21</v>
      </c>
      <c r="D1560" s="24">
        <f t="shared" si="48"/>
        <v>2.2927689594356242E-2</v>
      </c>
      <c r="E1560" s="24">
        <f t="shared" si="49"/>
        <v>-1.1207650936903421E-2</v>
      </c>
    </row>
    <row r="1561" spans="1:5" x14ac:dyDescent="0.35">
      <c r="A1561" s="22" t="s">
        <v>968</v>
      </c>
      <c r="B1561" s="22">
        <v>90.72</v>
      </c>
      <c r="C1561" s="22">
        <v>32111.1</v>
      </c>
      <c r="D1561" s="24">
        <f t="shared" si="48"/>
        <v>-3.0769230769230722E-2</v>
      </c>
      <c r="E1561" s="24">
        <f t="shared" si="49"/>
        <v>-2.2660306990765389E-3</v>
      </c>
    </row>
    <row r="1562" spans="1:5" x14ac:dyDescent="0.35">
      <c r="A1562" s="22" t="s">
        <v>969</v>
      </c>
      <c r="B1562" s="22">
        <v>93.6</v>
      </c>
      <c r="C1562" s="22">
        <v>32184.03</v>
      </c>
      <c r="D1562" s="24">
        <f t="shared" si="48"/>
        <v>3.3226625455348172E-2</v>
      </c>
      <c r="E1562" s="24">
        <f t="shared" si="49"/>
        <v>1.9919208935883309E-2</v>
      </c>
    </row>
    <row r="1563" spans="1:5" x14ac:dyDescent="0.35">
      <c r="A1563" s="22" t="s">
        <v>970</v>
      </c>
      <c r="B1563" s="22">
        <v>90.59</v>
      </c>
      <c r="C1563" s="22">
        <v>31555.47</v>
      </c>
      <c r="D1563" s="24">
        <f t="shared" si="48"/>
        <v>4.0905434907503188E-2</v>
      </c>
      <c r="E1563" s="24">
        <f t="shared" si="49"/>
        <v>-1.1076839955723889E-2</v>
      </c>
    </row>
    <row r="1564" spans="1:5" x14ac:dyDescent="0.35">
      <c r="A1564" s="22" t="s">
        <v>971</v>
      </c>
      <c r="B1564" s="22">
        <v>87.03</v>
      </c>
      <c r="C1564" s="22">
        <v>31908.92</v>
      </c>
      <c r="D1564" s="24">
        <f t="shared" si="48"/>
        <v>5.2739808878674237E-2</v>
      </c>
      <c r="E1564" s="24">
        <f t="shared" si="49"/>
        <v>-6.1481025602481228E-4</v>
      </c>
    </row>
    <row r="1565" spans="1:5" x14ac:dyDescent="0.35">
      <c r="A1565" s="22" t="s">
        <v>972</v>
      </c>
      <c r="B1565" s="22">
        <v>82.67</v>
      </c>
      <c r="C1565" s="22">
        <v>31928.55</v>
      </c>
      <c r="D1565" s="24">
        <f t="shared" si="48"/>
        <v>0</v>
      </c>
      <c r="E1565" s="24">
        <f t="shared" si="49"/>
        <v>1.4206524442597781E-2</v>
      </c>
    </row>
    <row r="1566" spans="1:5" x14ac:dyDescent="0.35">
      <c r="A1566" s="22" t="s">
        <v>973</v>
      </c>
      <c r="B1566" s="22">
        <v>82.67</v>
      </c>
      <c r="C1566" s="22">
        <v>31481.31</v>
      </c>
      <c r="D1566" s="24">
        <f t="shared" si="48"/>
        <v>1.9736030590847522E-2</v>
      </c>
      <c r="E1566" s="24">
        <f t="shared" si="49"/>
        <v>-2.0699529997042243E-3</v>
      </c>
    </row>
    <row r="1567" spans="1:5" x14ac:dyDescent="0.35">
      <c r="A1567" s="23">
        <v>43808</v>
      </c>
      <c r="B1567" s="22">
        <v>81.069999999999993</v>
      </c>
      <c r="C1567" s="22">
        <v>31546.61</v>
      </c>
      <c r="D1567" s="24">
        <f t="shared" si="48"/>
        <v>-1.2906367953244884E-2</v>
      </c>
      <c r="E1567" s="24">
        <f t="shared" si="49"/>
        <v>1.9117533515771168E-2</v>
      </c>
    </row>
    <row r="1568" spans="1:5" x14ac:dyDescent="0.35">
      <c r="A1568" s="23">
        <v>43778</v>
      </c>
      <c r="B1568" s="22">
        <v>82.13</v>
      </c>
      <c r="C1568" s="22">
        <v>30954.83</v>
      </c>
      <c r="D1568" s="24">
        <f t="shared" si="48"/>
        <v>-6.892382103990416E-3</v>
      </c>
      <c r="E1568" s="24">
        <f t="shared" si="49"/>
        <v>1.6005080873857821E-2</v>
      </c>
    </row>
    <row r="1569" spans="1:5" x14ac:dyDescent="0.35">
      <c r="A1569" s="23">
        <v>43625</v>
      </c>
      <c r="B1569" s="22">
        <v>82.7</v>
      </c>
      <c r="C1569" s="22">
        <v>30467.200000000001</v>
      </c>
      <c r="D1569" s="24">
        <f t="shared" si="48"/>
        <v>4.8602673147023776E-3</v>
      </c>
      <c r="E1569" s="24">
        <f t="shared" si="49"/>
        <v>8.354523301021332E-3</v>
      </c>
    </row>
    <row r="1570" spans="1:5" x14ac:dyDescent="0.35">
      <c r="A1570" s="23">
        <v>43594</v>
      </c>
      <c r="B1570" s="22">
        <v>82.3</v>
      </c>
      <c r="C1570" s="22">
        <v>30214.77</v>
      </c>
      <c r="D1570" s="24">
        <f t="shared" si="48"/>
        <v>-9.0307043949428064E-3</v>
      </c>
      <c r="E1570" s="24">
        <f t="shared" si="49"/>
        <v>-9.9058579792245228E-4</v>
      </c>
    </row>
    <row r="1571" spans="1:5" x14ac:dyDescent="0.35">
      <c r="A1571" s="23">
        <v>43564</v>
      </c>
      <c r="B1571" s="22">
        <v>83.05</v>
      </c>
      <c r="C1571" s="22">
        <v>30244.73</v>
      </c>
      <c r="D1571" s="24">
        <f t="shared" si="48"/>
        <v>-8.1213424101278728E-3</v>
      </c>
      <c r="E1571" s="24">
        <f t="shared" si="49"/>
        <v>1.4594252605193992E-2</v>
      </c>
    </row>
    <row r="1572" spans="1:5" x14ac:dyDescent="0.35">
      <c r="A1572" s="23">
        <v>43533</v>
      </c>
      <c r="B1572" s="22">
        <v>83.73</v>
      </c>
      <c r="C1572" s="22">
        <v>29809.68</v>
      </c>
      <c r="D1572" s="24">
        <f t="shared" si="48"/>
        <v>-6.4079743681024334E-3</v>
      </c>
      <c r="E1572" s="24">
        <f t="shared" si="49"/>
        <v>-8.2379349568773696E-3</v>
      </c>
    </row>
    <row r="1573" spans="1:5" x14ac:dyDescent="0.35">
      <c r="A1573" s="23">
        <v>43505</v>
      </c>
      <c r="B1573" s="22">
        <v>84.27</v>
      </c>
      <c r="C1573" s="22">
        <v>30057.29</v>
      </c>
      <c r="D1573" s="24">
        <f t="shared" si="48"/>
        <v>1.9600725952812949E-2</v>
      </c>
      <c r="E1573" s="24">
        <f t="shared" si="49"/>
        <v>1.2980872280106777E-2</v>
      </c>
    </row>
    <row r="1574" spans="1:5" x14ac:dyDescent="0.35">
      <c r="A1574" s="22" t="s">
        <v>974</v>
      </c>
      <c r="B1574" s="22">
        <v>82.65</v>
      </c>
      <c r="C1574" s="22">
        <v>29672.12</v>
      </c>
      <c r="D1574" s="24">
        <f t="shared" si="48"/>
        <v>7.5582104108253634E-3</v>
      </c>
      <c r="E1574" s="24">
        <f t="shared" si="49"/>
        <v>-1.6142466451097789E-2</v>
      </c>
    </row>
    <row r="1575" spans="1:5" x14ac:dyDescent="0.35">
      <c r="A1575" s="22" t="s">
        <v>975</v>
      </c>
      <c r="B1575" s="22">
        <v>82.03</v>
      </c>
      <c r="C1575" s="22">
        <v>30158.959999999999</v>
      </c>
      <c r="D1575" s="24">
        <f t="shared" si="48"/>
        <v>3.3774417139256545E-2</v>
      </c>
      <c r="E1575" s="24">
        <f t="shared" si="49"/>
        <v>-1.5626167882651806E-2</v>
      </c>
    </row>
    <row r="1576" spans="1:5" x14ac:dyDescent="0.35">
      <c r="A1576" s="22" t="s">
        <v>976</v>
      </c>
      <c r="B1576" s="22">
        <v>79.349999999999994</v>
      </c>
      <c r="C1576" s="22">
        <v>30637.71</v>
      </c>
      <c r="D1576" s="24">
        <f t="shared" si="48"/>
        <v>2.255154639175258E-2</v>
      </c>
      <c r="E1576" s="24">
        <f t="shared" si="49"/>
        <v>3.8370805292163518E-3</v>
      </c>
    </row>
    <row r="1577" spans="1:5" x14ac:dyDescent="0.35">
      <c r="A1577" s="22" t="s">
        <v>977</v>
      </c>
      <c r="B1577" s="22">
        <v>77.599999999999994</v>
      </c>
      <c r="C1577" s="22">
        <v>30520.6</v>
      </c>
      <c r="D1577" s="24">
        <f t="shared" si="48"/>
        <v>-1.8715225088518007E-2</v>
      </c>
      <c r="E1577" s="24">
        <f t="shared" si="49"/>
        <v>-2.6456450891084241E-2</v>
      </c>
    </row>
    <row r="1578" spans="1:5" x14ac:dyDescent="0.35">
      <c r="A1578" s="22" t="s">
        <v>978</v>
      </c>
      <c r="B1578" s="22">
        <v>79.08</v>
      </c>
      <c r="C1578" s="22">
        <v>31350.01</v>
      </c>
      <c r="D1578" s="24">
        <f t="shared" si="48"/>
        <v>-3.0882352941176423E-2</v>
      </c>
      <c r="E1578" s="24">
        <f t="shared" si="49"/>
        <v>-1.6761775724530369E-2</v>
      </c>
    </row>
    <row r="1579" spans="1:5" x14ac:dyDescent="0.35">
      <c r="A1579" s="22" t="s">
        <v>979</v>
      </c>
      <c r="B1579" s="22">
        <v>81.599999999999994</v>
      </c>
      <c r="C1579" s="22">
        <v>31884.45</v>
      </c>
      <c r="D1579" s="24">
        <f t="shared" si="48"/>
        <v>0</v>
      </c>
      <c r="E1579" s="24">
        <f t="shared" si="49"/>
        <v>2.9435552219289559E-2</v>
      </c>
    </row>
    <row r="1580" spans="1:5" x14ac:dyDescent="0.35">
      <c r="A1580" s="22" t="s">
        <v>980</v>
      </c>
      <c r="B1580" s="22">
        <v>81.599999999999994</v>
      </c>
      <c r="C1580" s="22">
        <v>30972.75</v>
      </c>
      <c r="D1580" s="24">
        <f t="shared" si="48"/>
        <v>-6.4531839766224421E-3</v>
      </c>
      <c r="E1580" s="24">
        <f t="shared" si="49"/>
        <v>4.7706852145392761E-2</v>
      </c>
    </row>
    <row r="1581" spans="1:5" x14ac:dyDescent="0.35">
      <c r="A1581" s="22" t="s">
        <v>981</v>
      </c>
      <c r="B1581" s="22">
        <v>82.13</v>
      </c>
      <c r="C1581" s="22">
        <v>29562.42</v>
      </c>
      <c r="D1581" s="24">
        <f t="shared" si="48"/>
        <v>3.3471750346042488E-2</v>
      </c>
      <c r="E1581" s="24">
        <f t="shared" si="49"/>
        <v>4.5312339125904606E-3</v>
      </c>
    </row>
    <row r="1582" spans="1:5" x14ac:dyDescent="0.35">
      <c r="A1582" s="23">
        <v>43716</v>
      </c>
      <c r="B1582" s="22">
        <v>79.47</v>
      </c>
      <c r="C1582" s="22">
        <v>29429.07</v>
      </c>
      <c r="D1582" s="24">
        <f t="shared" si="48"/>
        <v>-6.6250000000000146E-3</v>
      </c>
      <c r="E1582" s="24">
        <f t="shared" si="49"/>
        <v>-1.0387726402398545E-2</v>
      </c>
    </row>
    <row r="1583" spans="1:5" x14ac:dyDescent="0.35">
      <c r="A1583" s="23">
        <v>43685</v>
      </c>
      <c r="B1583" s="22">
        <v>80</v>
      </c>
      <c r="C1583" s="22">
        <v>29737.98</v>
      </c>
      <c r="D1583" s="24">
        <f t="shared" si="48"/>
        <v>2.0408163265306048E-2</v>
      </c>
      <c r="E1583" s="24">
        <f t="shared" si="49"/>
        <v>-4.0731055167517308E-2</v>
      </c>
    </row>
    <row r="1584" spans="1:5" x14ac:dyDescent="0.35">
      <c r="A1584" s="23">
        <v>43624</v>
      </c>
      <c r="B1584" s="22">
        <v>78.400000000000006</v>
      </c>
      <c r="C1584" s="22">
        <v>31000.67</v>
      </c>
      <c r="D1584" s="24">
        <f t="shared" si="48"/>
        <v>2.0449897750512628E-3</v>
      </c>
      <c r="E1584" s="24">
        <f t="shared" si="49"/>
        <v>-2.1023538822367349E-2</v>
      </c>
    </row>
    <row r="1585" spans="1:5" x14ac:dyDescent="0.35">
      <c r="A1585" s="23">
        <v>43504</v>
      </c>
      <c r="B1585" s="22">
        <v>78.239999999999995</v>
      </c>
      <c r="C1585" s="22">
        <v>31666.41</v>
      </c>
      <c r="D1585" s="24">
        <f t="shared" si="48"/>
        <v>3.246239113222478E-2</v>
      </c>
      <c r="E1585" s="24">
        <f t="shared" si="49"/>
        <v>-5.4241465920373006E-3</v>
      </c>
    </row>
    <row r="1586" spans="1:5" x14ac:dyDescent="0.35">
      <c r="A1586" s="23">
        <v>43473</v>
      </c>
      <c r="B1586" s="22">
        <v>75.78</v>
      </c>
      <c r="C1586" s="22">
        <v>31839.11</v>
      </c>
      <c r="D1586" s="24">
        <f t="shared" si="48"/>
        <v>1.8822264049475745E-2</v>
      </c>
      <c r="E1586" s="24">
        <f t="shared" si="49"/>
        <v>-3.1112939626431499E-3</v>
      </c>
    </row>
    <row r="1587" spans="1:5" x14ac:dyDescent="0.35">
      <c r="A1587" s="22" t="s">
        <v>982</v>
      </c>
      <c r="B1587" s="22">
        <v>74.38</v>
      </c>
      <c r="C1587" s="22">
        <v>31938.48</v>
      </c>
      <c r="D1587" s="24">
        <f t="shared" si="48"/>
        <v>-3.8837551895005524E-3</v>
      </c>
      <c r="E1587" s="24">
        <f t="shared" si="49"/>
        <v>8.8558638352498695E-3</v>
      </c>
    </row>
    <row r="1588" spans="1:5" x14ac:dyDescent="0.35">
      <c r="A1588" s="22" t="s">
        <v>983</v>
      </c>
      <c r="B1588" s="22">
        <v>74.67</v>
      </c>
      <c r="C1588" s="22">
        <v>31658.12</v>
      </c>
      <c r="D1588" s="24">
        <f t="shared" si="48"/>
        <v>2.4982841455044716E-2</v>
      </c>
      <c r="E1588" s="24">
        <f t="shared" si="49"/>
        <v>-2.3983566010582448E-3</v>
      </c>
    </row>
    <row r="1589" spans="1:5" x14ac:dyDescent="0.35">
      <c r="A1589" s="22" t="s">
        <v>984</v>
      </c>
      <c r="B1589" s="22">
        <v>72.849999999999994</v>
      </c>
      <c r="C1589" s="22">
        <v>31734.23</v>
      </c>
      <c r="D1589" s="24">
        <f t="shared" si="48"/>
        <v>-6.6812107990183948E-3</v>
      </c>
      <c r="E1589" s="24">
        <f t="shared" si="49"/>
        <v>-1.1495402181771541E-2</v>
      </c>
    </row>
    <row r="1590" spans="1:5" x14ac:dyDescent="0.35">
      <c r="A1590" s="22" t="s">
        <v>985</v>
      </c>
      <c r="B1590" s="22">
        <v>73.34</v>
      </c>
      <c r="C1590" s="22">
        <v>32103.27</v>
      </c>
      <c r="D1590" s="24">
        <f t="shared" si="48"/>
        <v>-1.7811704834605573E-2</v>
      </c>
      <c r="E1590" s="24">
        <f t="shared" si="49"/>
        <v>-1.0575287242960729E-2</v>
      </c>
    </row>
    <row r="1591" spans="1:5" x14ac:dyDescent="0.35">
      <c r="A1591" s="22" t="s">
        <v>986</v>
      </c>
      <c r="B1591" s="22">
        <v>74.67</v>
      </c>
      <c r="C1591" s="22">
        <v>32446.400000000001</v>
      </c>
      <c r="D1591" s="24">
        <f t="shared" si="48"/>
        <v>-4.7576530612244948E-2</v>
      </c>
      <c r="E1591" s="24">
        <f t="shared" si="49"/>
        <v>1.3888288777645409E-3</v>
      </c>
    </row>
    <row r="1592" spans="1:5" x14ac:dyDescent="0.35">
      <c r="A1592" s="22" t="s">
        <v>987</v>
      </c>
      <c r="B1592" s="22">
        <v>78.400000000000006</v>
      </c>
      <c r="C1592" s="22">
        <v>32401.4</v>
      </c>
      <c r="D1592" s="24">
        <f t="shared" si="48"/>
        <v>-4.238426774154145E-2</v>
      </c>
      <c r="E1592" s="24">
        <f t="shared" si="49"/>
        <v>-9.6124573143072899E-3</v>
      </c>
    </row>
    <row r="1593" spans="1:5" x14ac:dyDescent="0.35">
      <c r="A1593" s="22" t="s">
        <v>988</v>
      </c>
      <c r="B1593" s="22">
        <v>81.87</v>
      </c>
      <c r="C1593" s="22">
        <v>32715.88</v>
      </c>
      <c r="D1593" s="24">
        <f t="shared" si="48"/>
        <v>-5.0011603620329567E-2</v>
      </c>
      <c r="E1593" s="24">
        <f t="shared" si="49"/>
        <v>4.0304377381305484E-3</v>
      </c>
    </row>
    <row r="1594" spans="1:5" x14ac:dyDescent="0.35">
      <c r="A1594" s="22" t="s">
        <v>989</v>
      </c>
      <c r="B1594" s="22">
        <v>86.18</v>
      </c>
      <c r="C1594" s="22">
        <v>32584.55</v>
      </c>
      <c r="D1594" s="24">
        <f t="shared" si="48"/>
        <v>-4.9939367214198956E-2</v>
      </c>
      <c r="E1594" s="24">
        <f t="shared" si="49"/>
        <v>3.8750698193430878E-3</v>
      </c>
    </row>
    <row r="1595" spans="1:5" x14ac:dyDescent="0.35">
      <c r="A1595" s="22" t="s">
        <v>990</v>
      </c>
      <c r="B1595" s="22">
        <v>90.71</v>
      </c>
      <c r="C1595" s="22">
        <v>32458.77</v>
      </c>
      <c r="D1595" s="24">
        <f t="shared" si="48"/>
        <v>0</v>
      </c>
      <c r="E1595" s="24">
        <f t="shared" si="49"/>
        <v>4.6187596604594051E-3</v>
      </c>
    </row>
    <row r="1596" spans="1:5" x14ac:dyDescent="0.35">
      <c r="A1596" s="22" t="s">
        <v>991</v>
      </c>
      <c r="B1596" s="22">
        <v>90.71</v>
      </c>
      <c r="C1596" s="22">
        <v>32309.54</v>
      </c>
      <c r="D1596" s="24">
        <f t="shared" si="48"/>
        <v>-2.7655697288026717E-2</v>
      </c>
      <c r="E1596" s="24">
        <f t="shared" si="49"/>
        <v>-4.622410362682066E-2</v>
      </c>
    </row>
    <row r="1597" spans="1:5" x14ac:dyDescent="0.35">
      <c r="A1597" s="23">
        <v>43776</v>
      </c>
      <c r="B1597" s="22">
        <v>93.29</v>
      </c>
      <c r="C1597" s="22">
        <v>33875.4</v>
      </c>
      <c r="D1597" s="24">
        <f t="shared" si="48"/>
        <v>-3.6956746154640223E-2</v>
      </c>
      <c r="E1597" s="24">
        <f t="shared" si="49"/>
        <v>5.8542786742982124E-4</v>
      </c>
    </row>
    <row r="1598" spans="1:5" x14ac:dyDescent="0.35">
      <c r="A1598" s="23">
        <v>43715</v>
      </c>
      <c r="B1598" s="22">
        <v>96.87</v>
      </c>
      <c r="C1598" s="22">
        <v>33855.58</v>
      </c>
      <c r="D1598" s="24">
        <f t="shared" si="48"/>
        <v>3.6708047945205553E-2</v>
      </c>
      <c r="E1598" s="24">
        <f t="shared" si="49"/>
        <v>3.345910876077462E-3</v>
      </c>
    </row>
    <row r="1599" spans="1:5" x14ac:dyDescent="0.35">
      <c r="A1599" s="23">
        <v>43684</v>
      </c>
      <c r="B1599" s="22">
        <v>93.44</v>
      </c>
      <c r="C1599" s="22">
        <v>33742.68</v>
      </c>
      <c r="D1599" s="24">
        <f t="shared" si="48"/>
        <v>-4.9923741738688326E-2</v>
      </c>
      <c r="E1599" s="24">
        <f t="shared" si="49"/>
        <v>-1.3083935019634283E-2</v>
      </c>
    </row>
    <row r="1600" spans="1:5" x14ac:dyDescent="0.35">
      <c r="A1600" s="23">
        <v>43592</v>
      </c>
      <c r="B1600" s="22">
        <v>98.35</v>
      </c>
      <c r="C1600" s="22">
        <v>34190.019999999997</v>
      </c>
      <c r="D1600" s="24">
        <f t="shared" si="48"/>
        <v>3.0166544464229554E-2</v>
      </c>
      <c r="E1600" s="24">
        <f t="shared" si="49"/>
        <v>5.6973796877485021E-3</v>
      </c>
    </row>
    <row r="1601" spans="1:5" x14ac:dyDescent="0.35">
      <c r="A1601" s="23">
        <v>43472</v>
      </c>
      <c r="B1601" s="22">
        <v>95.47</v>
      </c>
      <c r="C1601" s="22">
        <v>33996.33</v>
      </c>
      <c r="D1601" s="24">
        <f t="shared" si="48"/>
        <v>-2.7998371003868865E-2</v>
      </c>
      <c r="E1601" s="24">
        <f t="shared" si="49"/>
        <v>2.7948549890595069E-3</v>
      </c>
    </row>
    <row r="1602" spans="1:5" x14ac:dyDescent="0.35">
      <c r="A1602" s="22" t="s">
        <v>992</v>
      </c>
      <c r="B1602" s="22">
        <v>98.22</v>
      </c>
      <c r="C1602" s="22">
        <v>33901.58</v>
      </c>
      <c r="D1602" s="24">
        <f t="shared" si="48"/>
        <v>3.9255105279864498E-2</v>
      </c>
      <c r="E1602" s="24">
        <f t="shared" si="49"/>
        <v>3.7649795318469865E-3</v>
      </c>
    </row>
    <row r="1603" spans="1:5" x14ac:dyDescent="0.35">
      <c r="A1603" s="22" t="s">
        <v>993</v>
      </c>
      <c r="B1603" s="22">
        <v>94.51</v>
      </c>
      <c r="C1603" s="22">
        <v>33774.42</v>
      </c>
      <c r="D1603" s="24">
        <f t="shared" si="48"/>
        <v>4.8480142001331314E-2</v>
      </c>
      <c r="E1603" s="24">
        <f t="shared" si="49"/>
        <v>-9.2154083364037499E-3</v>
      </c>
    </row>
    <row r="1604" spans="1:5" x14ac:dyDescent="0.35">
      <c r="A1604" s="22" t="s">
        <v>994</v>
      </c>
      <c r="B1604" s="22">
        <v>90.14</v>
      </c>
      <c r="C1604" s="22">
        <v>34088.559999999998</v>
      </c>
      <c r="D1604" s="24">
        <f t="shared" si="48"/>
        <v>4.5707656612528971E-2</v>
      </c>
      <c r="E1604" s="24">
        <f t="shared" si="49"/>
        <v>-2.9850292273145367E-3</v>
      </c>
    </row>
    <row r="1605" spans="1:5" x14ac:dyDescent="0.35">
      <c r="A1605" s="22" t="s">
        <v>995</v>
      </c>
      <c r="B1605" s="22">
        <v>86.2</v>
      </c>
      <c r="C1605" s="22">
        <v>34190.620000000003</v>
      </c>
      <c r="D1605" s="24">
        <f t="shared" ref="D1605:D1668" si="50">(B1605-B1606)/B1606</f>
        <v>4.3078412391093931E-2</v>
      </c>
      <c r="E1605" s="24">
        <f t="shared" ref="E1605:E1668" si="51">(C1605-C1606)/C1606</f>
        <v>-8.1611281056045426E-3</v>
      </c>
    </row>
    <row r="1606" spans="1:5" x14ac:dyDescent="0.35">
      <c r="A1606" s="22" t="s">
        <v>996</v>
      </c>
      <c r="B1606" s="22">
        <v>82.64</v>
      </c>
      <c r="C1606" s="22">
        <v>34471.949999999997</v>
      </c>
      <c r="D1606" s="24">
        <f t="shared" si="50"/>
        <v>2.6201415621507504E-2</v>
      </c>
      <c r="E1606" s="24">
        <f t="shared" si="51"/>
        <v>-1.8599155877894191E-2</v>
      </c>
    </row>
    <row r="1607" spans="1:5" x14ac:dyDescent="0.35">
      <c r="A1607" s="22" t="s">
        <v>997</v>
      </c>
      <c r="B1607" s="22">
        <v>80.53</v>
      </c>
      <c r="C1607" s="22">
        <v>35125.25</v>
      </c>
      <c r="D1607" s="24">
        <f t="shared" si="50"/>
        <v>0</v>
      </c>
      <c r="E1607" s="24">
        <f t="shared" si="51"/>
        <v>3.6958604591221232E-3</v>
      </c>
    </row>
    <row r="1608" spans="1:5" x14ac:dyDescent="0.35">
      <c r="A1608" s="22" t="s">
        <v>998</v>
      </c>
      <c r="B1608" s="22">
        <v>80.53</v>
      </c>
      <c r="C1608" s="22">
        <v>34995.910000000003</v>
      </c>
      <c r="D1608" s="24">
        <f t="shared" si="50"/>
        <v>2.3773201118738936E-2</v>
      </c>
      <c r="E1608" s="24">
        <f t="shared" si="51"/>
        <v>9.8046174817031113E-3</v>
      </c>
    </row>
    <row r="1609" spans="1:5" x14ac:dyDescent="0.35">
      <c r="A1609" s="22" t="s">
        <v>999</v>
      </c>
      <c r="B1609" s="22">
        <v>78.66</v>
      </c>
      <c r="C1609" s="22">
        <v>34656.120000000003</v>
      </c>
      <c r="D1609" s="24">
        <f t="shared" si="50"/>
        <v>-3.4207525655645535E-3</v>
      </c>
      <c r="E1609" s="24">
        <f t="shared" si="51"/>
        <v>-7.381410149207866E-4</v>
      </c>
    </row>
    <row r="1610" spans="1:5" x14ac:dyDescent="0.35">
      <c r="A1610" s="22" t="s">
        <v>1000</v>
      </c>
      <c r="B1610" s="22">
        <v>78.930000000000007</v>
      </c>
      <c r="C1610" s="22">
        <v>34681.72</v>
      </c>
      <c r="D1610" s="24">
        <f t="shared" si="50"/>
        <v>-3.3904528763769842E-2</v>
      </c>
      <c r="E1610" s="24">
        <f t="shared" si="51"/>
        <v>-1.3850336747152692E-2</v>
      </c>
    </row>
    <row r="1611" spans="1:5" x14ac:dyDescent="0.35">
      <c r="A1611" s="22" t="s">
        <v>1001</v>
      </c>
      <c r="B1611" s="22">
        <v>81.7</v>
      </c>
      <c r="C1611" s="22">
        <v>35168.82</v>
      </c>
      <c r="D1611" s="24">
        <f t="shared" si="50"/>
        <v>-1.1733397846860999E-2</v>
      </c>
      <c r="E1611" s="24">
        <f t="shared" si="51"/>
        <v>-1.1360598432235657E-2</v>
      </c>
    </row>
    <row r="1612" spans="1:5" x14ac:dyDescent="0.35">
      <c r="A1612" s="22" t="s">
        <v>1002</v>
      </c>
      <c r="B1612" s="22">
        <v>82.67</v>
      </c>
      <c r="C1612" s="22">
        <v>35572.949999999997</v>
      </c>
      <c r="D1612" s="24">
        <f t="shared" si="50"/>
        <v>0</v>
      </c>
      <c r="E1612" s="24">
        <f t="shared" si="51"/>
        <v>4.798453919391662E-3</v>
      </c>
    </row>
    <row r="1613" spans="1:5" x14ac:dyDescent="0.35">
      <c r="A1613" s="22" t="s">
        <v>1003</v>
      </c>
      <c r="B1613" s="22">
        <v>82.67</v>
      </c>
      <c r="C1613" s="22">
        <v>35403.07</v>
      </c>
      <c r="D1613" s="24">
        <f t="shared" si="50"/>
        <v>1.4480304331819939E-2</v>
      </c>
      <c r="E1613" s="24">
        <f t="shared" si="51"/>
        <v>2.1443254947727738E-2</v>
      </c>
    </row>
    <row r="1614" spans="1:5" x14ac:dyDescent="0.35">
      <c r="A1614" s="23">
        <v>43775</v>
      </c>
      <c r="B1614" s="22">
        <v>81.489999999999995</v>
      </c>
      <c r="C1614" s="22">
        <v>34659.85</v>
      </c>
      <c r="D1614" s="24">
        <f t="shared" si="50"/>
        <v>-7.7925240472421844E-3</v>
      </c>
      <c r="E1614" s="24">
        <f t="shared" si="51"/>
        <v>-2.3811662994443993E-2</v>
      </c>
    </row>
    <row r="1615" spans="1:5" x14ac:dyDescent="0.35">
      <c r="A1615" s="23">
        <v>43530</v>
      </c>
      <c r="B1615" s="22">
        <v>82.13</v>
      </c>
      <c r="C1615" s="22">
        <v>35505.29</v>
      </c>
      <c r="D1615" s="24">
        <f t="shared" si="50"/>
        <v>0</v>
      </c>
      <c r="E1615" s="24">
        <f t="shared" si="51"/>
        <v>-1.3050805855989708E-2</v>
      </c>
    </row>
    <row r="1616" spans="1:5" x14ac:dyDescent="0.35">
      <c r="A1616" s="22" t="s">
        <v>1004</v>
      </c>
      <c r="B1616" s="22">
        <v>82.13</v>
      </c>
      <c r="C1616" s="22">
        <v>35974.79</v>
      </c>
      <c r="D1616" s="24">
        <f t="shared" si="50"/>
        <v>-6.5319946776340419E-3</v>
      </c>
      <c r="E1616" s="24">
        <f t="shared" si="51"/>
        <v>4.271480387759367E-4</v>
      </c>
    </row>
    <row r="1617" spans="1:5" x14ac:dyDescent="0.35">
      <c r="A1617" s="22" t="s">
        <v>1005</v>
      </c>
      <c r="B1617" s="22">
        <v>82.67</v>
      </c>
      <c r="C1617" s="22">
        <v>35959.43</v>
      </c>
      <c r="D1617" s="24">
        <f t="shared" si="50"/>
        <v>0</v>
      </c>
      <c r="E1617" s="24">
        <f t="shared" si="51"/>
        <v>2.8903313601882544E-2</v>
      </c>
    </row>
    <row r="1618" spans="1:5" x14ac:dyDescent="0.35">
      <c r="A1618" s="22" t="s">
        <v>1006</v>
      </c>
      <c r="B1618" s="22">
        <v>82.67</v>
      </c>
      <c r="C1618" s="22">
        <v>34949.279999999999</v>
      </c>
      <c r="D1618" s="24">
        <f t="shared" si="50"/>
        <v>7.5563680682511217E-3</v>
      </c>
      <c r="E1618" s="24">
        <f t="shared" si="51"/>
        <v>-2.0956445810994023E-2</v>
      </c>
    </row>
    <row r="1619" spans="1:5" x14ac:dyDescent="0.35">
      <c r="A1619" s="22" t="s">
        <v>1007</v>
      </c>
      <c r="B1619" s="22">
        <v>82.05</v>
      </c>
      <c r="C1619" s="22">
        <v>35697.370000000003</v>
      </c>
      <c r="D1619" s="24">
        <f t="shared" si="50"/>
        <v>-4.4485850704553478E-2</v>
      </c>
      <c r="E1619" s="24">
        <f t="shared" si="51"/>
        <v>3.0609628855038356E-2</v>
      </c>
    </row>
    <row r="1620" spans="1:5" x14ac:dyDescent="0.35">
      <c r="A1620" s="22" t="s">
        <v>1008</v>
      </c>
      <c r="B1620" s="22">
        <v>85.87</v>
      </c>
      <c r="C1620" s="22">
        <v>34637.14</v>
      </c>
      <c r="D1620" s="24">
        <f t="shared" si="50"/>
        <v>4.9627184940716322E-2</v>
      </c>
      <c r="E1620" s="24">
        <f t="shared" si="51"/>
        <v>3.573459800670415E-2</v>
      </c>
    </row>
    <row r="1621" spans="1:5" x14ac:dyDescent="0.35">
      <c r="A1621" s="22" t="s">
        <v>1009</v>
      </c>
      <c r="B1621" s="22">
        <v>81.81</v>
      </c>
      <c r="C1621" s="22">
        <v>33442.1</v>
      </c>
      <c r="D1621" s="24">
        <f t="shared" si="50"/>
        <v>-4.4610533691463193E-2</v>
      </c>
      <c r="E1621" s="24">
        <f t="shared" si="51"/>
        <v>5.7611094436360328E-3</v>
      </c>
    </row>
    <row r="1622" spans="1:5" x14ac:dyDescent="0.35">
      <c r="A1622" s="22" t="s">
        <v>1010</v>
      </c>
      <c r="B1622" s="22">
        <v>85.63</v>
      </c>
      <c r="C1622" s="22">
        <v>33250.54</v>
      </c>
      <c r="D1622" s="24">
        <f t="shared" si="50"/>
        <v>-4.9927881948296907E-2</v>
      </c>
      <c r="E1622" s="24">
        <f t="shared" si="51"/>
        <v>2.5302548164388848E-3</v>
      </c>
    </row>
    <row r="1623" spans="1:5" x14ac:dyDescent="0.35">
      <c r="A1623" s="22" t="s">
        <v>1011</v>
      </c>
      <c r="B1623" s="22">
        <v>90.13</v>
      </c>
      <c r="C1623" s="22">
        <v>33166.620000000003</v>
      </c>
      <c r="D1623" s="24">
        <f t="shared" si="50"/>
        <v>2.4204545454545402E-2</v>
      </c>
      <c r="E1623" s="24">
        <f t="shared" si="51"/>
        <v>-2.3681880373682115E-2</v>
      </c>
    </row>
    <row r="1624" spans="1:5" x14ac:dyDescent="0.35">
      <c r="A1624" s="22" t="s">
        <v>1012</v>
      </c>
      <c r="B1624" s="22">
        <v>88</v>
      </c>
      <c r="C1624" s="22">
        <v>33971.120000000003</v>
      </c>
      <c r="D1624" s="24">
        <f t="shared" si="50"/>
        <v>-1.2013023464690617E-2</v>
      </c>
      <c r="E1624" s="24">
        <f t="shared" si="51"/>
        <v>2.538874767633969E-3</v>
      </c>
    </row>
    <row r="1625" spans="1:5" x14ac:dyDescent="0.35">
      <c r="A1625" s="22" t="s">
        <v>1013</v>
      </c>
      <c r="B1625" s="22">
        <v>89.07</v>
      </c>
      <c r="C1625" s="22">
        <v>33885.089999999997</v>
      </c>
      <c r="D1625" s="24">
        <f t="shared" si="50"/>
        <v>0</v>
      </c>
      <c r="E1625" s="24">
        <f t="shared" si="51"/>
        <v>-4.5102739261332391E-4</v>
      </c>
    </row>
    <row r="1626" spans="1:5" x14ac:dyDescent="0.35">
      <c r="A1626" s="22" t="s">
        <v>1014</v>
      </c>
      <c r="B1626" s="22">
        <v>89.07</v>
      </c>
      <c r="C1626" s="22">
        <v>33900.379999999997</v>
      </c>
      <c r="D1626" s="24">
        <f t="shared" si="50"/>
        <v>2.4617508340043556E-2</v>
      </c>
      <c r="E1626" s="24">
        <f t="shared" si="51"/>
        <v>-2.3508973967156323E-2</v>
      </c>
    </row>
    <row r="1627" spans="1:5" x14ac:dyDescent="0.35">
      <c r="A1627" s="23">
        <v>43743</v>
      </c>
      <c r="B1627" s="22">
        <v>86.93</v>
      </c>
      <c r="C1627" s="22">
        <v>34716.53</v>
      </c>
      <c r="D1627" s="24">
        <f t="shared" si="50"/>
        <v>-4.1459918403351982E-2</v>
      </c>
      <c r="E1627" s="24">
        <f t="shared" si="51"/>
        <v>-4.9046023176116411E-3</v>
      </c>
    </row>
    <row r="1628" spans="1:5" x14ac:dyDescent="0.35">
      <c r="A1628" s="23">
        <v>43713</v>
      </c>
      <c r="B1628" s="22">
        <v>90.69</v>
      </c>
      <c r="C1628" s="22">
        <v>34887.64</v>
      </c>
      <c r="D1628" s="24">
        <f t="shared" si="50"/>
        <v>0</v>
      </c>
      <c r="E1628" s="24">
        <f t="shared" si="51"/>
        <v>-4.2069323188819712E-3</v>
      </c>
    </row>
    <row r="1629" spans="1:5" x14ac:dyDescent="0.35">
      <c r="A1629" s="23">
        <v>43682</v>
      </c>
      <c r="B1629" s="22">
        <v>90.69</v>
      </c>
      <c r="C1629" s="22">
        <v>35035.03</v>
      </c>
      <c r="D1629" s="24">
        <f t="shared" si="50"/>
        <v>-5.0068084214936644E-2</v>
      </c>
      <c r="E1629" s="24">
        <f t="shared" si="51"/>
        <v>-1.6019752048985786E-2</v>
      </c>
    </row>
    <row r="1630" spans="1:5" x14ac:dyDescent="0.35">
      <c r="A1630" s="23">
        <v>43621</v>
      </c>
      <c r="B1630" s="22">
        <v>95.47</v>
      </c>
      <c r="C1630" s="22">
        <v>35605.42</v>
      </c>
      <c r="D1630" s="24">
        <f t="shared" si="50"/>
        <v>0</v>
      </c>
      <c r="E1630" s="24">
        <f t="shared" si="51"/>
        <v>-1.4326902979961462E-2</v>
      </c>
    </row>
    <row r="1631" spans="1:5" x14ac:dyDescent="0.35">
      <c r="A1631" s="23">
        <v>43529</v>
      </c>
      <c r="B1631" s="22">
        <v>95.47</v>
      </c>
      <c r="C1631" s="22">
        <v>36122.949999999997</v>
      </c>
      <c r="D1631" s="24">
        <f t="shared" si="50"/>
        <v>2.7000860585197992E-2</v>
      </c>
      <c r="E1631" s="24">
        <f t="shared" si="51"/>
        <v>-1.1619905312601674E-2</v>
      </c>
    </row>
    <row r="1632" spans="1:5" x14ac:dyDescent="0.35">
      <c r="A1632" s="23">
        <v>43501</v>
      </c>
      <c r="B1632" s="22">
        <v>92.96</v>
      </c>
      <c r="C1632" s="22">
        <v>36547.629999999997</v>
      </c>
      <c r="D1632" s="24">
        <f t="shared" si="50"/>
        <v>0</v>
      </c>
      <c r="E1632" s="24">
        <f t="shared" si="51"/>
        <v>-6.437776407633362E-3</v>
      </c>
    </row>
    <row r="1633" spans="1:5" x14ac:dyDescent="0.35">
      <c r="A1633" s="22" t="s">
        <v>1015</v>
      </c>
      <c r="B1633" s="22">
        <v>92.96</v>
      </c>
      <c r="C1633" s="22">
        <v>36784.44</v>
      </c>
      <c r="D1633" s="24">
        <f t="shared" si="50"/>
        <v>0</v>
      </c>
      <c r="E1633" s="24">
        <f t="shared" si="51"/>
        <v>-6.5313087167568999E-3</v>
      </c>
    </row>
    <row r="1634" spans="1:5" x14ac:dyDescent="0.35">
      <c r="A1634" s="22" t="s">
        <v>1016</v>
      </c>
      <c r="B1634" s="22">
        <v>92.96</v>
      </c>
      <c r="C1634" s="22">
        <v>37026.269999999997</v>
      </c>
      <c r="D1634" s="24">
        <f t="shared" si="50"/>
        <v>-4.6043473605311795E-3</v>
      </c>
      <c r="E1634" s="24">
        <f t="shared" si="51"/>
        <v>1.4300252710300767E-2</v>
      </c>
    </row>
    <row r="1635" spans="1:5" x14ac:dyDescent="0.35">
      <c r="A1635" s="22" t="s">
        <v>1017</v>
      </c>
      <c r="B1635" s="22">
        <v>93.39</v>
      </c>
      <c r="C1635" s="22">
        <v>36504.25</v>
      </c>
      <c r="D1635" s="24">
        <f t="shared" si="50"/>
        <v>-3.4329438527556544E-2</v>
      </c>
      <c r="E1635" s="24">
        <f t="shared" si="51"/>
        <v>-1.0770238436234284E-2</v>
      </c>
    </row>
    <row r="1636" spans="1:5" x14ac:dyDescent="0.35">
      <c r="A1636" s="22" t="s">
        <v>1018</v>
      </c>
      <c r="B1636" s="22">
        <v>96.71</v>
      </c>
      <c r="C1636" s="22">
        <v>36901.69</v>
      </c>
      <c r="D1636" s="24">
        <f t="shared" si="50"/>
        <v>4.5704788615352418E-3</v>
      </c>
      <c r="E1636" s="24">
        <f t="shared" si="51"/>
        <v>-1.0478791026713941E-2</v>
      </c>
    </row>
    <row r="1637" spans="1:5" x14ac:dyDescent="0.35">
      <c r="A1637" s="22" t="s">
        <v>1019</v>
      </c>
      <c r="B1637" s="22">
        <v>96.27</v>
      </c>
      <c r="C1637" s="22">
        <v>37292.47</v>
      </c>
      <c r="D1637" s="24">
        <f t="shared" si="50"/>
        <v>5.8510082541009542E-3</v>
      </c>
      <c r="E1637" s="24">
        <f t="shared" si="51"/>
        <v>1.3055846675500792E-2</v>
      </c>
    </row>
    <row r="1638" spans="1:5" x14ac:dyDescent="0.35">
      <c r="A1638" s="22" t="s">
        <v>1020</v>
      </c>
      <c r="B1638" s="22">
        <v>95.71</v>
      </c>
      <c r="C1638" s="22">
        <v>36811.86</v>
      </c>
      <c r="D1638" s="24">
        <f t="shared" si="50"/>
        <v>-5.1969649724560862E-3</v>
      </c>
      <c r="E1638" s="24">
        <f t="shared" si="51"/>
        <v>1.6132205176400147E-3</v>
      </c>
    </row>
    <row r="1639" spans="1:5" x14ac:dyDescent="0.35">
      <c r="A1639" s="22" t="s">
        <v>1021</v>
      </c>
      <c r="B1639" s="22">
        <v>96.21</v>
      </c>
      <c r="C1639" s="22">
        <v>36752.57</v>
      </c>
      <c r="D1639" s="24">
        <f t="shared" si="50"/>
        <v>2.7097446586762989E-3</v>
      </c>
      <c r="E1639" s="24">
        <f t="shared" si="51"/>
        <v>-1.6836467867513531E-2</v>
      </c>
    </row>
    <row r="1640" spans="1:5" x14ac:dyDescent="0.35">
      <c r="A1640" s="22" t="s">
        <v>1022</v>
      </c>
      <c r="B1640" s="22">
        <v>95.95</v>
      </c>
      <c r="C1640" s="22">
        <v>37381.949999999997</v>
      </c>
      <c r="D1640" s="24">
        <f t="shared" si="50"/>
        <v>-1.5796491947892011E-2</v>
      </c>
      <c r="E1640" s="24">
        <f t="shared" si="51"/>
        <v>-3.2564456987081046E-3</v>
      </c>
    </row>
    <row r="1641" spans="1:5" x14ac:dyDescent="0.35">
      <c r="A1641" s="22" t="s">
        <v>1023</v>
      </c>
      <c r="B1641" s="22">
        <v>97.49</v>
      </c>
      <c r="C1641" s="22">
        <v>37504.080000000002</v>
      </c>
      <c r="D1641" s="24">
        <f t="shared" si="50"/>
        <v>-1.1270491803278631E-3</v>
      </c>
      <c r="E1641" s="24">
        <f t="shared" si="51"/>
        <v>4.4515126331523226E-3</v>
      </c>
    </row>
    <row r="1642" spans="1:5" x14ac:dyDescent="0.35">
      <c r="A1642" s="23">
        <v>43803</v>
      </c>
      <c r="B1642" s="22">
        <v>97.6</v>
      </c>
      <c r="C1642" s="22">
        <v>37337.870000000003</v>
      </c>
      <c r="D1642" s="24">
        <f t="shared" si="50"/>
        <v>1.6666666666666607E-2</v>
      </c>
      <c r="E1642" s="24">
        <f t="shared" si="51"/>
        <v>1.4956925750061793E-2</v>
      </c>
    </row>
    <row r="1643" spans="1:5" x14ac:dyDescent="0.35">
      <c r="A1643" s="23">
        <v>43773</v>
      </c>
      <c r="B1643" s="22">
        <v>96</v>
      </c>
      <c r="C1643" s="22">
        <v>36787.64</v>
      </c>
      <c r="D1643" s="24">
        <f t="shared" si="50"/>
        <v>-5.2056220718372885E-4</v>
      </c>
      <c r="E1643" s="24">
        <f t="shared" si="51"/>
        <v>5.6950211212236784E-3</v>
      </c>
    </row>
    <row r="1644" spans="1:5" x14ac:dyDescent="0.35">
      <c r="A1644" s="23">
        <v>43742</v>
      </c>
      <c r="B1644" s="22">
        <v>96.05</v>
      </c>
      <c r="C1644" s="22">
        <v>36579.32</v>
      </c>
      <c r="D1644" s="24">
        <f t="shared" si="50"/>
        <v>-1.98979591836735E-2</v>
      </c>
      <c r="E1644" s="24">
        <f t="shared" si="51"/>
        <v>-1.483033786453373E-2</v>
      </c>
    </row>
    <row r="1645" spans="1:5" x14ac:dyDescent="0.35">
      <c r="A1645" s="23">
        <v>43712</v>
      </c>
      <c r="B1645" s="22">
        <v>98</v>
      </c>
      <c r="C1645" s="22">
        <v>37129.97</v>
      </c>
      <c r="D1645" s="24">
        <f t="shared" si="50"/>
        <v>2.0833333333333332E-2</v>
      </c>
      <c r="E1645" s="24">
        <f t="shared" si="51"/>
        <v>5.6351364271241024E-3</v>
      </c>
    </row>
    <row r="1646" spans="1:5" x14ac:dyDescent="0.35">
      <c r="A1646" s="23">
        <v>43681</v>
      </c>
      <c r="B1646" s="22">
        <v>96</v>
      </c>
      <c r="C1646" s="22">
        <v>36921.910000000003</v>
      </c>
      <c r="D1646" s="24">
        <f t="shared" si="50"/>
        <v>-1.0415581710243845E-4</v>
      </c>
      <c r="E1646" s="24">
        <f t="shared" si="51"/>
        <v>-1.5988034692356105E-2</v>
      </c>
    </row>
    <row r="1647" spans="1:5" x14ac:dyDescent="0.35">
      <c r="A1647" s="23">
        <v>43589</v>
      </c>
      <c r="B1647" s="22">
        <v>96.01</v>
      </c>
      <c r="C1647" s="22">
        <v>37521.81</v>
      </c>
      <c r="D1647" s="24">
        <f t="shared" si="50"/>
        <v>-2.7007375090889259E-3</v>
      </c>
      <c r="E1647" s="24">
        <f t="shared" si="51"/>
        <v>1.5193472884041256E-4</v>
      </c>
    </row>
    <row r="1648" spans="1:5" x14ac:dyDescent="0.35">
      <c r="A1648" s="23">
        <v>43559</v>
      </c>
      <c r="B1648" s="22">
        <v>96.27</v>
      </c>
      <c r="C1648" s="22">
        <v>37516.11</v>
      </c>
      <c r="D1648" s="24">
        <f t="shared" si="50"/>
        <v>-4.8715415019762912E-2</v>
      </c>
      <c r="E1648" s="24">
        <f t="shared" si="51"/>
        <v>-1.3325951797342707E-2</v>
      </c>
    </row>
    <row r="1649" spans="1:5" x14ac:dyDescent="0.35">
      <c r="A1649" s="23">
        <v>43528</v>
      </c>
      <c r="B1649" s="22">
        <v>101.2</v>
      </c>
      <c r="C1649" s="22">
        <v>38022.800000000003</v>
      </c>
      <c r="D1649" s="24">
        <f t="shared" si="50"/>
        <v>1.2862372613041424E-3</v>
      </c>
      <c r="E1649" s="24">
        <f t="shared" si="51"/>
        <v>-3.4782809877886638E-4</v>
      </c>
    </row>
    <row r="1650" spans="1:5" x14ac:dyDescent="0.35">
      <c r="A1650" s="23">
        <v>43500</v>
      </c>
      <c r="B1650" s="22">
        <v>101.07</v>
      </c>
      <c r="C1650" s="22">
        <v>38036.03</v>
      </c>
      <c r="D1650" s="24">
        <f t="shared" si="50"/>
        <v>2.4796667327911131E-3</v>
      </c>
      <c r="E1650" s="24">
        <f t="shared" si="51"/>
        <v>-8.3123777045145449E-3</v>
      </c>
    </row>
    <row r="1651" spans="1:5" x14ac:dyDescent="0.35">
      <c r="A1651" s="23">
        <v>43469</v>
      </c>
      <c r="B1651" s="22">
        <v>100.82</v>
      </c>
      <c r="C1651" s="22">
        <v>38354.85</v>
      </c>
      <c r="D1651" s="24">
        <f t="shared" si="50"/>
        <v>0</v>
      </c>
      <c r="E1651" s="24">
        <f t="shared" si="51"/>
        <v>-7.6195350295761325E-3</v>
      </c>
    </row>
    <row r="1652" spans="1:5" x14ac:dyDescent="0.35">
      <c r="A1652" s="22" t="s">
        <v>1024</v>
      </c>
      <c r="B1652" s="22">
        <v>100.82</v>
      </c>
      <c r="C1652" s="22">
        <v>38649.339999999997</v>
      </c>
      <c r="D1652" s="24">
        <f t="shared" si="50"/>
        <v>-8.8478175383405987E-3</v>
      </c>
      <c r="E1652" s="24">
        <f t="shared" si="51"/>
        <v>2.5001977799364102E-3</v>
      </c>
    </row>
    <row r="1653" spans="1:5" x14ac:dyDescent="0.35">
      <c r="A1653" s="22" t="s">
        <v>1025</v>
      </c>
      <c r="B1653" s="22">
        <v>101.72</v>
      </c>
      <c r="C1653" s="22">
        <v>38552.949999999997</v>
      </c>
      <c r="D1653" s="24">
        <f t="shared" si="50"/>
        <v>2.1798091411351098E-2</v>
      </c>
      <c r="E1653" s="24">
        <f t="shared" si="51"/>
        <v>-1.0575128814287611E-2</v>
      </c>
    </row>
    <row r="1654" spans="1:5" x14ac:dyDescent="0.35">
      <c r="A1654" s="22" t="s">
        <v>1026</v>
      </c>
      <c r="B1654" s="22">
        <v>99.55</v>
      </c>
      <c r="C1654" s="22">
        <v>38965.01</v>
      </c>
      <c r="D1654" s="24">
        <f t="shared" si="50"/>
        <v>4.8667439165700939E-2</v>
      </c>
      <c r="E1654" s="24">
        <f t="shared" si="51"/>
        <v>2.1934943425758954E-2</v>
      </c>
    </row>
    <row r="1655" spans="1:5" x14ac:dyDescent="0.35">
      <c r="A1655" s="22" t="s">
        <v>1027</v>
      </c>
      <c r="B1655" s="22">
        <v>94.93</v>
      </c>
      <c r="C1655" s="22">
        <v>38128.660000000003</v>
      </c>
      <c r="D1655" s="24">
        <f t="shared" si="50"/>
        <v>-1.3714285714285644E-2</v>
      </c>
      <c r="E1655" s="24">
        <f t="shared" si="51"/>
        <v>-1.046432472651857E-2</v>
      </c>
    </row>
    <row r="1656" spans="1:5" x14ac:dyDescent="0.35">
      <c r="A1656" s="22" t="s">
        <v>1028</v>
      </c>
      <c r="B1656" s="22">
        <v>96.25</v>
      </c>
      <c r="C1656" s="22">
        <v>38531.870000000003</v>
      </c>
      <c r="D1656" s="24">
        <f t="shared" si="50"/>
        <v>-2.9737903225806481E-2</v>
      </c>
      <c r="E1656" s="24">
        <f t="shared" si="51"/>
        <v>3.8338182052177414E-3</v>
      </c>
    </row>
    <row r="1657" spans="1:5" x14ac:dyDescent="0.35">
      <c r="A1657" s="22" t="s">
        <v>1029</v>
      </c>
      <c r="B1657" s="22">
        <v>99.2</v>
      </c>
      <c r="C1657" s="22">
        <v>38384.71</v>
      </c>
      <c r="D1657" s="24">
        <f t="shared" si="50"/>
        <v>-5.3143487416023377E-3</v>
      </c>
      <c r="E1657" s="24">
        <f t="shared" si="51"/>
        <v>-4.2298177637300561E-3</v>
      </c>
    </row>
    <row r="1658" spans="1:5" x14ac:dyDescent="0.35">
      <c r="A1658" s="22" t="s">
        <v>1030</v>
      </c>
      <c r="B1658" s="22">
        <v>99.73</v>
      </c>
      <c r="C1658" s="22">
        <v>38547.760000000002</v>
      </c>
      <c r="D1658" s="24">
        <f t="shared" si="50"/>
        <v>-1.4018223690798093E-3</v>
      </c>
      <c r="E1658" s="24">
        <f t="shared" si="51"/>
        <v>-1.6732979612492209E-3</v>
      </c>
    </row>
    <row r="1659" spans="1:5" x14ac:dyDescent="0.35">
      <c r="A1659" s="22" t="s">
        <v>1031</v>
      </c>
      <c r="B1659" s="22">
        <v>99.87</v>
      </c>
      <c r="C1659" s="22">
        <v>38612.370000000003</v>
      </c>
      <c r="D1659" s="24">
        <f t="shared" si="50"/>
        <v>1.4037902336308087E-3</v>
      </c>
      <c r="E1659" s="24">
        <f t="shared" si="51"/>
        <v>-6.1664858520613375E-3</v>
      </c>
    </row>
    <row r="1660" spans="1:5" x14ac:dyDescent="0.35">
      <c r="A1660" s="22" t="s">
        <v>1032</v>
      </c>
      <c r="B1660" s="22">
        <v>99.73</v>
      </c>
      <c r="C1660" s="22">
        <v>38851.949999999997</v>
      </c>
      <c r="D1660" s="24">
        <f t="shared" si="50"/>
        <v>1.0742880308097722E-2</v>
      </c>
      <c r="E1660" s="24">
        <f t="shared" si="51"/>
        <v>1.4227183317909675E-2</v>
      </c>
    </row>
    <row r="1661" spans="1:5" x14ac:dyDescent="0.35">
      <c r="A1661" s="22" t="s">
        <v>1033</v>
      </c>
      <c r="B1661" s="22">
        <v>98.67</v>
      </c>
      <c r="C1661" s="22">
        <v>38306.949999999997</v>
      </c>
      <c r="D1661" s="24">
        <f t="shared" si="50"/>
        <v>-2.9698102074933584E-2</v>
      </c>
      <c r="E1661" s="24">
        <f t="shared" si="51"/>
        <v>-1.597732072266058E-2</v>
      </c>
    </row>
    <row r="1662" spans="1:5" x14ac:dyDescent="0.35">
      <c r="A1662" s="22" t="s">
        <v>1034</v>
      </c>
      <c r="B1662" s="22">
        <v>101.69</v>
      </c>
      <c r="C1662" s="22">
        <v>38928.93</v>
      </c>
      <c r="D1662" s="24">
        <f t="shared" si="50"/>
        <v>8.8293650793650844E-3</v>
      </c>
      <c r="E1662" s="24">
        <f t="shared" si="51"/>
        <v>8.3400841566944289E-4</v>
      </c>
    </row>
    <row r="1663" spans="1:5" x14ac:dyDescent="0.35">
      <c r="A1663" s="23">
        <v>43802</v>
      </c>
      <c r="B1663" s="22">
        <v>100.8</v>
      </c>
      <c r="C1663" s="22">
        <v>38896.49</v>
      </c>
      <c r="D1663" s="24">
        <f t="shared" si="50"/>
        <v>-5.2304352116846059E-3</v>
      </c>
      <c r="E1663" s="24">
        <f t="shared" si="51"/>
        <v>-7.095859096072491E-4</v>
      </c>
    </row>
    <row r="1664" spans="1:5" x14ac:dyDescent="0.35">
      <c r="A1664" s="23">
        <v>43772</v>
      </c>
      <c r="B1664" s="22">
        <v>101.33</v>
      </c>
      <c r="C1664" s="22">
        <v>38924.11</v>
      </c>
      <c r="D1664" s="24">
        <f t="shared" si="50"/>
        <v>8.8610115491835981E-3</v>
      </c>
      <c r="E1664" s="24">
        <f t="shared" si="51"/>
        <v>-6.7059937771876102E-4</v>
      </c>
    </row>
    <row r="1665" spans="1:5" x14ac:dyDescent="0.35">
      <c r="A1665" s="23">
        <v>43680</v>
      </c>
      <c r="B1665" s="22">
        <v>100.44</v>
      </c>
      <c r="C1665" s="22">
        <v>38950.230000000003</v>
      </c>
      <c r="D1665" s="24">
        <f t="shared" si="50"/>
        <v>-1.3843888070692161E-2</v>
      </c>
      <c r="E1665" s="24">
        <f t="shared" si="51"/>
        <v>-8.7511865649040274E-3</v>
      </c>
    </row>
    <row r="1666" spans="1:5" x14ac:dyDescent="0.35">
      <c r="A1666" s="23">
        <v>43649</v>
      </c>
      <c r="B1666" s="22">
        <v>101.85</v>
      </c>
      <c r="C1666" s="22">
        <v>39294.1</v>
      </c>
      <c r="D1666" s="24">
        <f t="shared" si="50"/>
        <v>-4.2763157894736947E-2</v>
      </c>
      <c r="E1666" s="24">
        <f t="shared" si="51"/>
        <v>-6.9247702063025517E-3</v>
      </c>
    </row>
    <row r="1667" spans="1:5" x14ac:dyDescent="0.35">
      <c r="A1667" s="23">
        <v>43619</v>
      </c>
      <c r="B1667" s="22">
        <v>106.4</v>
      </c>
      <c r="C1667" s="22">
        <v>39568.1</v>
      </c>
      <c r="D1667" s="24">
        <f t="shared" si="50"/>
        <v>5.8612214029117463E-3</v>
      </c>
      <c r="E1667" s="24">
        <f t="shared" si="51"/>
        <v>-3.0338755473562368E-3</v>
      </c>
    </row>
    <row r="1668" spans="1:5" x14ac:dyDescent="0.35">
      <c r="A1668" s="23">
        <v>43588</v>
      </c>
      <c r="B1668" s="22">
        <v>105.78</v>
      </c>
      <c r="C1668" s="22">
        <v>39688.51</v>
      </c>
      <c r="D1668" s="24">
        <f t="shared" si="50"/>
        <v>-1.8100807574491812E-2</v>
      </c>
      <c r="E1668" s="24">
        <f t="shared" si="51"/>
        <v>-1.5403874339805978E-3</v>
      </c>
    </row>
    <row r="1669" spans="1:5" x14ac:dyDescent="0.35">
      <c r="A1669" s="23">
        <v>43558</v>
      </c>
      <c r="B1669" s="22">
        <v>107.73</v>
      </c>
      <c r="C1669" s="22">
        <v>39749.74</v>
      </c>
      <c r="D1669" s="24">
        <f t="shared" ref="D1669:D1711" si="52">(B1669-B1670)/B1670</f>
        <v>1.2785559838300266E-2</v>
      </c>
      <c r="E1669" s="24">
        <f t="shared" ref="E1669:E1711" si="53">(C1669-C1670)/C1670</f>
        <v>5.3296731506427683E-3</v>
      </c>
    </row>
    <row r="1670" spans="1:5" x14ac:dyDescent="0.35">
      <c r="A1670" s="23">
        <v>43468</v>
      </c>
      <c r="B1670" s="22">
        <v>106.37</v>
      </c>
      <c r="C1670" s="22">
        <v>39539.01</v>
      </c>
      <c r="D1670" s="24">
        <f t="shared" si="52"/>
        <v>2.5450689289501595E-2</v>
      </c>
      <c r="E1670" s="24">
        <f t="shared" si="53"/>
        <v>1.2403404464518994E-2</v>
      </c>
    </row>
    <row r="1671" spans="1:5" x14ac:dyDescent="0.35">
      <c r="A1671" s="22" t="s">
        <v>1035</v>
      </c>
      <c r="B1671" s="22">
        <v>103.73</v>
      </c>
      <c r="C1671" s="22">
        <v>39054.6</v>
      </c>
      <c r="D1671" s="24">
        <f t="shared" si="52"/>
        <v>2.1065065459198746E-2</v>
      </c>
      <c r="E1671" s="24">
        <f t="shared" si="53"/>
        <v>9.353446348651288E-3</v>
      </c>
    </row>
    <row r="1672" spans="1:5" x14ac:dyDescent="0.35">
      <c r="A1672" s="22" t="s">
        <v>1036</v>
      </c>
      <c r="B1672" s="22">
        <v>101.59</v>
      </c>
      <c r="C1672" s="22">
        <v>38692.69</v>
      </c>
      <c r="D1672" s="24">
        <f t="shared" si="52"/>
        <v>-6.1631774603795294E-3</v>
      </c>
      <c r="E1672" s="24">
        <f t="shared" si="53"/>
        <v>-3.3223712426589565E-3</v>
      </c>
    </row>
    <row r="1673" spans="1:5" x14ac:dyDescent="0.35">
      <c r="A1673" s="22" t="s">
        <v>1037</v>
      </c>
      <c r="B1673" s="22">
        <v>102.22</v>
      </c>
      <c r="C1673" s="22">
        <v>38821.67</v>
      </c>
      <c r="D1673" s="24">
        <f t="shared" si="52"/>
        <v>-2.7864954826438484E-2</v>
      </c>
      <c r="E1673" s="24">
        <f t="shared" si="53"/>
        <v>-1.9822863705945434E-2</v>
      </c>
    </row>
    <row r="1674" spans="1:5" x14ac:dyDescent="0.35">
      <c r="A1674" s="22" t="s">
        <v>1038</v>
      </c>
      <c r="B1674" s="22">
        <v>105.15</v>
      </c>
      <c r="C1674" s="22">
        <v>39606.79</v>
      </c>
      <c r="D1674" s="24">
        <f t="shared" si="52"/>
        <v>-1.5193239008640831E-3</v>
      </c>
      <c r="E1674" s="24">
        <f t="shared" si="53"/>
        <v>-1.0229375004529338E-2</v>
      </c>
    </row>
    <row r="1675" spans="1:5" x14ac:dyDescent="0.35">
      <c r="A1675" s="22" t="s">
        <v>1039</v>
      </c>
      <c r="B1675" s="22">
        <v>105.31</v>
      </c>
      <c r="C1675" s="22">
        <v>40016.129999999997</v>
      </c>
      <c r="D1675" s="24">
        <f t="shared" si="52"/>
        <v>-1.2749601574950777E-2</v>
      </c>
      <c r="E1675" s="24">
        <f t="shared" si="53"/>
        <v>-1.3620921615814081E-3</v>
      </c>
    </row>
    <row r="1676" spans="1:5" x14ac:dyDescent="0.35">
      <c r="A1676" s="22" t="s">
        <v>1040</v>
      </c>
      <c r="B1676" s="22">
        <v>106.67</v>
      </c>
      <c r="C1676" s="22">
        <v>40070.71</v>
      </c>
      <c r="D1676" s="24">
        <f t="shared" si="52"/>
        <v>9.367903103709262E-3</v>
      </c>
      <c r="E1676" s="24">
        <f t="shared" si="53"/>
        <v>-5.1805663344370806E-3</v>
      </c>
    </row>
    <row r="1677" spans="1:5" x14ac:dyDescent="0.35">
      <c r="A1677" s="22" t="s">
        <v>1041</v>
      </c>
      <c r="B1677" s="22">
        <v>105.68</v>
      </c>
      <c r="C1677" s="22">
        <v>40279.379999999997</v>
      </c>
      <c r="D1677" s="24">
        <f t="shared" si="52"/>
        <v>-2.5451862781261443E-2</v>
      </c>
      <c r="E1677" s="24">
        <f t="shared" si="53"/>
        <v>8.0664072716041917E-3</v>
      </c>
    </row>
    <row r="1678" spans="1:5" x14ac:dyDescent="0.35">
      <c r="A1678" s="22" t="s">
        <v>1042</v>
      </c>
      <c r="B1678" s="22">
        <v>108.44</v>
      </c>
      <c r="C1678" s="22">
        <v>39957.07</v>
      </c>
      <c r="D1678" s="24">
        <f t="shared" si="52"/>
        <v>-3.3088235294117595E-3</v>
      </c>
      <c r="E1678" s="24">
        <f t="shared" si="53"/>
        <v>-6.5242033273934606E-3</v>
      </c>
    </row>
    <row r="1679" spans="1:5" x14ac:dyDescent="0.35">
      <c r="A1679" s="22" t="s">
        <v>1043</v>
      </c>
      <c r="B1679" s="22">
        <v>108.8</v>
      </c>
      <c r="C1679" s="22">
        <v>40219.47</v>
      </c>
      <c r="D1679" s="24">
        <f t="shared" si="52"/>
        <v>-2.0613916644162445E-2</v>
      </c>
      <c r="E1679" s="24">
        <f t="shared" si="53"/>
        <v>-6.5997030627610795E-3</v>
      </c>
    </row>
    <row r="1680" spans="1:5" x14ac:dyDescent="0.35">
      <c r="A1680" s="22" t="s">
        <v>1044</v>
      </c>
      <c r="B1680" s="22">
        <v>111.09</v>
      </c>
      <c r="C1680" s="22">
        <v>40486.67</v>
      </c>
      <c r="D1680" s="24">
        <f t="shared" si="52"/>
        <v>-2.2095070422535133E-2</v>
      </c>
      <c r="E1680" s="24">
        <f t="shared" si="53"/>
        <v>-5.0139506820811989E-4</v>
      </c>
    </row>
    <row r="1681" spans="1:5" x14ac:dyDescent="0.35">
      <c r="A1681" s="22" t="s">
        <v>1045</v>
      </c>
      <c r="B1681" s="22">
        <v>113.6</v>
      </c>
      <c r="C1681" s="22">
        <v>40506.980000000003</v>
      </c>
      <c r="D1681" s="24">
        <f t="shared" si="52"/>
        <v>-9.3311240952298549E-3</v>
      </c>
      <c r="E1681" s="24">
        <f t="shared" si="53"/>
        <v>-9.1579270083860223E-4</v>
      </c>
    </row>
    <row r="1682" spans="1:5" x14ac:dyDescent="0.35">
      <c r="A1682" s="22" t="s">
        <v>1046</v>
      </c>
      <c r="B1682" s="22">
        <v>114.67</v>
      </c>
      <c r="C1682" s="22">
        <v>40544.11</v>
      </c>
      <c r="D1682" s="24">
        <f t="shared" si="52"/>
        <v>7.7335442481764249E-3</v>
      </c>
      <c r="E1682" s="24">
        <f t="shared" si="53"/>
        <v>-1.2850931169062351E-3</v>
      </c>
    </row>
    <row r="1683" spans="1:5" x14ac:dyDescent="0.35">
      <c r="A1683" s="23">
        <v>43801</v>
      </c>
      <c r="B1683" s="22">
        <v>113.79</v>
      </c>
      <c r="C1683" s="22">
        <v>40596.28</v>
      </c>
      <c r="D1683" s="24">
        <f t="shared" si="52"/>
        <v>1.5982142857142913E-2</v>
      </c>
      <c r="E1683" s="24">
        <f t="shared" si="53"/>
        <v>6.6891448383979485E-3</v>
      </c>
    </row>
    <row r="1684" spans="1:5" x14ac:dyDescent="0.35">
      <c r="A1684" s="23">
        <v>43771</v>
      </c>
      <c r="B1684" s="22">
        <v>112</v>
      </c>
      <c r="C1684" s="22">
        <v>40326.53</v>
      </c>
      <c r="D1684" s="24">
        <f t="shared" si="52"/>
        <v>-1.8662928239726588E-2</v>
      </c>
      <c r="E1684" s="24">
        <f t="shared" si="53"/>
        <v>-1.3716222743709233E-2</v>
      </c>
    </row>
    <row r="1685" spans="1:5" x14ac:dyDescent="0.35">
      <c r="A1685" s="23">
        <v>43679</v>
      </c>
      <c r="B1685" s="22">
        <v>114.13</v>
      </c>
      <c r="C1685" s="22">
        <v>40887.35</v>
      </c>
      <c r="D1685" s="24">
        <f t="shared" si="52"/>
        <v>-1.1775911334314654E-2</v>
      </c>
      <c r="E1685" s="24">
        <f t="shared" si="53"/>
        <v>-1.0775958531672861E-2</v>
      </c>
    </row>
    <row r="1686" spans="1:5" x14ac:dyDescent="0.35">
      <c r="A1686" s="23">
        <v>43648</v>
      </c>
      <c r="B1686" s="22">
        <v>115.49</v>
      </c>
      <c r="C1686" s="22">
        <v>41332.75</v>
      </c>
      <c r="D1686" s="24">
        <f t="shared" si="52"/>
        <v>5.9228290218621424E-3</v>
      </c>
      <c r="E1686" s="24">
        <f t="shared" si="53"/>
        <v>-4.1664177047575244E-3</v>
      </c>
    </row>
    <row r="1687" spans="1:5" x14ac:dyDescent="0.35">
      <c r="A1687" s="23">
        <v>43618</v>
      </c>
      <c r="B1687" s="22">
        <v>114.81</v>
      </c>
      <c r="C1687" s="22">
        <v>41505.68</v>
      </c>
      <c r="D1687" s="24">
        <f t="shared" si="52"/>
        <v>2.0987105380168958E-2</v>
      </c>
      <c r="E1687" s="24">
        <f t="shared" si="53"/>
        <v>-2.6123175180508265E-3</v>
      </c>
    </row>
    <row r="1688" spans="1:5" x14ac:dyDescent="0.35">
      <c r="A1688" s="23">
        <v>43557</v>
      </c>
      <c r="B1688" s="22">
        <v>112.45</v>
      </c>
      <c r="C1688" s="22">
        <v>41614.39</v>
      </c>
      <c r="D1688" s="24">
        <f t="shared" si="52"/>
        <v>3.122212310437186E-3</v>
      </c>
      <c r="E1688" s="24">
        <f t="shared" si="53"/>
        <v>1.2202552446676474E-2</v>
      </c>
    </row>
    <row r="1689" spans="1:5" x14ac:dyDescent="0.35">
      <c r="A1689" s="23">
        <v>43467</v>
      </c>
      <c r="B1689" s="22">
        <v>112.1</v>
      </c>
      <c r="C1689" s="22">
        <v>41112.71</v>
      </c>
      <c r="D1689" s="24">
        <f t="shared" si="52"/>
        <v>3.6235903124422139E-2</v>
      </c>
      <c r="E1689" s="24">
        <f t="shared" si="53"/>
        <v>7.6763157997937811E-3</v>
      </c>
    </row>
    <row r="1690" spans="1:5" x14ac:dyDescent="0.35">
      <c r="A1690" s="22" t="s">
        <v>1047</v>
      </c>
      <c r="B1690" s="22">
        <v>108.18</v>
      </c>
      <c r="C1690" s="22">
        <v>40799.519999999997</v>
      </c>
      <c r="D1690" s="24">
        <f t="shared" si="52"/>
        <v>0</v>
      </c>
      <c r="E1690" s="24">
        <f t="shared" si="53"/>
        <v>4.7380853406987292E-3</v>
      </c>
    </row>
    <row r="1691" spans="1:5" x14ac:dyDescent="0.35">
      <c r="A1691" s="22" t="s">
        <v>1048</v>
      </c>
      <c r="B1691" s="22">
        <v>108.18</v>
      </c>
      <c r="C1691" s="22">
        <v>40607.120000000003</v>
      </c>
      <c r="D1691" s="24">
        <f t="shared" si="52"/>
        <v>1.282651437131359E-2</v>
      </c>
      <c r="E1691" s="24">
        <f t="shared" si="53"/>
        <v>-4.2511407555896342E-4</v>
      </c>
    </row>
    <row r="1692" spans="1:5" x14ac:dyDescent="0.35">
      <c r="A1692" s="22" t="s">
        <v>1049</v>
      </c>
      <c r="B1692" s="22">
        <v>106.81</v>
      </c>
      <c r="C1692" s="22">
        <v>40624.39</v>
      </c>
      <c r="D1692" s="24">
        <f t="shared" si="52"/>
        <v>-1.3484806502262804E-2</v>
      </c>
      <c r="E1692" s="24">
        <f t="shared" si="53"/>
        <v>5.0544172464732987E-3</v>
      </c>
    </row>
    <row r="1693" spans="1:5" x14ac:dyDescent="0.35">
      <c r="A1693" s="22" t="s">
        <v>1050</v>
      </c>
      <c r="B1693" s="22">
        <v>108.27</v>
      </c>
      <c r="C1693" s="22">
        <v>40420.089999999997</v>
      </c>
      <c r="D1693" s="24">
        <f t="shared" si="52"/>
        <v>-4.0474657345230224E-3</v>
      </c>
      <c r="E1693" s="24">
        <f t="shared" si="53"/>
        <v>3.8572171510684442E-3</v>
      </c>
    </row>
    <row r="1694" spans="1:5" x14ac:dyDescent="0.35">
      <c r="A1694" s="22" t="s">
        <v>1051</v>
      </c>
      <c r="B1694" s="22">
        <v>108.71</v>
      </c>
      <c r="C1694" s="22">
        <v>40264.78</v>
      </c>
      <c r="D1694" s="24">
        <f t="shared" si="52"/>
        <v>-5.6709046007500643E-3</v>
      </c>
      <c r="E1694" s="24">
        <f t="shared" si="53"/>
        <v>-6.0512554741783283E-4</v>
      </c>
    </row>
    <row r="1695" spans="1:5" x14ac:dyDescent="0.35">
      <c r="A1695" s="22" t="s">
        <v>1052</v>
      </c>
      <c r="B1695" s="22">
        <v>109.33</v>
      </c>
      <c r="C1695" s="22">
        <v>40289.160000000003</v>
      </c>
      <c r="D1695" s="24">
        <f t="shared" si="52"/>
        <v>2.4936720727477234E-2</v>
      </c>
      <c r="E1695" s="24">
        <f t="shared" si="53"/>
        <v>5.7743987757706656E-3</v>
      </c>
    </row>
    <row r="1696" spans="1:5" x14ac:dyDescent="0.35">
      <c r="A1696" s="22" t="s">
        <v>1053</v>
      </c>
      <c r="B1696" s="22">
        <v>106.67</v>
      </c>
      <c r="C1696" s="22">
        <v>40057.85</v>
      </c>
      <c r="D1696" s="24">
        <f t="shared" si="52"/>
        <v>1.522794327591138E-2</v>
      </c>
      <c r="E1696" s="24">
        <f t="shared" si="53"/>
        <v>3.9005358349825593E-3</v>
      </c>
    </row>
    <row r="1697" spans="1:5" x14ac:dyDescent="0.35">
      <c r="A1697" s="22" t="s">
        <v>1054</v>
      </c>
      <c r="B1697" s="22">
        <v>105.07</v>
      </c>
      <c r="C1697" s="22">
        <v>39902.21</v>
      </c>
      <c r="D1697" s="24">
        <f t="shared" si="52"/>
        <v>1.3993437560316431E-2</v>
      </c>
      <c r="E1697" s="24">
        <f t="shared" si="53"/>
        <v>9.0643861220111883E-3</v>
      </c>
    </row>
    <row r="1698" spans="1:5" x14ac:dyDescent="0.35">
      <c r="A1698" s="22" t="s">
        <v>1055</v>
      </c>
      <c r="B1698" s="22">
        <v>103.62</v>
      </c>
      <c r="C1698" s="22">
        <v>39543.769999999997</v>
      </c>
      <c r="D1698" s="24">
        <f t="shared" si="52"/>
        <v>1.4496955639316292E-3</v>
      </c>
      <c r="E1698" s="24">
        <f t="shared" si="53"/>
        <v>6.0364061923599607E-3</v>
      </c>
    </row>
    <row r="1699" spans="1:5" x14ac:dyDescent="0.35">
      <c r="A1699" s="22" t="s">
        <v>1056</v>
      </c>
      <c r="B1699" s="22">
        <v>103.47</v>
      </c>
      <c r="C1699" s="22">
        <v>39306.5</v>
      </c>
      <c r="D1699" s="24">
        <f t="shared" si="52"/>
        <v>1.3120532654460035E-2</v>
      </c>
      <c r="E1699" s="24">
        <f t="shared" si="53"/>
        <v>1.5954075908377224E-3</v>
      </c>
    </row>
    <row r="1700" spans="1:5" x14ac:dyDescent="0.35">
      <c r="A1700" s="22" t="s">
        <v>1057</v>
      </c>
      <c r="B1700" s="22">
        <v>102.13</v>
      </c>
      <c r="C1700" s="22">
        <v>39243.89</v>
      </c>
      <c r="D1700" s="24">
        <f t="shared" si="52"/>
        <v>-1.0368217054263638E-2</v>
      </c>
      <c r="E1700" s="24">
        <f t="shared" si="53"/>
        <v>-7.1425042918691847E-4</v>
      </c>
    </row>
    <row r="1701" spans="1:5" x14ac:dyDescent="0.35">
      <c r="A1701" s="22" t="s">
        <v>1058</v>
      </c>
      <c r="B1701" s="22">
        <v>103.2</v>
      </c>
      <c r="C1701" s="22">
        <v>39271.94</v>
      </c>
      <c r="D1701" s="24">
        <f t="shared" si="52"/>
        <v>7.7140904208573991E-3</v>
      </c>
      <c r="E1701" s="24">
        <f t="shared" si="53"/>
        <v>-8.6390804098633381E-3</v>
      </c>
    </row>
    <row r="1702" spans="1:5" x14ac:dyDescent="0.35">
      <c r="A1702" s="22" t="s">
        <v>1059</v>
      </c>
      <c r="B1702" s="22">
        <v>102.41</v>
      </c>
      <c r="C1702" s="22">
        <v>39614.17</v>
      </c>
      <c r="D1702" s="24">
        <f t="shared" si="52"/>
        <v>1.3258137924210978E-2</v>
      </c>
      <c r="E1702" s="24">
        <f t="shared" si="53"/>
        <v>5.1156294124586037E-3</v>
      </c>
    </row>
    <row r="1703" spans="1:5" x14ac:dyDescent="0.35">
      <c r="A1703" s="22" t="s">
        <v>1060</v>
      </c>
      <c r="B1703" s="22">
        <v>101.07</v>
      </c>
      <c r="C1703" s="22">
        <v>39412.550000000003</v>
      </c>
      <c r="D1703" s="24">
        <f t="shared" si="52"/>
        <v>-2.5658738774302294E-3</v>
      </c>
      <c r="E1703" s="24">
        <f t="shared" si="53"/>
        <v>9.3080297922512167E-3</v>
      </c>
    </row>
    <row r="1704" spans="1:5" x14ac:dyDescent="0.35">
      <c r="A1704" s="23">
        <v>43770</v>
      </c>
      <c r="B1704" s="22">
        <v>101.33</v>
      </c>
      <c r="C1704" s="22">
        <v>39049.08</v>
      </c>
      <c r="D1704" s="24">
        <f t="shared" si="52"/>
        <v>2.4363121714516746E-2</v>
      </c>
      <c r="E1704" s="24">
        <f t="shared" si="53"/>
        <v>-1.0539704499429804E-3</v>
      </c>
    </row>
    <row r="1705" spans="1:5" x14ac:dyDescent="0.35">
      <c r="A1705" s="23">
        <v>43739</v>
      </c>
      <c r="B1705" s="22">
        <v>98.92</v>
      </c>
      <c r="C1705" s="22">
        <v>39090.28</v>
      </c>
      <c r="D1705" s="24">
        <f t="shared" si="52"/>
        <v>-2.3783677094641239E-2</v>
      </c>
      <c r="E1705" s="24">
        <f t="shared" si="53"/>
        <v>4.3315179787927118E-3</v>
      </c>
    </row>
    <row r="1706" spans="1:5" x14ac:dyDescent="0.35">
      <c r="A1706" s="23">
        <v>43709</v>
      </c>
      <c r="B1706" s="22">
        <v>101.33</v>
      </c>
      <c r="C1706" s="22">
        <v>38921.69</v>
      </c>
      <c r="D1706" s="24">
        <f t="shared" si="52"/>
        <v>0</v>
      </c>
      <c r="E1706" s="24">
        <f t="shared" si="53"/>
        <v>-3.3495934959348996E-3</v>
      </c>
    </row>
    <row r="1707" spans="1:5" x14ac:dyDescent="0.35">
      <c r="A1707" s="23">
        <v>43678</v>
      </c>
      <c r="B1707" s="22">
        <v>101.33</v>
      </c>
      <c r="C1707" s="22">
        <v>39052.5</v>
      </c>
      <c r="D1707" s="24">
        <f t="shared" si="52"/>
        <v>1.1856535915423826E-3</v>
      </c>
      <c r="E1707" s="24">
        <f t="shared" si="53"/>
        <v>1.2709271207186236E-2</v>
      </c>
    </row>
    <row r="1708" spans="1:5" x14ac:dyDescent="0.35">
      <c r="A1708" s="23">
        <v>43647</v>
      </c>
      <c r="B1708" s="22">
        <v>101.21</v>
      </c>
      <c r="C1708" s="22">
        <v>38562.400000000001</v>
      </c>
      <c r="D1708" s="24">
        <f t="shared" si="52"/>
        <v>-2.5984024636704867E-2</v>
      </c>
      <c r="E1708" s="24">
        <f t="shared" si="53"/>
        <v>2.7030035829292545E-2</v>
      </c>
    </row>
    <row r="1709" spans="1:5" x14ac:dyDescent="0.35">
      <c r="A1709" s="23">
        <v>43556</v>
      </c>
      <c r="B1709" s="22">
        <v>103.91</v>
      </c>
      <c r="C1709" s="22">
        <v>37547.49</v>
      </c>
      <c r="D1709" s="24">
        <f t="shared" si="52"/>
        <v>0</v>
      </c>
      <c r="E1709" s="24">
        <f t="shared" si="53"/>
        <v>1.4596980822273301E-4</v>
      </c>
    </row>
    <row r="1710" spans="1:5" x14ac:dyDescent="0.35">
      <c r="A1710" s="23">
        <v>43525</v>
      </c>
      <c r="B1710" s="22">
        <v>103.91</v>
      </c>
      <c r="C1710" s="22">
        <v>37542.01</v>
      </c>
      <c r="D1710" s="24">
        <f t="shared" si="52"/>
        <v>0</v>
      </c>
      <c r="E1710" s="24">
        <f t="shared" si="53"/>
        <v>-6.700312870003452E-3</v>
      </c>
    </row>
    <row r="1711" spans="1:5" x14ac:dyDescent="0.35">
      <c r="A1711" s="23">
        <v>43497</v>
      </c>
      <c r="B1711" s="22">
        <v>103.91</v>
      </c>
      <c r="C1711" s="22">
        <v>37795.25</v>
      </c>
      <c r="D1711" s="24">
        <f t="shared" si="52"/>
        <v>-3.4525750455548041E-3</v>
      </c>
      <c r="E1711" s="24">
        <f t="shared" si="53"/>
        <v>-5.277167768193136E-3</v>
      </c>
    </row>
    <row r="1712" spans="1:5" x14ac:dyDescent="0.35">
      <c r="A1712" s="23">
        <v>43466</v>
      </c>
      <c r="B1712" s="22">
        <v>104.27</v>
      </c>
      <c r="C1712" s="22">
        <v>37995.760000000002</v>
      </c>
      <c r="D1712" s="24">
        <v>0</v>
      </c>
      <c r="E1712" s="24">
        <v>0</v>
      </c>
    </row>
    <row r="1713" spans="1:5" x14ac:dyDescent="0.35">
      <c r="A1713" s="3"/>
      <c r="B1713" s="3"/>
      <c r="C1713" s="3"/>
      <c r="D1713" s="3"/>
      <c r="E1713" s="3"/>
    </row>
    <row r="1714" spans="1:5" x14ac:dyDescent="0.35">
      <c r="A1714" s="85" t="s">
        <v>10</v>
      </c>
      <c r="B1714" s="85"/>
      <c r="C1714" s="85"/>
      <c r="D1714" s="85"/>
      <c r="E1714" s="85"/>
    </row>
    <row r="1715" spans="1:5" x14ac:dyDescent="0.35">
      <c r="A1715" s="53" t="s">
        <v>1</v>
      </c>
      <c r="B1715" s="85" t="s">
        <v>19</v>
      </c>
      <c r="C1715" s="85"/>
      <c r="D1715" s="85" t="s">
        <v>2</v>
      </c>
      <c r="E1715" s="85"/>
    </row>
    <row r="1716" spans="1:5" ht="16.75" customHeight="1" x14ac:dyDescent="0.35">
      <c r="A1716" s="56" t="s">
        <v>15</v>
      </c>
      <c r="B1716" s="90">
        <f>AVERAGE(D4:D1712)</f>
        <v>1.0107780888717827E-3</v>
      </c>
      <c r="C1716" s="90"/>
      <c r="D1716" s="90">
        <f>AVERAGE(E4:E1712)</f>
        <v>9.6155321242118261E-4</v>
      </c>
      <c r="E1716" s="90"/>
    </row>
    <row r="1717" spans="1:5" ht="15.65" customHeight="1" x14ac:dyDescent="0.35">
      <c r="A1717" s="56" t="s">
        <v>16</v>
      </c>
      <c r="B1717" s="90">
        <f>_xlfn.STDEV.S(D4:D1712)</f>
        <v>2.1505859402914596E-2</v>
      </c>
      <c r="C1717" s="90"/>
      <c r="D1717" s="90">
        <f>_xlfn.STDEV.S(E4:E1712)</f>
        <v>1.1887412150429951E-2</v>
      </c>
      <c r="E1717" s="90"/>
    </row>
    <row r="1718" spans="1:5" ht="15.65" customHeight="1" x14ac:dyDescent="0.35">
      <c r="A1718" s="56" t="s">
        <v>17</v>
      </c>
      <c r="B1718" s="91">
        <f>B1717/B1716</f>
        <v>21.276538974958545</v>
      </c>
      <c r="C1718" s="91"/>
      <c r="D1718" s="91">
        <f>D1717/D1716</f>
        <v>12.362718980988635</v>
      </c>
      <c r="E1718" s="91"/>
    </row>
    <row r="1719" spans="1:5" x14ac:dyDescent="0.35">
      <c r="A1719" s="56"/>
      <c r="B1719" s="56"/>
      <c r="C1719" s="56"/>
      <c r="D1719" s="56"/>
      <c r="E1719" s="55"/>
    </row>
    <row r="1720" spans="1:5" x14ac:dyDescent="0.35">
      <c r="A1720" s="56" t="s">
        <v>11</v>
      </c>
      <c r="B1720" s="56">
        <f>SLOPE(D4:D1712,E4:E1712)</f>
        <v>0.68599054726402375</v>
      </c>
      <c r="C1720" s="55"/>
      <c r="D1720" s="56"/>
      <c r="E1720" s="55"/>
    </row>
  </sheetData>
  <mergeCells count="10">
    <mergeCell ref="D1716:E1716"/>
    <mergeCell ref="D1717:E1717"/>
    <mergeCell ref="D1718:E1718"/>
    <mergeCell ref="B1715:C1715"/>
    <mergeCell ref="A1:E1"/>
    <mergeCell ref="A1714:E1714"/>
    <mergeCell ref="B1716:C1716"/>
    <mergeCell ref="B1717:C1717"/>
    <mergeCell ref="B1718:C1718"/>
    <mergeCell ref="D1715:E1715"/>
  </mergeCells>
  <conditionalFormatting sqref="A4:E1712">
    <cfRule type="expression" dxfId="10" priority="1">
      <formula>MOD(ROW(),2)=0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69"/>
  <sheetViews>
    <sheetView topLeftCell="A1494" zoomScale="70" zoomScaleNormal="70" workbookViewId="0">
      <selection activeCell="C1469" sqref="C1469"/>
    </sheetView>
  </sheetViews>
  <sheetFormatPr defaultColWidth="8.90625" defaultRowHeight="14.5" x14ac:dyDescent="0.35"/>
  <cols>
    <col min="1" max="1" width="23.6328125" customWidth="1"/>
    <col min="2" max="2" width="23.08984375" customWidth="1"/>
    <col min="3" max="3" width="23.54296875" customWidth="1"/>
    <col min="4" max="4" width="23.453125" customWidth="1"/>
    <col min="5" max="5" width="23.90625" customWidth="1"/>
  </cols>
  <sheetData>
    <row r="1" spans="1:5" ht="18.649999999999999" customHeight="1" x14ac:dyDescent="0.35">
      <c r="A1" s="95" t="s">
        <v>1062</v>
      </c>
      <c r="B1" s="95"/>
      <c r="C1" s="95"/>
      <c r="D1" s="95"/>
      <c r="E1" s="95"/>
    </row>
    <row r="2" spans="1:5" ht="24" customHeight="1" x14ac:dyDescent="0.35">
      <c r="A2" s="96"/>
      <c r="B2" s="96"/>
      <c r="C2" s="96"/>
      <c r="D2" s="96"/>
      <c r="E2" s="96"/>
    </row>
    <row r="3" spans="1:5" ht="19.25" customHeight="1" x14ac:dyDescent="0.35">
      <c r="A3" s="25" t="s">
        <v>0</v>
      </c>
      <c r="B3" s="25" t="s">
        <v>3</v>
      </c>
      <c r="C3" s="25" t="s">
        <v>4</v>
      </c>
      <c r="D3" s="25" t="s">
        <v>5</v>
      </c>
      <c r="E3" s="25" t="s">
        <v>6</v>
      </c>
    </row>
    <row r="4" spans="1:5" x14ac:dyDescent="0.35">
      <c r="A4" s="27">
        <v>46022</v>
      </c>
      <c r="B4" s="28">
        <v>7952.6</v>
      </c>
      <c r="C4" s="29">
        <v>174054.31</v>
      </c>
      <c r="D4" s="30">
        <f>(B4-B5)/B5</f>
        <v>5.0323327378406254E-4</v>
      </c>
      <c r="E4" s="30">
        <f>(C4-C5)/C5</f>
        <v>-2.3985973744904119E-3</v>
      </c>
    </row>
    <row r="5" spans="1:5" x14ac:dyDescent="0.35">
      <c r="A5" s="27">
        <v>46021</v>
      </c>
      <c r="B5" s="28">
        <v>7948.6</v>
      </c>
      <c r="C5" s="29">
        <v>174472.8</v>
      </c>
      <c r="D5" s="30">
        <f t="shared" ref="D5:D68" si="0">(B5-B6)/B6</f>
        <v>-2.5474030292762205E-3</v>
      </c>
      <c r="E5" s="30">
        <f t="shared" ref="E5:E68" si="1">(C5-C6)/C6</f>
        <v>3.3149633856583288E-3</v>
      </c>
    </row>
    <row r="6" spans="1:5" x14ac:dyDescent="0.35">
      <c r="A6" s="27">
        <v>46020</v>
      </c>
      <c r="B6" s="28">
        <v>7968.9</v>
      </c>
      <c r="C6" s="29">
        <v>173896.34</v>
      </c>
      <c r="D6" s="30">
        <f t="shared" si="0"/>
        <v>-4.6464570764792757E-3</v>
      </c>
      <c r="E6" s="30">
        <f t="shared" si="1"/>
        <v>8.6751952848458692E-3</v>
      </c>
    </row>
    <row r="7" spans="1:5" x14ac:dyDescent="0.35">
      <c r="A7" s="27">
        <v>46017</v>
      </c>
      <c r="B7" s="28">
        <v>8006.1</v>
      </c>
      <c r="C7" s="29">
        <v>172400.73</v>
      </c>
      <c r="D7" s="30">
        <f t="shared" si="0"/>
        <v>-5.4927907121897956E-4</v>
      </c>
      <c r="E7" s="30">
        <f t="shared" si="1"/>
        <v>9.1933968123439121E-3</v>
      </c>
    </row>
    <row r="8" spans="1:5" x14ac:dyDescent="0.35">
      <c r="A8" s="27">
        <v>46015</v>
      </c>
      <c r="B8" s="28">
        <v>8010.5</v>
      </c>
      <c r="C8" s="29">
        <v>170830.22</v>
      </c>
      <c r="D8" s="30">
        <f t="shared" si="0"/>
        <v>6.8707058088694566E-4</v>
      </c>
      <c r="E8" s="30">
        <f t="shared" si="1"/>
        <v>-1.4234213517178196E-3</v>
      </c>
    </row>
    <row r="9" spans="1:5" x14ac:dyDescent="0.35">
      <c r="A9" s="27">
        <v>46014</v>
      </c>
      <c r="B9" s="28">
        <v>8005</v>
      </c>
      <c r="C9" s="29">
        <v>171073.73</v>
      </c>
      <c r="D9" s="30">
        <f t="shared" si="0"/>
        <v>8.8773302992039963E-4</v>
      </c>
      <c r="E9" s="30">
        <f t="shared" si="1"/>
        <v>-7.6201406052031704E-4</v>
      </c>
    </row>
    <row r="10" spans="1:5" x14ac:dyDescent="0.35">
      <c r="A10" s="27">
        <v>46013</v>
      </c>
      <c r="B10" s="28">
        <v>7997.9</v>
      </c>
      <c r="C10" s="29">
        <v>171204.19</v>
      </c>
      <c r="D10" s="30">
        <f t="shared" si="0"/>
        <v>1.8915668687677824E-3</v>
      </c>
      <c r="E10" s="30">
        <f t="shared" si="1"/>
        <v>-1.1685225497023656E-3</v>
      </c>
    </row>
    <row r="11" spans="1:5" x14ac:dyDescent="0.35">
      <c r="A11" s="27">
        <v>46010</v>
      </c>
      <c r="B11" s="28">
        <v>7982.8</v>
      </c>
      <c r="C11" s="29">
        <v>171404.48</v>
      </c>
      <c r="D11" s="30">
        <f t="shared" si="0"/>
        <v>-2.7551659361300165E-4</v>
      </c>
      <c r="E11" s="30">
        <f t="shared" si="1"/>
        <v>-3.2343444134256814E-3</v>
      </c>
    </row>
    <row r="12" spans="1:5" x14ac:dyDescent="0.35">
      <c r="A12" s="27">
        <v>46009</v>
      </c>
      <c r="B12" s="28">
        <v>7985</v>
      </c>
      <c r="C12" s="29">
        <v>171960.66</v>
      </c>
      <c r="D12" s="30">
        <f t="shared" si="0"/>
        <v>-1.8749999999999999E-3</v>
      </c>
      <c r="E12" s="30">
        <f t="shared" si="1"/>
        <v>9.6692071919456096E-3</v>
      </c>
    </row>
    <row r="13" spans="1:5" x14ac:dyDescent="0.35">
      <c r="A13" s="27">
        <v>46008</v>
      </c>
      <c r="B13" s="28">
        <v>8000</v>
      </c>
      <c r="C13" s="29">
        <v>170313.86</v>
      </c>
      <c r="D13" s="30">
        <f t="shared" si="0"/>
        <v>6.1627468242988299E-3</v>
      </c>
      <c r="E13" s="30">
        <f t="shared" si="1"/>
        <v>-7.8288127767352331E-4</v>
      </c>
    </row>
    <row r="14" spans="1:5" x14ac:dyDescent="0.35">
      <c r="A14" s="27">
        <v>46007</v>
      </c>
      <c r="B14" s="28">
        <v>7951</v>
      </c>
      <c r="C14" s="29">
        <v>170447.3</v>
      </c>
      <c r="D14" s="30">
        <f t="shared" si="0"/>
        <v>-6.2616390246341578E-3</v>
      </c>
      <c r="E14" s="30">
        <f t="shared" si="1"/>
        <v>-1.7221371227378686E-3</v>
      </c>
    </row>
    <row r="15" spans="1:5" x14ac:dyDescent="0.35">
      <c r="A15" s="27">
        <v>46006</v>
      </c>
      <c r="B15" s="28">
        <v>8001.1</v>
      </c>
      <c r="C15" s="29">
        <v>170741.34</v>
      </c>
      <c r="D15" s="30">
        <f t="shared" si="0"/>
        <v>1.3750000000004546E-4</v>
      </c>
      <c r="E15" s="30">
        <f t="shared" si="1"/>
        <v>5.1618192450183552E-3</v>
      </c>
    </row>
    <row r="16" spans="1:5" x14ac:dyDescent="0.35">
      <c r="A16" s="27">
        <v>46003</v>
      </c>
      <c r="B16" s="28">
        <v>8000</v>
      </c>
      <c r="C16" s="29">
        <v>169864.53</v>
      </c>
      <c r="D16" s="30">
        <f t="shared" si="0"/>
        <v>0</v>
      </c>
      <c r="E16" s="30">
        <f t="shared" si="1"/>
        <v>7.6514451843274723E-3</v>
      </c>
    </row>
    <row r="17" spans="1:5" x14ac:dyDescent="0.35">
      <c r="A17" s="27">
        <v>46002</v>
      </c>
      <c r="B17" s="28">
        <v>8000</v>
      </c>
      <c r="C17" s="29">
        <v>168574.69</v>
      </c>
      <c r="D17" s="30">
        <f t="shared" si="0"/>
        <v>-5.4080934916392121E-3</v>
      </c>
      <c r="E17" s="30">
        <f t="shared" si="1"/>
        <v>-5.1765144389679984E-3</v>
      </c>
    </row>
    <row r="18" spans="1:5" x14ac:dyDescent="0.35">
      <c r="A18" s="27">
        <v>46001</v>
      </c>
      <c r="B18" s="28">
        <v>8043.5</v>
      </c>
      <c r="C18" s="29">
        <v>169451.86</v>
      </c>
      <c r="D18" s="30">
        <f t="shared" si="0"/>
        <v>1.2073987403221163E-3</v>
      </c>
      <c r="E18" s="30">
        <f t="shared" si="1"/>
        <v>-2.6732541629312057E-5</v>
      </c>
    </row>
    <row r="19" spans="1:5" x14ac:dyDescent="0.35">
      <c r="A19" s="27">
        <v>46000</v>
      </c>
      <c r="B19" s="28">
        <v>8033.8</v>
      </c>
      <c r="C19" s="29">
        <v>169456.39</v>
      </c>
      <c r="D19" s="30">
        <f t="shared" si="0"/>
        <v>3.5977514053716656E-3</v>
      </c>
      <c r="E19" s="30">
        <f t="shared" si="1"/>
        <v>6.8515610958196829E-3</v>
      </c>
    </row>
    <row r="20" spans="1:5" x14ac:dyDescent="0.35">
      <c r="A20" s="27">
        <v>45999</v>
      </c>
      <c r="B20" s="28">
        <v>8005</v>
      </c>
      <c r="C20" s="29">
        <v>168303.25</v>
      </c>
      <c r="D20" s="30">
        <f t="shared" si="0"/>
        <v>-3.1505672266291646E-3</v>
      </c>
      <c r="E20" s="30">
        <f t="shared" si="1"/>
        <v>7.2877025055065369E-3</v>
      </c>
    </row>
    <row r="21" spans="1:5" x14ac:dyDescent="0.35">
      <c r="A21" s="27">
        <v>45996</v>
      </c>
      <c r="B21" s="28">
        <v>8030.3</v>
      </c>
      <c r="C21" s="29">
        <v>167085.57999999999</v>
      </c>
      <c r="D21" s="30">
        <f t="shared" si="0"/>
        <v>9.4276771460535744E-3</v>
      </c>
      <c r="E21" s="30">
        <f t="shared" si="1"/>
        <v>4.8232672444147298E-3</v>
      </c>
    </row>
    <row r="22" spans="1:5" x14ac:dyDescent="0.35">
      <c r="A22" s="27">
        <v>45995</v>
      </c>
      <c r="B22" s="28">
        <v>7955.3</v>
      </c>
      <c r="C22" s="29">
        <v>166283.54999999999</v>
      </c>
      <c r="D22" s="30">
        <f t="shared" si="0"/>
        <v>-5.7366395040743439E-3</v>
      </c>
      <c r="E22" s="30">
        <f t="shared" si="1"/>
        <v>8.3186203115893508E-4</v>
      </c>
    </row>
    <row r="23" spans="1:5" x14ac:dyDescent="0.35">
      <c r="A23" s="27">
        <v>45994</v>
      </c>
      <c r="B23" s="28">
        <v>8001.2</v>
      </c>
      <c r="C23" s="29">
        <v>166145.34</v>
      </c>
      <c r="D23" s="30">
        <f t="shared" si="0"/>
        <v>-6.1203332459006826E-4</v>
      </c>
      <c r="E23" s="30">
        <f t="shared" si="1"/>
        <v>-8.9293703235246054E-3</v>
      </c>
    </row>
    <row r="24" spans="1:5" x14ac:dyDescent="0.35">
      <c r="A24" s="27">
        <v>45993</v>
      </c>
      <c r="B24" s="28">
        <v>8006.1</v>
      </c>
      <c r="C24" s="29">
        <v>167642.28</v>
      </c>
      <c r="D24" s="30">
        <f t="shared" si="0"/>
        <v>7.2497281351951569E-4</v>
      </c>
      <c r="E24" s="30">
        <f t="shared" si="1"/>
        <v>-2.4985393799759688E-3</v>
      </c>
    </row>
    <row r="25" spans="1:5" x14ac:dyDescent="0.35">
      <c r="A25" s="27">
        <v>45992</v>
      </c>
      <c r="B25" s="28">
        <v>8000.3</v>
      </c>
      <c r="C25" s="29">
        <v>168062.19</v>
      </c>
      <c r="D25" s="30">
        <f t="shared" si="0"/>
        <v>1.0000625039067215E-4</v>
      </c>
      <c r="E25" s="30">
        <f t="shared" si="1"/>
        <v>8.3063901169741997E-3</v>
      </c>
    </row>
    <row r="26" spans="1:5" x14ac:dyDescent="0.35">
      <c r="A26" s="27">
        <v>45989</v>
      </c>
      <c r="B26" s="28">
        <v>7999.5</v>
      </c>
      <c r="C26" s="29">
        <v>166677.70000000001</v>
      </c>
      <c r="D26" s="30">
        <f t="shared" si="0"/>
        <v>6.8976802144826337E-3</v>
      </c>
      <c r="E26" s="30">
        <f t="shared" si="1"/>
        <v>7.8875484804652816E-3</v>
      </c>
    </row>
    <row r="27" spans="1:5" x14ac:dyDescent="0.35">
      <c r="A27" s="27">
        <v>45988</v>
      </c>
      <c r="B27" s="28">
        <v>7944.7</v>
      </c>
      <c r="C27" s="29">
        <v>165373.31</v>
      </c>
      <c r="D27" s="30">
        <f t="shared" si="0"/>
        <v>2.5174649128304877E-5</v>
      </c>
      <c r="E27" s="30">
        <f t="shared" si="1"/>
        <v>1.3388073291670676E-2</v>
      </c>
    </row>
    <row r="28" spans="1:5" x14ac:dyDescent="0.35">
      <c r="A28" s="27">
        <v>45987</v>
      </c>
      <c r="B28" s="28">
        <v>7944.5</v>
      </c>
      <c r="C28" s="29">
        <v>163188.53</v>
      </c>
      <c r="D28" s="30">
        <f t="shared" si="0"/>
        <v>-2.3483021900743192E-3</v>
      </c>
      <c r="E28" s="30">
        <f t="shared" si="1"/>
        <v>9.2524401876944943E-3</v>
      </c>
    </row>
    <row r="29" spans="1:5" x14ac:dyDescent="0.35">
      <c r="A29" s="27">
        <v>45986</v>
      </c>
      <c r="B29" s="28">
        <v>7963.2</v>
      </c>
      <c r="C29" s="29">
        <v>161692.48000000001</v>
      </c>
      <c r="D29" s="30">
        <f t="shared" si="0"/>
        <v>-4.1767751294300758E-3</v>
      </c>
      <c r="E29" s="30">
        <f t="shared" si="1"/>
        <v>-1.8002385295987158E-3</v>
      </c>
    </row>
    <row r="30" spans="1:5" x14ac:dyDescent="0.35">
      <c r="A30" s="27">
        <v>45985</v>
      </c>
      <c r="B30" s="28">
        <v>7996.6</v>
      </c>
      <c r="C30" s="29">
        <v>161984.09</v>
      </c>
      <c r="D30" s="30">
        <f t="shared" si="0"/>
        <v>-6.5471531685984893E-3</v>
      </c>
      <c r="E30" s="30">
        <f t="shared" si="1"/>
        <v>-7.3305280373738046E-4</v>
      </c>
    </row>
    <row r="31" spans="1:5" x14ac:dyDescent="0.35">
      <c r="A31" s="27">
        <v>45982</v>
      </c>
      <c r="B31" s="28">
        <v>8049.3</v>
      </c>
      <c r="C31" s="29">
        <v>162102.92000000001</v>
      </c>
      <c r="D31" s="30">
        <f t="shared" si="0"/>
        <v>6.7917448405253513E-3</v>
      </c>
      <c r="E31" s="30">
        <f t="shared" si="1"/>
        <v>-5.118667381380732E-3</v>
      </c>
    </row>
    <row r="32" spans="1:5" x14ac:dyDescent="0.35">
      <c r="A32" s="27">
        <v>45981</v>
      </c>
      <c r="B32" s="28">
        <v>7995</v>
      </c>
      <c r="C32" s="29">
        <v>162936.94</v>
      </c>
      <c r="D32" s="30">
        <f t="shared" si="0"/>
        <v>-5.6253515844740295E-4</v>
      </c>
      <c r="E32" s="30">
        <f t="shared" si="1"/>
        <v>4.3806712451275069E-3</v>
      </c>
    </row>
    <row r="33" spans="1:5" x14ac:dyDescent="0.35">
      <c r="A33" s="27">
        <v>45980</v>
      </c>
      <c r="B33" s="28">
        <v>7999.5</v>
      </c>
      <c r="C33" s="29">
        <v>162226.28</v>
      </c>
      <c r="D33" s="30">
        <f t="shared" si="0"/>
        <v>1.1889862327909887E-3</v>
      </c>
      <c r="E33" s="30">
        <f t="shared" si="1"/>
        <v>8.0227977570838278E-3</v>
      </c>
    </row>
    <row r="34" spans="1:5" x14ac:dyDescent="0.35">
      <c r="A34" s="27">
        <v>45979</v>
      </c>
      <c r="B34" s="28">
        <v>7990</v>
      </c>
      <c r="C34" s="29">
        <v>160935.13</v>
      </c>
      <c r="D34" s="30">
        <f t="shared" si="0"/>
        <v>-1.0502100420083562E-3</v>
      </c>
      <c r="E34" s="30">
        <f t="shared" si="1"/>
        <v>-4.6513270469973386E-3</v>
      </c>
    </row>
    <row r="35" spans="1:5" x14ac:dyDescent="0.35">
      <c r="A35" s="27">
        <v>45978</v>
      </c>
      <c r="B35" s="28">
        <v>7998.4</v>
      </c>
      <c r="C35" s="29">
        <v>161687.19</v>
      </c>
      <c r="D35" s="30">
        <f t="shared" si="0"/>
        <v>1.377169041239953E-3</v>
      </c>
      <c r="E35" s="30">
        <f t="shared" si="1"/>
        <v>-1.5314768828196021E-3</v>
      </c>
    </row>
    <row r="36" spans="1:5" x14ac:dyDescent="0.35">
      <c r="A36" s="27">
        <v>45975</v>
      </c>
      <c r="B36" s="28">
        <v>7987.4</v>
      </c>
      <c r="C36" s="29">
        <v>161935.19</v>
      </c>
      <c r="D36" s="30">
        <f t="shared" si="0"/>
        <v>-4.2634885808318446E-3</v>
      </c>
      <c r="E36" s="30">
        <f t="shared" si="1"/>
        <v>7.952881129110077E-3</v>
      </c>
    </row>
    <row r="37" spans="1:5" x14ac:dyDescent="0.35">
      <c r="A37" s="27">
        <v>45974</v>
      </c>
      <c r="B37" s="28">
        <v>8021.6</v>
      </c>
      <c r="C37" s="29">
        <v>160657.5</v>
      </c>
      <c r="D37" s="30">
        <f t="shared" si="0"/>
        <v>2.1989005497251831E-3</v>
      </c>
      <c r="E37" s="30">
        <f t="shared" si="1"/>
        <v>1.5637174315093209E-2</v>
      </c>
    </row>
    <row r="38" spans="1:5" x14ac:dyDescent="0.35">
      <c r="A38" s="27">
        <v>45973</v>
      </c>
      <c r="B38" s="28">
        <v>8004</v>
      </c>
      <c r="C38" s="29">
        <v>158183.95000000001</v>
      </c>
      <c r="D38" s="30">
        <f t="shared" si="0"/>
        <v>2.4988130637924247E-5</v>
      </c>
      <c r="E38" s="30">
        <f t="shared" si="1"/>
        <v>1.985488105757641E-3</v>
      </c>
    </row>
    <row r="39" spans="1:5" x14ac:dyDescent="0.35">
      <c r="A39" s="27">
        <v>45972</v>
      </c>
      <c r="B39" s="28">
        <v>8003.8</v>
      </c>
      <c r="C39" s="29">
        <v>157870.5</v>
      </c>
      <c r="D39" s="30">
        <f t="shared" si="0"/>
        <v>-4.3167257572930048E-3</v>
      </c>
      <c r="E39" s="30">
        <f t="shared" si="1"/>
        <v>-2.2706116768142038E-2</v>
      </c>
    </row>
    <row r="40" spans="1:5" x14ac:dyDescent="0.35">
      <c r="A40" s="27">
        <v>45971</v>
      </c>
      <c r="B40" s="28">
        <v>8038.5</v>
      </c>
      <c r="C40" s="29">
        <v>161538.41</v>
      </c>
      <c r="D40" s="30">
        <f t="shared" si="0"/>
        <v>1.4201891093918895E-3</v>
      </c>
      <c r="E40" s="30">
        <f t="shared" si="1"/>
        <v>1.2190391164620031E-2</v>
      </c>
    </row>
    <row r="41" spans="1:5" x14ac:dyDescent="0.35">
      <c r="A41" s="27">
        <v>45968</v>
      </c>
      <c r="B41" s="28">
        <v>8027.1</v>
      </c>
      <c r="C41" s="29">
        <v>159592.91</v>
      </c>
      <c r="D41" s="30">
        <f t="shared" si="0"/>
        <v>-9.0859304988540187E-4</v>
      </c>
      <c r="E41" s="30">
        <f t="shared" si="1"/>
        <v>3.1182902484526097E-3</v>
      </c>
    </row>
    <row r="42" spans="1:5" x14ac:dyDescent="0.35">
      <c r="A42" s="27">
        <v>45967</v>
      </c>
      <c r="B42" s="28">
        <v>8034.4</v>
      </c>
      <c r="C42" s="29">
        <v>159096.79999999999</v>
      </c>
      <c r="D42" s="30">
        <f t="shared" si="0"/>
        <v>3.7103201868901796E-3</v>
      </c>
      <c r="E42" s="30">
        <f t="shared" si="1"/>
        <v>-3.0166403065482444E-3</v>
      </c>
    </row>
    <row r="43" spans="1:5" x14ac:dyDescent="0.35">
      <c r="A43" s="27">
        <v>45966</v>
      </c>
      <c r="B43" s="28">
        <v>8004.7</v>
      </c>
      <c r="C43" s="29">
        <v>159578.19</v>
      </c>
      <c r="D43" s="30">
        <f t="shared" si="0"/>
        <v>-5.8496236866291216E-3</v>
      </c>
      <c r="E43" s="30">
        <f t="shared" si="1"/>
        <v>-1.0562756100704918E-2</v>
      </c>
    </row>
    <row r="44" spans="1:5" x14ac:dyDescent="0.35">
      <c r="A44" s="27">
        <v>45965</v>
      </c>
      <c r="B44" s="28">
        <v>8051.8</v>
      </c>
      <c r="C44" s="29">
        <v>161281.76999999999</v>
      </c>
      <c r="D44" s="30">
        <f t="shared" si="0"/>
        <v>-4.0967834043030896E-4</v>
      </c>
      <c r="E44" s="30">
        <f t="shared" si="1"/>
        <v>-9.3449660313719585E-3</v>
      </c>
    </row>
    <row r="45" spans="1:5" x14ac:dyDescent="0.35">
      <c r="A45" s="27">
        <v>45964</v>
      </c>
      <c r="B45" s="28">
        <v>8055.1</v>
      </c>
      <c r="C45" s="29">
        <v>162803.16</v>
      </c>
      <c r="D45" s="30">
        <f t="shared" si="0"/>
        <v>-2.6249644020157519E-3</v>
      </c>
      <c r="E45" s="30">
        <f t="shared" si="1"/>
        <v>7.2475249754487747E-3</v>
      </c>
    </row>
    <row r="46" spans="1:5" x14ac:dyDescent="0.35">
      <c r="A46" s="27">
        <v>45961</v>
      </c>
      <c r="B46" s="28">
        <v>8076.3</v>
      </c>
      <c r="C46" s="29">
        <v>161631.73000000001</v>
      </c>
      <c r="D46" s="30">
        <f t="shared" si="0"/>
        <v>1.9027190713519673E-2</v>
      </c>
      <c r="E46" s="30">
        <f t="shared" si="1"/>
        <v>3.1256045317357824E-2</v>
      </c>
    </row>
    <row r="47" spans="1:5" x14ac:dyDescent="0.35">
      <c r="A47" s="27">
        <v>45960</v>
      </c>
      <c r="B47" s="28">
        <v>7925.5</v>
      </c>
      <c r="C47" s="29">
        <v>156732.88</v>
      </c>
      <c r="D47" s="30">
        <f t="shared" si="0"/>
        <v>-3.9712960752033228E-3</v>
      </c>
      <c r="E47" s="30">
        <f t="shared" si="1"/>
        <v>-1.0930990087026081E-2</v>
      </c>
    </row>
    <row r="48" spans="1:5" x14ac:dyDescent="0.35">
      <c r="A48" s="27">
        <v>45959</v>
      </c>
      <c r="B48" s="28">
        <v>7957.1</v>
      </c>
      <c r="C48" s="29">
        <v>158465.06</v>
      </c>
      <c r="D48" s="30">
        <f t="shared" si="0"/>
        <v>-5.3624999999999541E-3</v>
      </c>
      <c r="E48" s="30">
        <f t="shared" si="1"/>
        <v>-1.0218360244153339E-2</v>
      </c>
    </row>
    <row r="49" spans="1:5" x14ac:dyDescent="0.35">
      <c r="A49" s="27">
        <v>45958</v>
      </c>
      <c r="B49" s="28">
        <v>8000</v>
      </c>
      <c r="C49" s="29">
        <v>160101.03</v>
      </c>
      <c r="D49" s="30">
        <f t="shared" si="0"/>
        <v>-6.3469588006608239E-3</v>
      </c>
      <c r="E49" s="30">
        <f t="shared" si="1"/>
        <v>-1.2720347406736427E-2</v>
      </c>
    </row>
    <row r="50" spans="1:5" x14ac:dyDescent="0.35">
      <c r="A50" s="27">
        <v>45957</v>
      </c>
      <c r="B50" s="28">
        <v>8051.1</v>
      </c>
      <c r="C50" s="29">
        <v>162163.81</v>
      </c>
      <c r="D50" s="30">
        <f t="shared" si="0"/>
        <v>-7.7031157562610919E-3</v>
      </c>
      <c r="E50" s="30">
        <f t="shared" si="1"/>
        <v>-6.9827995164605267E-3</v>
      </c>
    </row>
    <row r="51" spans="1:5" x14ac:dyDescent="0.35">
      <c r="A51" s="27">
        <v>45954</v>
      </c>
      <c r="B51" s="28">
        <v>8113.6</v>
      </c>
      <c r="C51" s="29">
        <v>163304.13</v>
      </c>
      <c r="D51" s="30">
        <f t="shared" si="0"/>
        <v>-1.1818002757533305E-3</v>
      </c>
      <c r="E51" s="30">
        <f t="shared" si="1"/>
        <v>-7.8150361251302473E-3</v>
      </c>
    </row>
    <row r="52" spans="1:5" x14ac:dyDescent="0.35">
      <c r="A52" s="27">
        <v>45953</v>
      </c>
      <c r="B52" s="28">
        <v>8123.2</v>
      </c>
      <c r="C52" s="29">
        <v>164590.41</v>
      </c>
      <c r="D52" s="30">
        <f t="shared" si="0"/>
        <v>-4.3511833993160678E-3</v>
      </c>
      <c r="E52" s="30">
        <f t="shared" si="1"/>
        <v>-1.1785237732934443E-2</v>
      </c>
    </row>
    <row r="53" spans="1:5" x14ac:dyDescent="0.35">
      <c r="A53" s="27">
        <v>45952</v>
      </c>
      <c r="B53" s="28">
        <v>8158.7</v>
      </c>
      <c r="C53" s="29">
        <v>166553.28</v>
      </c>
      <c r="D53" s="30">
        <f t="shared" si="0"/>
        <v>1.7804081432184868E-3</v>
      </c>
      <c r="E53" s="30">
        <f t="shared" si="1"/>
        <v>-4.7419482042174834E-3</v>
      </c>
    </row>
    <row r="54" spans="1:5" x14ac:dyDescent="0.35">
      <c r="A54" s="27">
        <v>45951</v>
      </c>
      <c r="B54" s="28">
        <v>8144.2</v>
      </c>
      <c r="C54" s="29">
        <v>167346.82999999999</v>
      </c>
      <c r="D54" s="30">
        <f t="shared" si="0"/>
        <v>1.598780007870917E-3</v>
      </c>
      <c r="E54" s="30">
        <f t="shared" si="1"/>
        <v>6.6404034914931635E-3</v>
      </c>
    </row>
    <row r="55" spans="1:5" x14ac:dyDescent="0.35">
      <c r="A55" s="27">
        <v>45950</v>
      </c>
      <c r="B55" s="28">
        <v>8131.2</v>
      </c>
      <c r="C55" s="29">
        <v>166242.91</v>
      </c>
      <c r="D55" s="30">
        <f t="shared" si="0"/>
        <v>-2.459056705847637E-4</v>
      </c>
      <c r="E55" s="30">
        <f t="shared" si="1"/>
        <v>1.4875442458778441E-2</v>
      </c>
    </row>
    <row r="56" spans="1:5" x14ac:dyDescent="0.35">
      <c r="A56" s="27">
        <v>45947</v>
      </c>
      <c r="B56" s="28">
        <v>8133.2</v>
      </c>
      <c r="C56" s="29">
        <v>163806.22</v>
      </c>
      <c r="D56" s="30">
        <f t="shared" si="0"/>
        <v>-5.5510723106644835E-3</v>
      </c>
      <c r="E56" s="30">
        <f t="shared" si="1"/>
        <v>-3.8827637640174765E-3</v>
      </c>
    </row>
    <row r="57" spans="1:5" x14ac:dyDescent="0.35">
      <c r="A57" s="27">
        <v>45946</v>
      </c>
      <c r="B57" s="28">
        <v>8178.6</v>
      </c>
      <c r="C57" s="29">
        <v>164444.72</v>
      </c>
      <c r="D57" s="30">
        <f t="shared" si="0"/>
        <v>-1.8764247150569843E-2</v>
      </c>
      <c r="E57" s="30">
        <f t="shared" si="1"/>
        <v>-7.494037832198419E-3</v>
      </c>
    </row>
    <row r="58" spans="1:5" x14ac:dyDescent="0.35">
      <c r="A58" s="27">
        <v>45945</v>
      </c>
      <c r="B58" s="28">
        <v>8335</v>
      </c>
      <c r="C58" s="29">
        <v>165686.38</v>
      </c>
      <c r="D58" s="30">
        <f t="shared" si="0"/>
        <v>1.6203167481498595E-2</v>
      </c>
      <c r="E58" s="30">
        <f t="shared" si="1"/>
        <v>1.2712415974230897E-3</v>
      </c>
    </row>
    <row r="59" spans="1:5" x14ac:dyDescent="0.35">
      <c r="A59" s="27">
        <v>45944</v>
      </c>
      <c r="B59" s="28">
        <v>8202.1</v>
      </c>
      <c r="C59" s="29">
        <v>165476.01999999999</v>
      </c>
      <c r="D59" s="30">
        <f t="shared" si="0"/>
        <v>8.1367765090525606E-3</v>
      </c>
      <c r="E59" s="30">
        <f t="shared" si="1"/>
        <v>4.4385560473259013E-2</v>
      </c>
    </row>
    <row r="60" spans="1:5" x14ac:dyDescent="0.35">
      <c r="A60" s="27">
        <v>45943</v>
      </c>
      <c r="B60" s="28">
        <v>8135.9</v>
      </c>
      <c r="C60" s="29">
        <v>158443.42000000001</v>
      </c>
      <c r="D60" s="30">
        <f t="shared" si="0"/>
        <v>-2.0290448436973172E-2</v>
      </c>
      <c r="E60" s="30">
        <f t="shared" si="1"/>
        <v>-2.8539679073078552E-2</v>
      </c>
    </row>
    <row r="61" spans="1:5" x14ac:dyDescent="0.35">
      <c r="A61" s="27">
        <v>45940</v>
      </c>
      <c r="B61" s="28">
        <v>8304.4</v>
      </c>
      <c r="C61" s="29">
        <v>163098.19</v>
      </c>
      <c r="D61" s="30">
        <f t="shared" si="0"/>
        <v>-2.8891992102851117E-4</v>
      </c>
      <c r="E61" s="30">
        <f t="shared" si="1"/>
        <v>-8.7073053369152893E-3</v>
      </c>
    </row>
    <row r="62" spans="1:5" x14ac:dyDescent="0.35">
      <c r="A62" s="27">
        <v>45939</v>
      </c>
      <c r="B62" s="28">
        <v>8306.7999999999993</v>
      </c>
      <c r="C62" s="29">
        <v>164530.81</v>
      </c>
      <c r="D62" s="30">
        <f t="shared" si="0"/>
        <v>-5.1736526946108653E-3</v>
      </c>
      <c r="E62" s="30">
        <f t="shared" si="1"/>
        <v>-4.4530433375134584E-3</v>
      </c>
    </row>
    <row r="63" spans="1:5" x14ac:dyDescent="0.35">
      <c r="A63" s="27">
        <v>45938</v>
      </c>
      <c r="B63" s="28">
        <v>8350</v>
      </c>
      <c r="C63" s="29">
        <v>165266.75</v>
      </c>
      <c r="D63" s="30">
        <f t="shared" si="0"/>
        <v>1.4512047398026319E-3</v>
      </c>
      <c r="E63" s="30">
        <f t="shared" si="1"/>
        <v>-5.4581424563145504E-3</v>
      </c>
    </row>
    <row r="64" spans="1:5" x14ac:dyDescent="0.35">
      <c r="A64" s="27">
        <v>45937</v>
      </c>
      <c r="B64" s="28">
        <v>8337.9</v>
      </c>
      <c r="C64" s="29">
        <v>166173.75</v>
      </c>
      <c r="D64" s="30">
        <f t="shared" si="0"/>
        <v>-1.4969342785974326E-3</v>
      </c>
      <c r="E64" s="30">
        <f t="shared" si="1"/>
        <v>-9.4106546666006367E-3</v>
      </c>
    </row>
    <row r="65" spans="1:5" x14ac:dyDescent="0.35">
      <c r="A65" s="27">
        <v>45936</v>
      </c>
      <c r="B65" s="28">
        <v>8350.4</v>
      </c>
      <c r="C65" s="29">
        <v>167752.41</v>
      </c>
      <c r="D65" s="30">
        <f t="shared" si="0"/>
        <v>-2.9203869047619131E-2</v>
      </c>
      <c r="E65" s="30">
        <f t="shared" si="1"/>
        <v>-7.3238035420544511E-3</v>
      </c>
    </row>
    <row r="66" spans="1:5" x14ac:dyDescent="0.35">
      <c r="A66" s="27">
        <v>45933</v>
      </c>
      <c r="B66" s="28">
        <v>8601.6</v>
      </c>
      <c r="C66" s="29">
        <v>168990.06</v>
      </c>
      <c r="D66" s="30">
        <f t="shared" si="0"/>
        <v>2.3792803837318594E-2</v>
      </c>
      <c r="E66" s="30">
        <f t="shared" si="1"/>
        <v>2.970093767788516E-3</v>
      </c>
    </row>
    <row r="67" spans="1:5" x14ac:dyDescent="0.35">
      <c r="A67" s="27">
        <v>45932</v>
      </c>
      <c r="B67" s="28">
        <v>8401.7000000000007</v>
      </c>
      <c r="C67" s="29">
        <v>168489.63</v>
      </c>
      <c r="D67" s="30">
        <f t="shared" si="0"/>
        <v>-3.3688805589494352E-3</v>
      </c>
      <c r="E67" s="30">
        <f t="shared" si="1"/>
        <v>1.7201667178418062E-2</v>
      </c>
    </row>
    <row r="68" spans="1:5" x14ac:dyDescent="0.35">
      <c r="A68" s="27">
        <v>45931</v>
      </c>
      <c r="B68" s="28">
        <v>8430.1</v>
      </c>
      <c r="C68" s="29">
        <v>165640.34</v>
      </c>
      <c r="D68" s="30">
        <f t="shared" si="0"/>
        <v>6.1946480150867293E-3</v>
      </c>
      <c r="E68" s="30">
        <f t="shared" si="1"/>
        <v>8.8674129312198743E-4</v>
      </c>
    </row>
    <row r="69" spans="1:5" x14ac:dyDescent="0.35">
      <c r="A69" s="27">
        <v>45930</v>
      </c>
      <c r="B69" s="28">
        <v>8378.2000000000007</v>
      </c>
      <c r="C69" s="29">
        <v>165493.59</v>
      </c>
      <c r="D69" s="30">
        <f t="shared" ref="D69:D132" si="2">(B69-B70)/B70</f>
        <v>-4.4142736133799125E-4</v>
      </c>
      <c r="E69" s="30">
        <f t="shared" ref="E69:E132" si="3">(C69-C70)/C70</f>
        <v>1.0045304880404442E-2</v>
      </c>
    </row>
    <row r="70" spans="1:5" x14ac:dyDescent="0.35">
      <c r="A70" s="27">
        <v>45929</v>
      </c>
      <c r="B70" s="28">
        <v>8381.9</v>
      </c>
      <c r="C70" s="29">
        <v>163847.69</v>
      </c>
      <c r="D70" s="30">
        <f t="shared" si="2"/>
        <v>-7.4718768502072663E-3</v>
      </c>
      <c r="E70" s="30">
        <f t="shared" si="3"/>
        <v>9.8033971041746795E-3</v>
      </c>
    </row>
    <row r="71" spans="1:5" x14ac:dyDescent="0.35">
      <c r="A71" s="27">
        <v>45926</v>
      </c>
      <c r="B71" s="28">
        <v>8445</v>
      </c>
      <c r="C71" s="29">
        <v>162257.01999999999</v>
      </c>
      <c r="D71" s="30">
        <f t="shared" si="2"/>
        <v>1.1855364552459987E-3</v>
      </c>
      <c r="E71" s="30">
        <f t="shared" si="3"/>
        <v>1.8689906566476656E-2</v>
      </c>
    </row>
    <row r="72" spans="1:5" x14ac:dyDescent="0.35">
      <c r="A72" s="27">
        <v>45925</v>
      </c>
      <c r="B72" s="28">
        <v>8435</v>
      </c>
      <c r="C72" s="29">
        <v>159280.09</v>
      </c>
      <c r="D72" s="30">
        <f t="shared" si="2"/>
        <v>4.2383979808081965E-3</v>
      </c>
      <c r="E72" s="30">
        <f t="shared" si="3"/>
        <v>6.5939195265016862E-3</v>
      </c>
    </row>
    <row r="73" spans="1:5" x14ac:dyDescent="0.35">
      <c r="A73" s="27">
        <v>45924</v>
      </c>
      <c r="B73" s="28">
        <v>8399.4</v>
      </c>
      <c r="C73" s="29">
        <v>158236.69</v>
      </c>
      <c r="D73" s="30">
        <f t="shared" si="2"/>
        <v>2.7697523936867441E-3</v>
      </c>
      <c r="E73" s="30">
        <f t="shared" si="3"/>
        <v>1.8465918174190318E-3</v>
      </c>
    </row>
    <row r="74" spans="1:5" x14ac:dyDescent="0.35">
      <c r="A74" s="27">
        <v>45923</v>
      </c>
      <c r="B74" s="28">
        <v>8376.2000000000007</v>
      </c>
      <c r="C74" s="29">
        <v>157945.03</v>
      </c>
      <c r="D74" s="30">
        <f t="shared" si="2"/>
        <v>-4.3031715087250852E-3</v>
      </c>
      <c r="E74" s="30">
        <f t="shared" si="3"/>
        <v>2.4776798096609477E-3</v>
      </c>
    </row>
    <row r="75" spans="1:5" x14ac:dyDescent="0.35">
      <c r="A75" s="27">
        <v>45922</v>
      </c>
      <c r="B75" s="28">
        <v>8412.4</v>
      </c>
      <c r="C75" s="29">
        <v>157554.66</v>
      </c>
      <c r="D75" s="30">
        <f t="shared" si="2"/>
        <v>-3.8956579399192022E-3</v>
      </c>
      <c r="E75" s="30">
        <f t="shared" si="3"/>
        <v>-3.0544672405984023E-3</v>
      </c>
    </row>
    <row r="76" spans="1:5" x14ac:dyDescent="0.35">
      <c r="A76" s="27">
        <v>45919</v>
      </c>
      <c r="B76" s="28">
        <v>8445.2999999999993</v>
      </c>
      <c r="C76" s="29">
        <v>158037.38</v>
      </c>
      <c r="D76" s="30">
        <f t="shared" si="2"/>
        <v>2.3143203019297871E-3</v>
      </c>
      <c r="E76" s="30">
        <f t="shared" si="3"/>
        <v>5.3123239394489718E-4</v>
      </c>
    </row>
    <row r="77" spans="1:5" x14ac:dyDescent="0.35">
      <c r="A77" s="27">
        <v>45918</v>
      </c>
      <c r="B77" s="28">
        <v>8425.7999999999993</v>
      </c>
      <c r="C77" s="29">
        <v>157953.47</v>
      </c>
      <c r="D77" s="30">
        <f t="shared" si="2"/>
        <v>9.0778443113771583E-3</v>
      </c>
      <c r="E77" s="30">
        <f t="shared" si="3"/>
        <v>1.1369476880230319E-2</v>
      </c>
    </row>
    <row r="78" spans="1:5" x14ac:dyDescent="0.35">
      <c r="A78" s="27">
        <v>45917</v>
      </c>
      <c r="B78" s="28">
        <v>8350</v>
      </c>
      <c r="C78" s="29">
        <v>156177.81</v>
      </c>
      <c r="D78" s="30">
        <f t="shared" si="2"/>
        <v>-2.1868240861344927E-3</v>
      </c>
      <c r="E78" s="30">
        <f t="shared" si="3"/>
        <v>-2.0040857738496492E-5</v>
      </c>
    </row>
    <row r="79" spans="1:5" x14ac:dyDescent="0.35">
      <c r="A79" s="27">
        <v>45916</v>
      </c>
      <c r="B79" s="28">
        <v>8368.2999999999993</v>
      </c>
      <c r="C79" s="29">
        <v>156180.94</v>
      </c>
      <c r="D79" s="30">
        <f t="shared" si="2"/>
        <v>-3.5836727867834153E-4</v>
      </c>
      <c r="E79" s="30">
        <f t="shared" si="3"/>
        <v>5.1254783938581069E-3</v>
      </c>
    </row>
    <row r="80" spans="1:5" x14ac:dyDescent="0.35">
      <c r="A80" s="27">
        <v>45915</v>
      </c>
      <c r="B80" s="28">
        <v>8371.2999999999993</v>
      </c>
      <c r="C80" s="29">
        <v>155384.51999999999</v>
      </c>
      <c r="D80" s="30">
        <f t="shared" si="2"/>
        <v>2.0628863339876239E-2</v>
      </c>
      <c r="E80" s="30">
        <f t="shared" si="3"/>
        <v>6.1177926477318572E-3</v>
      </c>
    </row>
    <row r="81" spans="1:5" x14ac:dyDescent="0.35">
      <c r="A81" s="27">
        <v>45912</v>
      </c>
      <c r="B81" s="28">
        <v>8202.1</v>
      </c>
      <c r="C81" s="29">
        <v>154439.69</v>
      </c>
      <c r="D81" s="30">
        <f t="shared" si="2"/>
        <v>-1.9345042384533447E-2</v>
      </c>
      <c r="E81" s="30">
        <f t="shared" si="3"/>
        <v>-1.0897568707820628E-2</v>
      </c>
    </row>
    <row r="82" spans="1:5" x14ac:dyDescent="0.35">
      <c r="A82" s="27">
        <v>45911</v>
      </c>
      <c r="B82" s="28">
        <v>8363.9</v>
      </c>
      <c r="C82" s="29">
        <v>156141.25</v>
      </c>
      <c r="D82" s="30">
        <f t="shared" si="2"/>
        <v>-1.2666446312210913E-2</v>
      </c>
      <c r="E82" s="30">
        <f t="shared" si="3"/>
        <v>-5.6014871915057649E-3</v>
      </c>
    </row>
    <row r="83" spans="1:5" x14ac:dyDescent="0.35">
      <c r="A83" s="27">
        <v>45910</v>
      </c>
      <c r="B83" s="28">
        <v>8471.2000000000007</v>
      </c>
      <c r="C83" s="29">
        <v>157020.79999999999</v>
      </c>
      <c r="D83" s="30">
        <f t="shared" si="2"/>
        <v>1.2986859659276323E-4</v>
      </c>
      <c r="E83" s="30">
        <f t="shared" si="3"/>
        <v>2.9206674121360801E-3</v>
      </c>
    </row>
    <row r="84" spans="1:5" x14ac:dyDescent="0.35">
      <c r="A84" s="27">
        <v>45909</v>
      </c>
      <c r="B84" s="28">
        <v>8470.1</v>
      </c>
      <c r="C84" s="29">
        <v>156563.53</v>
      </c>
      <c r="D84" s="30">
        <f t="shared" si="2"/>
        <v>2.1177918175149233E-3</v>
      </c>
      <c r="E84" s="30">
        <f t="shared" si="3"/>
        <v>3.0509847341209299E-3</v>
      </c>
    </row>
    <row r="85" spans="1:5" x14ac:dyDescent="0.35">
      <c r="A85" s="27">
        <v>45908</v>
      </c>
      <c r="B85" s="28">
        <v>8452.2000000000007</v>
      </c>
      <c r="C85" s="29">
        <v>156087.31</v>
      </c>
      <c r="D85" s="30">
        <f t="shared" si="2"/>
        <v>4.1104352784642135E-3</v>
      </c>
      <c r="E85" s="30">
        <f t="shared" si="3"/>
        <v>1.1732907502398736E-2</v>
      </c>
    </row>
    <row r="86" spans="1:5" x14ac:dyDescent="0.35">
      <c r="A86" s="27">
        <v>45905</v>
      </c>
      <c r="B86" s="28">
        <v>8417.6</v>
      </c>
      <c r="C86" s="29">
        <v>154277.19</v>
      </c>
      <c r="D86" s="30">
        <f t="shared" si="2"/>
        <v>-4.7530090567285714E-3</v>
      </c>
      <c r="E86" s="30">
        <f t="shared" si="3"/>
        <v>1.0555545802947781E-2</v>
      </c>
    </row>
    <row r="87" spans="1:5" x14ac:dyDescent="0.35">
      <c r="A87" s="27">
        <v>45904</v>
      </c>
      <c r="B87" s="28">
        <v>8457.7999999999993</v>
      </c>
      <c r="C87" s="29">
        <v>152665.72</v>
      </c>
      <c r="D87" s="30">
        <f t="shared" si="2"/>
        <v>5.0861556743908819E-3</v>
      </c>
      <c r="E87" s="30">
        <f t="shared" si="3"/>
        <v>3.0475313445536712E-3</v>
      </c>
    </row>
    <row r="88" spans="1:5" x14ac:dyDescent="0.35">
      <c r="A88" s="27">
        <v>45903</v>
      </c>
      <c r="B88" s="28">
        <v>8415</v>
      </c>
      <c r="C88" s="29">
        <v>152201.88</v>
      </c>
      <c r="D88" s="30">
        <f t="shared" si="2"/>
        <v>3.8531737984180835E-3</v>
      </c>
      <c r="E88" s="30">
        <f t="shared" si="3"/>
        <v>8.1231733788824124E-3</v>
      </c>
    </row>
    <row r="89" spans="1:5" x14ac:dyDescent="0.35">
      <c r="A89" s="27">
        <v>45902</v>
      </c>
      <c r="B89" s="28">
        <v>8382.7000000000007</v>
      </c>
      <c r="C89" s="29">
        <v>150975.48000000001</v>
      </c>
      <c r="D89" s="30">
        <f t="shared" si="2"/>
        <v>-6.6949473883780447E-3</v>
      </c>
      <c r="E89" s="30">
        <f t="shared" si="3"/>
        <v>6.6969556073892744E-3</v>
      </c>
    </row>
    <row r="90" spans="1:5" x14ac:dyDescent="0.35">
      <c r="A90" s="27">
        <v>45901</v>
      </c>
      <c r="B90" s="28">
        <v>8439.2000000000007</v>
      </c>
      <c r="C90" s="29">
        <v>149971.13</v>
      </c>
      <c r="D90" s="30">
        <f t="shared" si="2"/>
        <v>-9.0648630876895061E-3</v>
      </c>
      <c r="E90" s="30">
        <f t="shared" si="3"/>
        <v>9.1062455649654154E-3</v>
      </c>
    </row>
    <row r="91" spans="1:5" x14ac:dyDescent="0.35">
      <c r="A91" s="27">
        <v>45898</v>
      </c>
      <c r="B91" s="28">
        <v>8516.4</v>
      </c>
      <c r="C91" s="29">
        <v>148617.78</v>
      </c>
      <c r="D91" s="30">
        <f t="shared" si="2"/>
        <v>1.7466727198872059E-2</v>
      </c>
      <c r="E91" s="30">
        <f t="shared" si="3"/>
        <v>8.6482255887466875E-3</v>
      </c>
    </row>
    <row r="92" spans="1:5" x14ac:dyDescent="0.35">
      <c r="A92" s="27">
        <v>45897</v>
      </c>
      <c r="B92" s="28">
        <v>8370.2000000000007</v>
      </c>
      <c r="C92" s="29">
        <v>147343.51999999999</v>
      </c>
      <c r="D92" s="30">
        <f t="shared" si="2"/>
        <v>1.0027633309601713E-2</v>
      </c>
      <c r="E92" s="30">
        <f t="shared" si="3"/>
        <v>-1.0204480818648003E-3</v>
      </c>
    </row>
    <row r="93" spans="1:5" x14ac:dyDescent="0.35">
      <c r="A93" s="27">
        <v>45896</v>
      </c>
      <c r="B93" s="28">
        <v>8287.1</v>
      </c>
      <c r="C93" s="29">
        <v>147494.03</v>
      </c>
      <c r="D93" s="30">
        <f t="shared" si="2"/>
        <v>7.53790227474438E-3</v>
      </c>
      <c r="E93" s="30">
        <f t="shared" si="3"/>
        <v>-6.3396747372217784E-3</v>
      </c>
    </row>
    <row r="94" spans="1:5" x14ac:dyDescent="0.35">
      <c r="A94" s="27">
        <v>45895</v>
      </c>
      <c r="B94" s="28">
        <v>8225.1</v>
      </c>
      <c r="C94" s="29">
        <v>148435.06</v>
      </c>
      <c r="D94" s="30">
        <f t="shared" si="2"/>
        <v>1.5018387343584265E-2</v>
      </c>
      <c r="E94" s="30">
        <f t="shared" si="3"/>
        <v>-2.55518064639989E-3</v>
      </c>
    </row>
    <row r="95" spans="1:5" x14ac:dyDescent="0.35">
      <c r="A95" s="27">
        <v>45894</v>
      </c>
      <c r="B95" s="28">
        <v>8103.4</v>
      </c>
      <c r="C95" s="29">
        <v>148815.31</v>
      </c>
      <c r="D95" s="30">
        <f t="shared" si="2"/>
        <v>-1.5633920870737811E-2</v>
      </c>
      <c r="E95" s="30">
        <f t="shared" si="3"/>
        <v>-4.5336552746997084E-3</v>
      </c>
    </row>
    <row r="96" spans="1:5" x14ac:dyDescent="0.35">
      <c r="A96" s="27">
        <v>45891</v>
      </c>
      <c r="B96" s="28">
        <v>8232.1</v>
      </c>
      <c r="C96" s="29">
        <v>149493.06</v>
      </c>
      <c r="D96" s="30">
        <f t="shared" si="2"/>
        <v>-1.4921979705150168E-2</v>
      </c>
      <c r="E96" s="30">
        <f t="shared" si="3"/>
        <v>1.7274066646578129E-3</v>
      </c>
    </row>
    <row r="97" spans="1:5" x14ac:dyDescent="0.35">
      <c r="A97" s="27">
        <v>45890</v>
      </c>
      <c r="B97" s="28">
        <v>8356.7999999999993</v>
      </c>
      <c r="C97" s="29">
        <v>149235.26999999999</v>
      </c>
      <c r="D97" s="30">
        <f t="shared" si="2"/>
        <v>-2.6018666603013739E-3</v>
      </c>
      <c r="E97" s="30">
        <f t="shared" si="3"/>
        <v>-9.0027292467678051E-3</v>
      </c>
    </row>
    <row r="98" spans="1:5" x14ac:dyDescent="0.35">
      <c r="A98" s="27">
        <v>45889</v>
      </c>
      <c r="B98" s="28">
        <v>8378.6</v>
      </c>
      <c r="C98" s="29">
        <v>150591</v>
      </c>
      <c r="D98" s="30">
        <f t="shared" si="2"/>
        <v>3.2329134537094689E-3</v>
      </c>
      <c r="E98" s="30">
        <f t="shared" si="3"/>
        <v>5.4767035619438372E-3</v>
      </c>
    </row>
    <row r="99" spans="1:5" x14ac:dyDescent="0.35">
      <c r="A99" s="27">
        <v>45888</v>
      </c>
      <c r="B99" s="28">
        <v>8351.6</v>
      </c>
      <c r="C99" s="29">
        <v>149770.75</v>
      </c>
      <c r="D99" s="30">
        <f t="shared" si="2"/>
        <v>-5.1578934829478937E-3</v>
      </c>
      <c r="E99" s="30">
        <f t="shared" si="3"/>
        <v>1.0623266068100613E-2</v>
      </c>
    </row>
    <row r="100" spans="1:5" x14ac:dyDescent="0.35">
      <c r="A100" s="27">
        <v>45887</v>
      </c>
      <c r="B100" s="28">
        <v>8394.9</v>
      </c>
      <c r="C100" s="29">
        <v>148196.42000000001</v>
      </c>
      <c r="D100" s="30">
        <f t="shared" si="2"/>
        <v>-2.995112143377136E-2</v>
      </c>
      <c r="E100" s="30">
        <f t="shared" si="3"/>
        <v>1.1637456692918279E-2</v>
      </c>
    </row>
    <row r="101" spans="1:5" x14ac:dyDescent="0.35">
      <c r="A101" s="27">
        <v>45884</v>
      </c>
      <c r="B101" s="28">
        <v>8654.1</v>
      </c>
      <c r="C101" s="29">
        <v>146491.63</v>
      </c>
      <c r="D101" s="30">
        <f t="shared" si="2"/>
        <v>-1.1874721686210479E-2</v>
      </c>
      <c r="E101" s="30">
        <f t="shared" si="3"/>
        <v>-2.5714991765123996E-4</v>
      </c>
    </row>
    <row r="102" spans="1:5" x14ac:dyDescent="0.35">
      <c r="A102" s="27">
        <v>45882</v>
      </c>
      <c r="B102" s="28">
        <v>8758.1</v>
      </c>
      <c r="C102" s="29">
        <v>146529.31</v>
      </c>
      <c r="D102" s="30">
        <f t="shared" si="2"/>
        <v>-5.3635824165779308E-4</v>
      </c>
      <c r="E102" s="30">
        <f t="shared" si="3"/>
        <v>-3.2379782743902244E-3</v>
      </c>
    </row>
    <row r="103" spans="1:5" x14ac:dyDescent="0.35">
      <c r="A103" s="27">
        <v>45881</v>
      </c>
      <c r="B103" s="28">
        <v>8762.7999999999993</v>
      </c>
      <c r="C103" s="29">
        <v>147005.31</v>
      </c>
      <c r="D103" s="30">
        <f t="shared" si="2"/>
        <v>-1.0009715977133602E-2</v>
      </c>
      <c r="E103" s="30">
        <f t="shared" si="3"/>
        <v>5.1364651319297128E-4</v>
      </c>
    </row>
    <row r="104" spans="1:5" x14ac:dyDescent="0.35">
      <c r="A104" s="27">
        <v>45880</v>
      </c>
      <c r="B104" s="28">
        <v>8851.4</v>
      </c>
      <c r="C104" s="29">
        <v>146929.84</v>
      </c>
      <c r="D104" s="30">
        <f t="shared" si="2"/>
        <v>-1.1083055884521789E-2</v>
      </c>
      <c r="E104" s="30">
        <f t="shared" si="3"/>
        <v>1.0641148746619327E-2</v>
      </c>
    </row>
    <row r="105" spans="1:5" x14ac:dyDescent="0.35">
      <c r="A105" s="27">
        <v>45877</v>
      </c>
      <c r="B105" s="28">
        <v>8950.6</v>
      </c>
      <c r="C105" s="29">
        <v>145382.79999999999</v>
      </c>
      <c r="D105" s="30">
        <f t="shared" si="2"/>
        <v>-9.626449499867221E-3</v>
      </c>
      <c r="E105" s="30">
        <f t="shared" si="3"/>
        <v>-1.8149343680900674E-3</v>
      </c>
    </row>
    <row r="106" spans="1:5" x14ac:dyDescent="0.35">
      <c r="A106" s="27">
        <v>45876</v>
      </c>
      <c r="B106" s="28">
        <v>9037.6</v>
      </c>
      <c r="C106" s="29">
        <v>145647.14000000001</v>
      </c>
      <c r="D106" s="30">
        <f t="shared" si="2"/>
        <v>-5.5454526452206297E-2</v>
      </c>
      <c r="E106" s="30">
        <f t="shared" si="3"/>
        <v>3.8503396203008093E-3</v>
      </c>
    </row>
    <row r="107" spans="1:5" x14ac:dyDescent="0.35">
      <c r="A107" s="27">
        <v>45875</v>
      </c>
      <c r="B107" s="28">
        <v>9568.2000000000007</v>
      </c>
      <c r="C107" s="29">
        <v>145088.5</v>
      </c>
      <c r="D107" s="30">
        <f t="shared" si="2"/>
        <v>0.10000804754952135</v>
      </c>
      <c r="E107" s="30">
        <f t="shared" si="3"/>
        <v>1.4341237316146475E-2</v>
      </c>
    </row>
    <row r="108" spans="1:5" x14ac:dyDescent="0.35">
      <c r="A108" s="27">
        <v>45874</v>
      </c>
      <c r="B108" s="28">
        <v>8698.2999999999993</v>
      </c>
      <c r="C108" s="29">
        <v>143037.17000000001</v>
      </c>
      <c r="D108" s="30">
        <f t="shared" si="2"/>
        <v>9.9992412362790078E-2</v>
      </c>
      <c r="E108" s="30">
        <f t="shared" si="3"/>
        <v>6.9305988356712879E-3</v>
      </c>
    </row>
    <row r="109" spans="1:5" x14ac:dyDescent="0.35">
      <c r="A109" s="27">
        <v>45873</v>
      </c>
      <c r="B109" s="28">
        <v>7907.6</v>
      </c>
      <c r="C109" s="29">
        <v>142052.66</v>
      </c>
      <c r="D109" s="30">
        <f t="shared" si="2"/>
        <v>2.4466615113522788E-3</v>
      </c>
      <c r="E109" s="30">
        <f t="shared" si="3"/>
        <v>7.2157985203386635E-3</v>
      </c>
    </row>
    <row r="110" spans="1:5" x14ac:dyDescent="0.35">
      <c r="A110" s="27">
        <v>45870</v>
      </c>
      <c r="B110" s="28">
        <v>7888.3</v>
      </c>
      <c r="C110" s="29">
        <v>141034.98000000001</v>
      </c>
      <c r="D110" s="30">
        <f t="shared" si="2"/>
        <v>3.3853211009174336E-2</v>
      </c>
      <c r="E110" s="30">
        <f t="shared" si="3"/>
        <v>1.1798228314399207E-2</v>
      </c>
    </row>
    <row r="111" spans="1:5" x14ac:dyDescent="0.35">
      <c r="A111" s="27">
        <v>45869</v>
      </c>
      <c r="B111" s="28">
        <v>7630</v>
      </c>
      <c r="C111" s="29">
        <v>139390.42000000001</v>
      </c>
      <c r="D111" s="30">
        <f t="shared" si="2"/>
        <v>2.4568733330705421E-3</v>
      </c>
      <c r="E111" s="30">
        <f t="shared" si="3"/>
        <v>7.0670767941422297E-3</v>
      </c>
    </row>
    <row r="112" spans="1:5" x14ac:dyDescent="0.35">
      <c r="A112" s="27">
        <v>45868</v>
      </c>
      <c r="B112" s="28">
        <v>7611.3</v>
      </c>
      <c r="C112" s="29">
        <v>138412.25</v>
      </c>
      <c r="D112" s="30">
        <f t="shared" si="2"/>
        <v>-1.0208327914900258E-2</v>
      </c>
      <c r="E112" s="30">
        <f t="shared" si="3"/>
        <v>3.2431458427696334E-3</v>
      </c>
    </row>
    <row r="113" spans="1:5" x14ac:dyDescent="0.35">
      <c r="A113" s="27">
        <v>45867</v>
      </c>
      <c r="B113" s="28">
        <v>7689.8</v>
      </c>
      <c r="C113" s="29">
        <v>137964.81</v>
      </c>
      <c r="D113" s="30">
        <f t="shared" si="2"/>
        <v>-1.5710409119826867E-3</v>
      </c>
      <c r="E113" s="30">
        <f t="shared" si="3"/>
        <v>-1.0153891453339883E-2</v>
      </c>
    </row>
    <row r="114" spans="1:5" x14ac:dyDescent="0.35">
      <c r="A114" s="27">
        <v>45866</v>
      </c>
      <c r="B114" s="28">
        <v>7701.9</v>
      </c>
      <c r="C114" s="29">
        <v>139380.06</v>
      </c>
      <c r="D114" s="30">
        <f t="shared" si="2"/>
        <v>2.7273435673646774E-4</v>
      </c>
      <c r="E114" s="30">
        <f t="shared" si="3"/>
        <v>1.2410268714356885E-3</v>
      </c>
    </row>
    <row r="115" spans="1:5" x14ac:dyDescent="0.35">
      <c r="A115" s="27">
        <v>45863</v>
      </c>
      <c r="B115" s="28">
        <v>7699.8</v>
      </c>
      <c r="C115" s="29">
        <v>139207.29999999999</v>
      </c>
      <c r="D115" s="30">
        <f t="shared" si="2"/>
        <v>-2.2098605501790748E-2</v>
      </c>
      <c r="E115" s="30">
        <f t="shared" si="3"/>
        <v>3.7105782158492985E-3</v>
      </c>
    </row>
    <row r="116" spans="1:5" x14ac:dyDescent="0.35">
      <c r="A116" s="27">
        <v>45862</v>
      </c>
      <c r="B116" s="28">
        <v>7873.8</v>
      </c>
      <c r="C116" s="29">
        <v>138692.67000000001</v>
      </c>
      <c r="D116" s="30">
        <f t="shared" si="2"/>
        <v>5.0400213447171847E-2</v>
      </c>
      <c r="E116" s="30">
        <f t="shared" si="3"/>
        <v>-4.0335541379097452E-3</v>
      </c>
    </row>
    <row r="117" spans="1:5" x14ac:dyDescent="0.35">
      <c r="A117" s="27">
        <v>45861</v>
      </c>
      <c r="B117" s="28">
        <v>7496</v>
      </c>
      <c r="C117" s="29">
        <v>139254.35999999999</v>
      </c>
      <c r="D117" s="30">
        <f t="shared" si="2"/>
        <v>6.7826203747229866E-3</v>
      </c>
      <c r="E117" s="30">
        <f t="shared" si="3"/>
        <v>-1.185414134293848E-3</v>
      </c>
    </row>
    <row r="118" spans="1:5" x14ac:dyDescent="0.35">
      <c r="A118" s="27">
        <v>45860</v>
      </c>
      <c r="B118" s="28">
        <v>7445.5</v>
      </c>
      <c r="C118" s="29">
        <v>139419.63</v>
      </c>
      <c r="D118" s="30">
        <f t="shared" si="2"/>
        <v>6.1486486486486483E-3</v>
      </c>
      <c r="E118" s="30">
        <f t="shared" si="3"/>
        <v>8.6967952991219896E-3</v>
      </c>
    </row>
    <row r="119" spans="1:5" x14ac:dyDescent="0.35">
      <c r="A119" s="27">
        <v>45859</v>
      </c>
      <c r="B119" s="28">
        <v>7400</v>
      </c>
      <c r="C119" s="29">
        <v>138217.57999999999</v>
      </c>
      <c r="D119" s="30">
        <f t="shared" si="2"/>
        <v>1.1896622453165596E-2</v>
      </c>
      <c r="E119" s="30">
        <f t="shared" si="3"/>
        <v>-2.7401676337846471E-3</v>
      </c>
    </row>
    <row r="120" spans="1:5" x14ac:dyDescent="0.35">
      <c r="A120" s="27">
        <v>45856</v>
      </c>
      <c r="B120" s="28">
        <v>7313</v>
      </c>
      <c r="C120" s="29">
        <v>138597.35999999999</v>
      </c>
      <c r="D120" s="30">
        <f t="shared" si="2"/>
        <v>1.078092605390463E-2</v>
      </c>
      <c r="E120" s="30">
        <f t="shared" si="3"/>
        <v>-4.9139836513057659E-4</v>
      </c>
    </row>
    <row r="121" spans="1:5" x14ac:dyDescent="0.35">
      <c r="A121" s="27">
        <v>45855</v>
      </c>
      <c r="B121" s="28">
        <v>7235</v>
      </c>
      <c r="C121" s="29">
        <v>138665.5</v>
      </c>
      <c r="D121" s="30">
        <f t="shared" si="2"/>
        <v>-1.3664784883158686E-3</v>
      </c>
      <c r="E121" s="30">
        <f t="shared" si="3"/>
        <v>1.675854599469408E-2</v>
      </c>
    </row>
    <row r="122" spans="1:5" x14ac:dyDescent="0.35">
      <c r="A122" s="27">
        <v>45854</v>
      </c>
      <c r="B122" s="28">
        <v>7244.9</v>
      </c>
      <c r="C122" s="29">
        <v>136379.97</v>
      </c>
      <c r="D122" s="30">
        <f t="shared" si="2"/>
        <v>6.3758855396582352E-3</v>
      </c>
      <c r="E122" s="30">
        <f t="shared" si="3"/>
        <v>3.23738699784049E-3</v>
      </c>
    </row>
    <row r="123" spans="1:5" x14ac:dyDescent="0.35">
      <c r="A123" s="27">
        <v>45853</v>
      </c>
      <c r="B123" s="28">
        <v>7199</v>
      </c>
      <c r="C123" s="29">
        <v>135939.88</v>
      </c>
      <c r="D123" s="30">
        <f t="shared" si="2"/>
        <v>7.4731303179578525E-3</v>
      </c>
      <c r="E123" s="30">
        <f t="shared" si="3"/>
        <v>-4.1220475368407682E-3</v>
      </c>
    </row>
    <row r="124" spans="1:5" x14ac:dyDescent="0.35">
      <c r="A124" s="27">
        <v>45852</v>
      </c>
      <c r="B124" s="28">
        <v>7145.6</v>
      </c>
      <c r="C124" s="29">
        <v>136502.54999999999</v>
      </c>
      <c r="D124" s="30">
        <f t="shared" si="2"/>
        <v>-6.8526676456186783E-4</v>
      </c>
      <c r="E124" s="30">
        <f t="shared" si="3"/>
        <v>1.640196405399651E-2</v>
      </c>
    </row>
    <row r="125" spans="1:5" x14ac:dyDescent="0.35">
      <c r="A125" s="27">
        <v>45849</v>
      </c>
      <c r="B125" s="28">
        <v>7150.5</v>
      </c>
      <c r="C125" s="29">
        <v>134299.76999999999</v>
      </c>
      <c r="D125" s="30">
        <f t="shared" si="2"/>
        <v>-1.3965505202150688E-3</v>
      </c>
      <c r="E125" s="30">
        <f t="shared" si="3"/>
        <v>3.8677003257679078E-3</v>
      </c>
    </row>
    <row r="126" spans="1:5" x14ac:dyDescent="0.35">
      <c r="A126" s="27">
        <v>45848</v>
      </c>
      <c r="B126" s="28">
        <v>7160.5</v>
      </c>
      <c r="C126" s="29">
        <v>133782.34</v>
      </c>
      <c r="D126" s="30">
        <f t="shared" si="2"/>
        <v>-2.8547556050689321E-3</v>
      </c>
      <c r="E126" s="30">
        <f t="shared" si="3"/>
        <v>9.0917744543584107E-3</v>
      </c>
    </row>
    <row r="127" spans="1:5" x14ac:dyDescent="0.35">
      <c r="A127" s="27">
        <v>45847</v>
      </c>
      <c r="B127" s="28">
        <v>7181</v>
      </c>
      <c r="C127" s="29">
        <v>132576.98000000001</v>
      </c>
      <c r="D127" s="30">
        <f t="shared" si="2"/>
        <v>-6.0762086672479397E-3</v>
      </c>
      <c r="E127" s="30">
        <f t="shared" si="3"/>
        <v>-6.193330159496125E-3</v>
      </c>
    </row>
    <row r="128" spans="1:5" x14ac:dyDescent="0.35">
      <c r="A128" s="27">
        <v>45846</v>
      </c>
      <c r="B128" s="28">
        <v>7224.9</v>
      </c>
      <c r="C128" s="29">
        <v>133403.19</v>
      </c>
      <c r="D128" s="30">
        <f t="shared" si="2"/>
        <v>1.9530092429266864E-2</v>
      </c>
      <c r="E128" s="30">
        <f t="shared" si="3"/>
        <v>2.4765659724783139E-4</v>
      </c>
    </row>
    <row r="129" spans="1:5" x14ac:dyDescent="0.35">
      <c r="A129" s="27">
        <v>45845</v>
      </c>
      <c r="B129" s="28">
        <v>7086.5</v>
      </c>
      <c r="C129" s="29">
        <v>133370.16</v>
      </c>
      <c r="D129" s="30">
        <f t="shared" si="2"/>
        <v>6.8768559696508478E-3</v>
      </c>
      <c r="E129" s="30">
        <f t="shared" si="3"/>
        <v>1.0770065357040103E-2</v>
      </c>
    </row>
    <row r="130" spans="1:5" x14ac:dyDescent="0.35">
      <c r="A130" s="27">
        <v>45842</v>
      </c>
      <c r="B130" s="28">
        <v>7038.1</v>
      </c>
      <c r="C130" s="29">
        <v>131949.06</v>
      </c>
      <c r="D130" s="30">
        <f t="shared" si="2"/>
        <v>5.3136025368167991E-3</v>
      </c>
      <c r="E130" s="30">
        <f t="shared" si="3"/>
        <v>9.6597464500201794E-3</v>
      </c>
    </row>
    <row r="131" spans="1:5" x14ac:dyDescent="0.35">
      <c r="A131" s="27">
        <v>45841</v>
      </c>
      <c r="B131" s="28">
        <v>7000.9</v>
      </c>
      <c r="C131" s="29">
        <v>130686.66</v>
      </c>
      <c r="D131" s="30">
        <f t="shared" si="2"/>
        <v>-5.5681027258136567E-3</v>
      </c>
      <c r="E131" s="30">
        <f t="shared" si="3"/>
        <v>2.6286589420321336E-3</v>
      </c>
    </row>
    <row r="132" spans="1:5" x14ac:dyDescent="0.35">
      <c r="A132" s="27">
        <v>45840</v>
      </c>
      <c r="B132" s="28">
        <v>7040.1</v>
      </c>
      <c r="C132" s="29">
        <v>130344.03</v>
      </c>
      <c r="D132" s="30">
        <f t="shared" si="2"/>
        <v>3.5780470420527961E-3</v>
      </c>
      <c r="E132" s="30">
        <f t="shared" si="3"/>
        <v>1.6728623520401033E-2</v>
      </c>
    </row>
    <row r="133" spans="1:5" x14ac:dyDescent="0.35">
      <c r="A133" s="27">
        <v>45839</v>
      </c>
      <c r="B133" s="28">
        <v>7015</v>
      </c>
      <c r="C133" s="29">
        <v>128199.43</v>
      </c>
      <c r="D133" s="30">
        <f t="shared" ref="D133:D196" si="4">(B133-B134)/B134</f>
        <v>-4.3996593812091964E-3</v>
      </c>
      <c r="E133" s="30">
        <f t="shared" ref="E133:E196" si="5">(C133-C134)/C134</f>
        <v>2.0474210583670025E-2</v>
      </c>
    </row>
    <row r="134" spans="1:5" x14ac:dyDescent="0.35">
      <c r="A134" s="27">
        <v>45838</v>
      </c>
      <c r="B134" s="28">
        <v>7046</v>
      </c>
      <c r="C134" s="29">
        <v>125627.31</v>
      </c>
      <c r="D134" s="30">
        <f t="shared" si="4"/>
        <v>2.0764001479080074E-3</v>
      </c>
      <c r="E134" s="30">
        <f t="shared" si="5"/>
        <v>1.0035772095739184E-2</v>
      </c>
    </row>
    <row r="135" spans="1:5" x14ac:dyDescent="0.35">
      <c r="A135" s="27">
        <v>45835</v>
      </c>
      <c r="B135" s="28">
        <v>7031.4</v>
      </c>
      <c r="C135" s="29">
        <v>124379.07</v>
      </c>
      <c r="D135" s="30">
        <f t="shared" si="4"/>
        <v>7.8114922100073099E-3</v>
      </c>
      <c r="E135" s="30">
        <f t="shared" si="5"/>
        <v>1.9112475691634156E-2</v>
      </c>
    </row>
    <row r="136" spans="1:5" x14ac:dyDescent="0.35">
      <c r="A136" s="27">
        <v>45834</v>
      </c>
      <c r="B136" s="28">
        <v>6976.9</v>
      </c>
      <c r="C136" s="29">
        <v>122046.46</v>
      </c>
      <c r="D136" s="30">
        <f t="shared" si="4"/>
        <v>-1.0017736786094411E-2</v>
      </c>
      <c r="E136" s="30">
        <f t="shared" si="5"/>
        <v>-5.825761206839474E-3</v>
      </c>
    </row>
    <row r="137" spans="1:5" x14ac:dyDescent="0.35">
      <c r="A137" s="27">
        <v>45833</v>
      </c>
      <c r="B137" s="28">
        <v>7047.5</v>
      </c>
      <c r="C137" s="29">
        <v>122761.64</v>
      </c>
      <c r="D137" s="30">
        <f t="shared" si="4"/>
        <v>1.5775112273322103E-3</v>
      </c>
      <c r="E137" s="30">
        <f t="shared" si="5"/>
        <v>4.2127947238468069E-3</v>
      </c>
    </row>
    <row r="138" spans="1:5" x14ac:dyDescent="0.35">
      <c r="A138" s="27">
        <v>45832</v>
      </c>
      <c r="B138" s="28">
        <v>7036.4</v>
      </c>
      <c r="C138" s="29">
        <v>122246.64</v>
      </c>
      <c r="D138" s="30">
        <f t="shared" si="4"/>
        <v>4.0668388532941399E-3</v>
      </c>
      <c r="E138" s="30">
        <f t="shared" si="5"/>
        <v>5.2331087179569274E-2</v>
      </c>
    </row>
    <row r="139" spans="1:5" x14ac:dyDescent="0.35">
      <c r="A139" s="27">
        <v>45831</v>
      </c>
      <c r="B139" s="28">
        <v>7007.9</v>
      </c>
      <c r="C139" s="29">
        <v>116167.47</v>
      </c>
      <c r="D139" s="30">
        <f t="shared" si="4"/>
        <v>1.1285714285713766E-3</v>
      </c>
      <c r="E139" s="30">
        <f t="shared" si="5"/>
        <v>-3.2125195087218145E-2</v>
      </c>
    </row>
    <row r="140" spans="1:5" x14ac:dyDescent="0.35">
      <c r="A140" s="27">
        <v>45828</v>
      </c>
      <c r="B140" s="28">
        <v>7000</v>
      </c>
      <c r="C140" s="29">
        <v>120023.24</v>
      </c>
      <c r="D140" s="30">
        <f t="shared" si="4"/>
        <v>-6.8524440383739462E-4</v>
      </c>
      <c r="E140" s="30">
        <f t="shared" si="5"/>
        <v>1.7207961928162327E-4</v>
      </c>
    </row>
    <row r="141" spans="1:5" x14ac:dyDescent="0.35">
      <c r="A141" s="27">
        <v>45827</v>
      </c>
      <c r="B141" s="28">
        <v>7004.8</v>
      </c>
      <c r="C141" s="29">
        <v>120002.59</v>
      </c>
      <c r="D141" s="30">
        <f t="shared" si="4"/>
        <v>-7.1328711232845443E-4</v>
      </c>
      <c r="E141" s="30">
        <f t="shared" si="5"/>
        <v>-3.8462327066249896E-3</v>
      </c>
    </row>
    <row r="142" spans="1:5" x14ac:dyDescent="0.35">
      <c r="A142" s="27">
        <v>45826</v>
      </c>
      <c r="B142" s="28">
        <v>7009.8</v>
      </c>
      <c r="C142" s="29">
        <v>120465.93</v>
      </c>
      <c r="D142" s="30">
        <f t="shared" si="4"/>
        <v>-2.8530670470730113E-5</v>
      </c>
      <c r="E142" s="30">
        <f t="shared" si="5"/>
        <v>-1.2339896421314441E-2</v>
      </c>
    </row>
    <row r="143" spans="1:5" x14ac:dyDescent="0.35">
      <c r="A143" s="27">
        <v>45825</v>
      </c>
      <c r="B143" s="28">
        <v>7010</v>
      </c>
      <c r="C143" s="29">
        <v>121971.04</v>
      </c>
      <c r="D143" s="30">
        <f t="shared" si="4"/>
        <v>3.5676061362825543E-4</v>
      </c>
      <c r="E143" s="30">
        <f t="shared" si="5"/>
        <v>-2.080746581560545E-3</v>
      </c>
    </row>
    <row r="144" spans="1:5" x14ac:dyDescent="0.35">
      <c r="A144" s="27">
        <v>45824</v>
      </c>
      <c r="B144" s="28">
        <v>7007.5</v>
      </c>
      <c r="C144" s="29">
        <v>122225.36</v>
      </c>
      <c r="D144" s="30">
        <f t="shared" si="4"/>
        <v>-2.8540034533415828E-5</v>
      </c>
      <c r="E144" s="30">
        <f t="shared" si="5"/>
        <v>6.696218229088407E-4</v>
      </c>
    </row>
    <row r="145" spans="1:5" x14ac:dyDescent="0.35">
      <c r="A145" s="27">
        <v>45821</v>
      </c>
      <c r="B145" s="28">
        <v>7007.7</v>
      </c>
      <c r="C145" s="29">
        <v>122143.57</v>
      </c>
      <c r="D145" s="30">
        <f t="shared" si="4"/>
        <v>-9.6942048613588732E-4</v>
      </c>
      <c r="E145" s="30">
        <f t="shared" si="5"/>
        <v>-1.5710379431188356E-2</v>
      </c>
    </row>
    <row r="146" spans="1:5" x14ac:dyDescent="0.35">
      <c r="A146" s="27">
        <v>45820</v>
      </c>
      <c r="B146" s="28">
        <v>7014.5</v>
      </c>
      <c r="C146" s="29">
        <v>124093.12</v>
      </c>
      <c r="D146" s="30">
        <f t="shared" si="4"/>
        <v>2.0714285714285713E-3</v>
      </c>
      <c r="E146" s="30">
        <f t="shared" si="5"/>
        <v>-2.0872891521115404E-3</v>
      </c>
    </row>
    <row r="147" spans="1:5" x14ac:dyDescent="0.35">
      <c r="A147" s="27">
        <v>45819</v>
      </c>
      <c r="B147" s="28">
        <v>7000</v>
      </c>
      <c r="C147" s="29">
        <v>124352.68</v>
      </c>
      <c r="D147" s="30">
        <f t="shared" si="4"/>
        <v>0</v>
      </c>
      <c r="E147" s="30">
        <f t="shared" si="5"/>
        <v>1.9080112148025352E-2</v>
      </c>
    </row>
    <row r="148" spans="1:5" x14ac:dyDescent="0.35">
      <c r="A148" s="27">
        <v>45818</v>
      </c>
      <c r="B148" s="28">
        <v>7000</v>
      </c>
      <c r="C148" s="29">
        <v>122024.44</v>
      </c>
      <c r="D148" s="30">
        <f t="shared" si="4"/>
        <v>-1.2498941963152155E-2</v>
      </c>
      <c r="E148" s="30">
        <f t="shared" si="5"/>
        <v>3.152226634111873E-3</v>
      </c>
    </row>
    <row r="149" spans="1:5" x14ac:dyDescent="0.35">
      <c r="A149" s="27">
        <v>45813</v>
      </c>
      <c r="B149" s="28">
        <v>7088.6</v>
      </c>
      <c r="C149" s="29">
        <v>121641</v>
      </c>
      <c r="D149" s="30">
        <f t="shared" si="4"/>
        <v>7.4472016145079086E-3</v>
      </c>
      <c r="E149" s="30">
        <f t="shared" si="5"/>
        <v>-1.2961532401737008E-3</v>
      </c>
    </row>
    <row r="150" spans="1:5" x14ac:dyDescent="0.35">
      <c r="A150" s="27">
        <v>45812</v>
      </c>
      <c r="B150" s="28">
        <v>7036.2</v>
      </c>
      <c r="C150" s="29">
        <v>121798.87</v>
      </c>
      <c r="D150" s="30">
        <f t="shared" si="4"/>
        <v>-6.9859011812523821E-3</v>
      </c>
      <c r="E150" s="30">
        <f t="shared" si="5"/>
        <v>1.1191284878224624E-2</v>
      </c>
    </row>
    <row r="151" spans="1:5" x14ac:dyDescent="0.35">
      <c r="A151" s="27">
        <v>45811</v>
      </c>
      <c r="B151" s="28">
        <v>7085.7</v>
      </c>
      <c r="C151" s="29">
        <v>120450.87</v>
      </c>
      <c r="D151" s="30">
        <f t="shared" si="4"/>
        <v>6.3056537855225078E-3</v>
      </c>
      <c r="E151" s="30">
        <f t="shared" si="5"/>
        <v>1.3232578897609214E-2</v>
      </c>
    </row>
    <row r="152" spans="1:5" x14ac:dyDescent="0.35">
      <c r="A152" s="27">
        <v>45810</v>
      </c>
      <c r="B152" s="28">
        <v>7041.3</v>
      </c>
      <c r="C152" s="29">
        <v>118877.81</v>
      </c>
      <c r="D152" s="30">
        <f t="shared" si="4"/>
        <v>5.7419548356686546E-3</v>
      </c>
      <c r="E152" s="30">
        <f t="shared" si="5"/>
        <v>-6.7948249113613957E-3</v>
      </c>
    </row>
    <row r="153" spans="1:5" x14ac:dyDescent="0.35">
      <c r="A153" s="27">
        <v>45807</v>
      </c>
      <c r="B153" s="28">
        <v>7001.1</v>
      </c>
      <c r="C153" s="29">
        <v>119691.09</v>
      </c>
      <c r="D153" s="30">
        <f t="shared" si="4"/>
        <v>-3.4588777863181134E-3</v>
      </c>
      <c r="E153" s="30">
        <f t="shared" si="5"/>
        <v>6.0491844217026008E-3</v>
      </c>
    </row>
    <row r="154" spans="1:5" x14ac:dyDescent="0.35">
      <c r="A154" s="27">
        <v>45806</v>
      </c>
      <c r="B154" s="28">
        <v>7025.4</v>
      </c>
      <c r="C154" s="29">
        <v>118971.41</v>
      </c>
      <c r="D154" s="30">
        <f t="shared" si="4"/>
        <v>2.1968616262481649E-3</v>
      </c>
      <c r="E154" s="30">
        <f t="shared" si="5"/>
        <v>5.395793951150191E-3</v>
      </c>
    </row>
    <row r="155" spans="1:5" x14ac:dyDescent="0.35">
      <c r="A155" s="27">
        <v>45804</v>
      </c>
      <c r="B155" s="28">
        <v>7010</v>
      </c>
      <c r="C155" s="29">
        <v>118332.91</v>
      </c>
      <c r="D155" s="30">
        <f t="shared" si="4"/>
        <v>-4.8478626629019255E-4</v>
      </c>
      <c r="E155" s="30">
        <f t="shared" si="5"/>
        <v>9.4560092139211798E-4</v>
      </c>
    </row>
    <row r="156" spans="1:5" x14ac:dyDescent="0.35">
      <c r="A156" s="27">
        <v>45803</v>
      </c>
      <c r="B156" s="28">
        <v>7013.4</v>
      </c>
      <c r="C156" s="29">
        <v>118221.12</v>
      </c>
      <c r="D156" s="30">
        <f t="shared" si="4"/>
        <v>-7.5512559305856953E-4</v>
      </c>
      <c r="E156" s="30">
        <f t="shared" si="5"/>
        <v>-7.4015972941664778E-3</v>
      </c>
    </row>
    <row r="157" spans="1:5" x14ac:dyDescent="0.35">
      <c r="A157" s="27">
        <v>45800</v>
      </c>
      <c r="B157" s="28">
        <v>7018.7</v>
      </c>
      <c r="C157" s="29">
        <v>119102.67</v>
      </c>
      <c r="D157" s="30">
        <f t="shared" si="4"/>
        <v>-5.060671354048512E-3</v>
      </c>
      <c r="E157" s="30">
        <f t="shared" si="5"/>
        <v>-4.2273365413081652E-4</v>
      </c>
    </row>
    <row r="158" spans="1:5" x14ac:dyDescent="0.35">
      <c r="A158" s="27">
        <v>45799</v>
      </c>
      <c r="B158" s="28">
        <v>7054.4</v>
      </c>
      <c r="C158" s="29">
        <v>119153.04</v>
      </c>
      <c r="D158" s="30">
        <f t="shared" si="4"/>
        <v>-2.2065063649222578E-3</v>
      </c>
      <c r="E158" s="30">
        <f t="shared" si="5"/>
        <v>-6.4905405137235285E-3</v>
      </c>
    </row>
    <row r="159" spans="1:5" x14ac:dyDescent="0.35">
      <c r="A159" s="27">
        <v>45798</v>
      </c>
      <c r="B159" s="28">
        <v>7070</v>
      </c>
      <c r="C159" s="29">
        <v>119931.46</v>
      </c>
      <c r="D159" s="30">
        <f t="shared" si="4"/>
        <v>2.8226549978013979E-3</v>
      </c>
      <c r="E159" s="30">
        <f t="shared" si="5"/>
        <v>8.0719582977820063E-3</v>
      </c>
    </row>
    <row r="160" spans="1:5" x14ac:dyDescent="0.35">
      <c r="A160" s="27">
        <v>45797</v>
      </c>
      <c r="B160" s="28">
        <v>7050.1</v>
      </c>
      <c r="C160" s="29">
        <v>118971.13</v>
      </c>
      <c r="D160" s="30">
        <f t="shared" si="4"/>
        <v>-2.6172084995614406E-3</v>
      </c>
      <c r="E160" s="30">
        <f t="shared" si="5"/>
        <v>-6.0030263273434794E-3</v>
      </c>
    </row>
    <row r="161" spans="1:5" x14ac:dyDescent="0.35">
      <c r="A161" s="27">
        <v>45796</v>
      </c>
      <c r="B161" s="28">
        <v>7068.6</v>
      </c>
      <c r="C161" s="29">
        <v>119689.63</v>
      </c>
      <c r="D161" s="30">
        <f t="shared" si="4"/>
        <v>-3.2713838517724439E-3</v>
      </c>
      <c r="E161" s="30">
        <f t="shared" si="5"/>
        <v>3.3840610973054412E-4</v>
      </c>
    </row>
    <row r="162" spans="1:5" x14ac:dyDescent="0.35">
      <c r="A162" s="27">
        <v>45793</v>
      </c>
      <c r="B162" s="28">
        <v>7091.8</v>
      </c>
      <c r="C162" s="29">
        <v>119649.14</v>
      </c>
      <c r="D162" s="30">
        <f t="shared" si="4"/>
        <v>-1.2284122562674069E-2</v>
      </c>
      <c r="E162" s="30">
        <f t="shared" si="5"/>
        <v>-2.6072442494455453E-3</v>
      </c>
    </row>
    <row r="163" spans="1:5" x14ac:dyDescent="0.35">
      <c r="A163" s="27">
        <v>45792</v>
      </c>
      <c r="B163" s="28">
        <v>7180</v>
      </c>
      <c r="C163" s="29">
        <v>119961.91</v>
      </c>
      <c r="D163" s="30">
        <f t="shared" si="4"/>
        <v>1.5113599411856136E-2</v>
      </c>
      <c r="E163" s="30">
        <f t="shared" si="5"/>
        <v>1.2024816316117948E-2</v>
      </c>
    </row>
    <row r="164" spans="1:5" x14ac:dyDescent="0.35">
      <c r="A164" s="27">
        <v>45791</v>
      </c>
      <c r="B164" s="28">
        <v>7073.1</v>
      </c>
      <c r="C164" s="29">
        <v>118536.53</v>
      </c>
      <c r="D164" s="30">
        <f t="shared" si="4"/>
        <v>-1.4136073846849774E-4</v>
      </c>
      <c r="E164" s="30">
        <f t="shared" si="5"/>
        <v>-3.3193931751219059E-4</v>
      </c>
    </row>
    <row r="165" spans="1:5" x14ac:dyDescent="0.35">
      <c r="A165" s="27">
        <v>45790</v>
      </c>
      <c r="B165" s="28">
        <v>7074.1</v>
      </c>
      <c r="C165" s="29">
        <v>118575.89</v>
      </c>
      <c r="D165" s="30">
        <f t="shared" si="4"/>
        <v>-1.264533057908907E-2</v>
      </c>
      <c r="E165" s="30">
        <f t="shared" si="5"/>
        <v>1.0896715563037781E-2</v>
      </c>
    </row>
    <row r="166" spans="1:5" x14ac:dyDescent="0.35">
      <c r="A166" s="27">
        <v>45789</v>
      </c>
      <c r="B166" s="28">
        <v>7164.7</v>
      </c>
      <c r="C166" s="29">
        <v>117297.73</v>
      </c>
      <c r="D166" s="30">
        <f t="shared" si="4"/>
        <v>6.405304041241091E-3</v>
      </c>
      <c r="E166" s="30">
        <f t="shared" si="5"/>
        <v>9.4454154452956379E-2</v>
      </c>
    </row>
    <row r="167" spans="1:5" x14ac:dyDescent="0.35">
      <c r="A167" s="27">
        <v>45786</v>
      </c>
      <c r="B167" s="28">
        <v>7119.1</v>
      </c>
      <c r="C167" s="29">
        <v>107174.64</v>
      </c>
      <c r="D167" s="30">
        <f t="shared" si="4"/>
        <v>1.7188660913299448E-2</v>
      </c>
      <c r="E167" s="30">
        <f t="shared" si="5"/>
        <v>3.5235507088887619E-2</v>
      </c>
    </row>
    <row r="168" spans="1:5" x14ac:dyDescent="0.35">
      <c r="A168" s="27">
        <v>45785</v>
      </c>
      <c r="B168" s="28">
        <v>6998.8</v>
      </c>
      <c r="C168" s="29">
        <v>103526.82</v>
      </c>
      <c r="D168" s="30">
        <f t="shared" si="4"/>
        <v>-1.8703906228092263E-2</v>
      </c>
      <c r="E168" s="30">
        <f t="shared" si="5"/>
        <v>-5.8924344665160597E-2</v>
      </c>
    </row>
    <row r="169" spans="1:5" x14ac:dyDescent="0.35">
      <c r="A169" s="27">
        <v>45784</v>
      </c>
      <c r="B169" s="28">
        <v>7132.2</v>
      </c>
      <c r="C169" s="29">
        <v>110009.03</v>
      </c>
      <c r="D169" s="30">
        <f t="shared" si="4"/>
        <v>1.6272442291251042E-2</v>
      </c>
      <c r="E169" s="30">
        <f t="shared" si="5"/>
        <v>-3.1342138767163505E-2</v>
      </c>
    </row>
    <row r="170" spans="1:5" x14ac:dyDescent="0.35">
      <c r="A170" s="27">
        <v>45783</v>
      </c>
      <c r="B170" s="28">
        <v>7018</v>
      </c>
      <c r="C170" s="29">
        <v>113568.51</v>
      </c>
      <c r="D170" s="30">
        <f t="shared" si="4"/>
        <v>-2.3976412995104536E-2</v>
      </c>
      <c r="E170" s="30">
        <f t="shared" si="5"/>
        <v>-4.6776469944850374E-3</v>
      </c>
    </row>
    <row r="171" spans="1:5" x14ac:dyDescent="0.35">
      <c r="A171" s="27">
        <v>45782</v>
      </c>
      <c r="B171" s="28">
        <v>7190.4</v>
      </c>
      <c r="C171" s="29">
        <v>114102.24</v>
      </c>
      <c r="D171" s="30">
        <f t="shared" si="4"/>
        <v>4.1739709951755133E-2</v>
      </c>
      <c r="E171" s="30">
        <f t="shared" si="5"/>
        <v>-1.0252910380622287E-4</v>
      </c>
    </row>
    <row r="172" spans="1:5" x14ac:dyDescent="0.35">
      <c r="A172" s="27">
        <v>45779</v>
      </c>
      <c r="B172" s="28">
        <v>6902.3</v>
      </c>
      <c r="C172" s="29">
        <v>114113.94</v>
      </c>
      <c r="D172" s="30">
        <f t="shared" si="4"/>
        <v>1.4447383891828362E-2</v>
      </c>
      <c r="E172" s="30">
        <f t="shared" si="5"/>
        <v>2.5037686417744984E-2</v>
      </c>
    </row>
    <row r="173" spans="1:5" x14ac:dyDescent="0.35">
      <c r="A173" s="27">
        <v>45777</v>
      </c>
      <c r="B173" s="28">
        <v>6804</v>
      </c>
      <c r="C173" s="29">
        <v>111326.58</v>
      </c>
      <c r="D173" s="30">
        <f t="shared" si="4"/>
        <v>-1.2051691592856106E-2</v>
      </c>
      <c r="E173" s="30">
        <f t="shared" si="5"/>
        <v>-3.0865610803242276E-2</v>
      </c>
    </row>
    <row r="174" spans="1:5" x14ac:dyDescent="0.35">
      <c r="A174" s="27">
        <v>45776</v>
      </c>
      <c r="B174" s="28">
        <v>6887</v>
      </c>
      <c r="C174" s="29">
        <v>114872.18</v>
      </c>
      <c r="D174" s="30">
        <f t="shared" si="4"/>
        <v>-1.4763526079368233E-2</v>
      </c>
      <c r="E174" s="30">
        <f t="shared" si="5"/>
        <v>7.0862034350920745E-3</v>
      </c>
    </row>
    <row r="175" spans="1:5" x14ac:dyDescent="0.35">
      <c r="A175" s="27">
        <v>45775</v>
      </c>
      <c r="B175" s="28">
        <v>6990.2</v>
      </c>
      <c r="C175" s="29">
        <v>114063.9</v>
      </c>
      <c r="D175" s="30">
        <f t="shared" si="4"/>
        <v>-5.8619161317077675E-4</v>
      </c>
      <c r="E175" s="30">
        <f t="shared" si="5"/>
        <v>-1.2171628228616612E-2</v>
      </c>
    </row>
    <row r="176" spans="1:5" x14ac:dyDescent="0.35">
      <c r="A176" s="27">
        <v>45772</v>
      </c>
      <c r="B176" s="28">
        <v>6994.3</v>
      </c>
      <c r="C176" s="29">
        <v>115469.35</v>
      </c>
      <c r="D176" s="30">
        <f t="shared" si="4"/>
        <v>-5.2872249214058558E-4</v>
      </c>
      <c r="E176" s="30">
        <f t="shared" si="5"/>
        <v>3.9082829376710796E-3</v>
      </c>
    </row>
    <row r="177" spans="1:5" x14ac:dyDescent="0.35">
      <c r="A177" s="27">
        <v>45771</v>
      </c>
      <c r="B177" s="28">
        <v>6998</v>
      </c>
      <c r="C177" s="29">
        <v>115019.82</v>
      </c>
      <c r="D177" s="30">
        <f t="shared" si="4"/>
        <v>-7.2350688040856859E-3</v>
      </c>
      <c r="E177" s="30">
        <f t="shared" si="5"/>
        <v>-1.8821141869796009E-2</v>
      </c>
    </row>
    <row r="178" spans="1:5" x14ac:dyDescent="0.35">
      <c r="A178" s="27">
        <v>45770</v>
      </c>
      <c r="B178" s="28">
        <v>7049</v>
      </c>
      <c r="C178" s="29">
        <v>117226.15</v>
      </c>
      <c r="D178" s="30">
        <f t="shared" si="4"/>
        <v>-7.3714949958887167E-4</v>
      </c>
      <c r="E178" s="30">
        <f t="shared" si="5"/>
        <v>-1.0168001698888939E-2</v>
      </c>
    </row>
    <row r="179" spans="1:5" x14ac:dyDescent="0.35">
      <c r="A179" s="27">
        <v>45769</v>
      </c>
      <c r="B179" s="28">
        <v>7054.2</v>
      </c>
      <c r="C179" s="29">
        <v>118430.35</v>
      </c>
      <c r="D179" s="30">
        <f t="shared" si="4"/>
        <v>7.5845224321891488E-3</v>
      </c>
      <c r="E179" s="30">
        <f t="shared" si="5"/>
        <v>3.9676177517486969E-4</v>
      </c>
    </row>
    <row r="180" spans="1:5" x14ac:dyDescent="0.35">
      <c r="A180" s="27">
        <v>45768</v>
      </c>
      <c r="B180" s="28">
        <v>7001.1</v>
      </c>
      <c r="C180" s="29">
        <v>118383.38</v>
      </c>
      <c r="D180" s="30">
        <f t="shared" si="4"/>
        <v>-1.3929577464788682E-2</v>
      </c>
      <c r="E180" s="30">
        <f t="shared" si="5"/>
        <v>9.1018593521969941E-3</v>
      </c>
    </row>
    <row r="181" spans="1:5" x14ac:dyDescent="0.35">
      <c r="A181" s="27">
        <v>45765</v>
      </c>
      <c r="B181" s="28">
        <v>7100</v>
      </c>
      <c r="C181" s="29">
        <v>117315.59</v>
      </c>
      <c r="D181" s="30">
        <f t="shared" si="4"/>
        <v>4.0018665950196106E-3</v>
      </c>
      <c r="E181" s="30">
        <f t="shared" si="5"/>
        <v>3.5453891677522009E-3</v>
      </c>
    </row>
    <row r="182" spans="1:5" x14ac:dyDescent="0.35">
      <c r="A182" s="27">
        <v>45764</v>
      </c>
      <c r="B182" s="28">
        <v>7071.7</v>
      </c>
      <c r="C182" s="29">
        <v>116901.13</v>
      </c>
      <c r="D182" s="30">
        <f t="shared" si="4"/>
        <v>-3.9859154929577723E-3</v>
      </c>
      <c r="E182" s="30">
        <f t="shared" si="5"/>
        <v>7.5936835433098974E-3</v>
      </c>
    </row>
    <row r="183" spans="1:5" x14ac:dyDescent="0.35">
      <c r="A183" s="27">
        <v>45763</v>
      </c>
      <c r="B183" s="28">
        <v>7100</v>
      </c>
      <c r="C183" s="29">
        <v>116020.11</v>
      </c>
      <c r="D183" s="30">
        <f t="shared" si="4"/>
        <v>-2.0801709113397681E-3</v>
      </c>
      <c r="E183" s="30">
        <f t="shared" si="5"/>
        <v>-6.4687370210360856E-3</v>
      </c>
    </row>
    <row r="184" spans="1:5" x14ac:dyDescent="0.35">
      <c r="A184" s="27">
        <v>45762</v>
      </c>
      <c r="B184" s="28">
        <v>7114.8</v>
      </c>
      <c r="C184" s="29">
        <v>116775.5</v>
      </c>
      <c r="D184" s="30">
        <f t="shared" si="4"/>
        <v>-8.1552423570741498E-3</v>
      </c>
      <c r="E184" s="30">
        <f t="shared" si="5"/>
        <v>3.3117954079232761E-3</v>
      </c>
    </row>
    <row r="185" spans="1:5" x14ac:dyDescent="0.35">
      <c r="A185" s="27">
        <v>45761</v>
      </c>
      <c r="B185" s="28">
        <v>7173.3</v>
      </c>
      <c r="C185" s="29">
        <v>116390.04</v>
      </c>
      <c r="D185" s="30">
        <f t="shared" si="4"/>
        <v>1.4481890565557503E-2</v>
      </c>
      <c r="E185" s="30">
        <f t="shared" si="5"/>
        <v>1.3379760081836476E-2</v>
      </c>
    </row>
    <row r="186" spans="1:5" x14ac:dyDescent="0.35">
      <c r="A186" s="27">
        <v>45758</v>
      </c>
      <c r="B186" s="28">
        <v>7070.9</v>
      </c>
      <c r="C186" s="29">
        <v>114853.33</v>
      </c>
      <c r="D186" s="30">
        <f t="shared" si="4"/>
        <v>-1.5674810329226751E-2</v>
      </c>
      <c r="E186" s="30">
        <f t="shared" si="5"/>
        <v>-1.1497453162819547E-2</v>
      </c>
    </row>
    <row r="187" spans="1:5" x14ac:dyDescent="0.35">
      <c r="A187" s="27">
        <v>45757</v>
      </c>
      <c r="B187" s="28">
        <v>7183.5</v>
      </c>
      <c r="C187" s="29">
        <v>116189.21</v>
      </c>
      <c r="D187" s="30">
        <f t="shared" si="4"/>
        <v>-3.177730905861406E-3</v>
      </c>
      <c r="E187" s="30">
        <f t="shared" si="5"/>
        <v>1.7836124729267266E-2</v>
      </c>
    </row>
    <row r="188" spans="1:5" x14ac:dyDescent="0.35">
      <c r="A188" s="27">
        <v>45756</v>
      </c>
      <c r="B188" s="28">
        <v>7206.4</v>
      </c>
      <c r="C188" s="29">
        <v>114153.16</v>
      </c>
      <c r="D188" s="30">
        <f t="shared" si="4"/>
        <v>-5.0531547701229279E-3</v>
      </c>
      <c r="E188" s="30">
        <f t="shared" si="5"/>
        <v>-1.1938379552823303E-2</v>
      </c>
    </row>
    <row r="189" spans="1:5" x14ac:dyDescent="0.35">
      <c r="A189" s="27">
        <v>45755</v>
      </c>
      <c r="B189" s="28">
        <v>7243</v>
      </c>
      <c r="C189" s="29">
        <v>115532.43</v>
      </c>
      <c r="D189" s="30">
        <f t="shared" si="4"/>
        <v>5.9722222222222225E-3</v>
      </c>
      <c r="E189" s="30">
        <f t="shared" si="5"/>
        <v>5.4211362351359125E-3</v>
      </c>
    </row>
    <row r="190" spans="1:5" x14ac:dyDescent="0.35">
      <c r="A190" s="27">
        <v>45754</v>
      </c>
      <c r="B190" s="28">
        <v>7200</v>
      </c>
      <c r="C190" s="29">
        <v>114909.49</v>
      </c>
      <c r="D190" s="30">
        <f t="shared" si="4"/>
        <v>-2.0408163265306121E-2</v>
      </c>
      <c r="E190" s="30">
        <f t="shared" si="5"/>
        <v>-3.2680492889820702E-2</v>
      </c>
    </row>
    <row r="191" spans="1:5" x14ac:dyDescent="0.35">
      <c r="A191" s="27">
        <v>45751</v>
      </c>
      <c r="B191" s="28">
        <v>7350</v>
      </c>
      <c r="C191" s="29">
        <v>118791.66</v>
      </c>
      <c r="D191" s="30">
        <f t="shared" si="4"/>
        <v>-6.4882400648824008E-3</v>
      </c>
      <c r="E191" s="30">
        <f t="shared" si="5"/>
        <v>-1.2313126549597694E-3</v>
      </c>
    </row>
    <row r="192" spans="1:5" x14ac:dyDescent="0.35">
      <c r="A192" s="27">
        <v>45750</v>
      </c>
      <c r="B192" s="28">
        <v>7398</v>
      </c>
      <c r="C192" s="29">
        <v>118938.11</v>
      </c>
      <c r="D192" s="30">
        <f t="shared" si="4"/>
        <v>3.5949264057518822E-3</v>
      </c>
      <c r="E192" s="30">
        <f t="shared" si="5"/>
        <v>9.6035244160457747E-3</v>
      </c>
    </row>
    <row r="193" spans="1:5" x14ac:dyDescent="0.35">
      <c r="A193" s="27">
        <v>45743</v>
      </c>
      <c r="B193" s="28">
        <v>7371.5</v>
      </c>
      <c r="C193" s="29">
        <v>117806.75</v>
      </c>
      <c r="D193" s="30">
        <f t="shared" si="4"/>
        <v>-1.9361477429662571E-3</v>
      </c>
      <c r="E193" s="30">
        <f t="shared" si="5"/>
        <v>2.9242867020271853E-4</v>
      </c>
    </row>
    <row r="194" spans="1:5" x14ac:dyDescent="0.35">
      <c r="A194" s="27">
        <v>45742</v>
      </c>
      <c r="B194" s="28">
        <v>7385.8</v>
      </c>
      <c r="C194" s="29">
        <v>117772.31</v>
      </c>
      <c r="D194" s="30">
        <f t="shared" si="4"/>
        <v>1.4644067796610416E-3</v>
      </c>
      <c r="E194" s="30">
        <f t="shared" si="5"/>
        <v>9.7668613482768188E-3</v>
      </c>
    </row>
    <row r="195" spans="1:5" x14ac:dyDescent="0.35">
      <c r="A195" s="27">
        <v>45741</v>
      </c>
      <c r="B195" s="28">
        <v>7375</v>
      </c>
      <c r="C195" s="29">
        <v>116633.17</v>
      </c>
      <c r="D195" s="30">
        <f t="shared" si="4"/>
        <v>1.3559505891654639E-5</v>
      </c>
      <c r="E195" s="30">
        <f t="shared" si="5"/>
        <v>1.6622348990833439E-3</v>
      </c>
    </row>
    <row r="196" spans="1:5" x14ac:dyDescent="0.35">
      <c r="A196" s="27">
        <v>45740</v>
      </c>
      <c r="B196" s="28">
        <v>7374.9</v>
      </c>
      <c r="C196" s="29">
        <v>116439.62</v>
      </c>
      <c r="D196" s="30">
        <f t="shared" si="4"/>
        <v>-3.1898357775225201E-3</v>
      </c>
      <c r="E196" s="30">
        <f t="shared" si="5"/>
        <v>-1.6907490220122577E-2</v>
      </c>
    </row>
    <row r="197" spans="1:5" x14ac:dyDescent="0.35">
      <c r="A197" s="27">
        <v>45737</v>
      </c>
      <c r="B197" s="28">
        <v>7398.5</v>
      </c>
      <c r="C197" s="29">
        <v>118442.18</v>
      </c>
      <c r="D197" s="30">
        <f t="shared" ref="D197:D260" si="6">(B197-B198)/B198</f>
        <v>1.9772748818375607E-3</v>
      </c>
      <c r="E197" s="30">
        <f t="shared" ref="E197:E260" si="7">(C197-C198)/C198</f>
        <v>-2.7581934359223819E-3</v>
      </c>
    </row>
    <row r="198" spans="1:5" x14ac:dyDescent="0.35">
      <c r="A198" s="27">
        <v>45736</v>
      </c>
      <c r="B198" s="28">
        <v>7383.9</v>
      </c>
      <c r="C198" s="29">
        <v>118769.77</v>
      </c>
      <c r="D198" s="30">
        <f t="shared" si="6"/>
        <v>-2.4857138997339402E-3</v>
      </c>
      <c r="E198" s="30">
        <f t="shared" si="7"/>
        <v>6.7450438032845474E-3</v>
      </c>
    </row>
    <row r="199" spans="1:5" x14ac:dyDescent="0.35">
      <c r="A199" s="27">
        <v>45735</v>
      </c>
      <c r="B199" s="28">
        <v>7402.3</v>
      </c>
      <c r="C199" s="29">
        <v>117974.03</v>
      </c>
      <c r="D199" s="30">
        <f t="shared" si="6"/>
        <v>-8.6913434754659902E-3</v>
      </c>
      <c r="E199" s="30">
        <f t="shared" si="7"/>
        <v>8.3156490251501281E-3</v>
      </c>
    </row>
    <row r="200" spans="1:5" x14ac:dyDescent="0.35">
      <c r="A200" s="27">
        <v>45734</v>
      </c>
      <c r="B200" s="28">
        <v>7467.2</v>
      </c>
      <c r="C200" s="29">
        <v>117001.09</v>
      </c>
      <c r="D200" s="30">
        <f t="shared" si="6"/>
        <v>1.5945578231292491E-2</v>
      </c>
      <c r="E200" s="30">
        <f t="shared" si="7"/>
        <v>6.8976146989847388E-3</v>
      </c>
    </row>
    <row r="201" spans="1:5" x14ac:dyDescent="0.35">
      <c r="A201" s="27">
        <v>45733</v>
      </c>
      <c r="B201" s="28">
        <v>7350</v>
      </c>
      <c r="C201" s="29">
        <v>116199.59</v>
      </c>
      <c r="D201" s="30">
        <f t="shared" si="6"/>
        <v>1.9083969465648854E-3</v>
      </c>
      <c r="E201" s="30">
        <f t="shared" si="7"/>
        <v>5.7420979075210668E-3</v>
      </c>
    </row>
    <row r="202" spans="1:5" x14ac:dyDescent="0.35">
      <c r="A202" s="27">
        <v>45730</v>
      </c>
      <c r="B202" s="28">
        <v>7336</v>
      </c>
      <c r="C202" s="29">
        <v>115536.17</v>
      </c>
      <c r="D202" s="30">
        <f t="shared" si="6"/>
        <v>-1.9047619047619048E-3</v>
      </c>
      <c r="E202" s="30">
        <f t="shared" si="7"/>
        <v>3.8397229956945978E-3</v>
      </c>
    </row>
    <row r="203" spans="1:5" x14ac:dyDescent="0.35">
      <c r="A203" s="27">
        <v>45729</v>
      </c>
      <c r="B203" s="28">
        <v>7350</v>
      </c>
      <c r="C203" s="29">
        <v>115094.24</v>
      </c>
      <c r="D203" s="30">
        <f t="shared" si="6"/>
        <v>0</v>
      </c>
      <c r="E203" s="30">
        <f t="shared" si="7"/>
        <v>8.8504542333256702E-3</v>
      </c>
    </row>
    <row r="204" spans="1:5" x14ac:dyDescent="0.35">
      <c r="A204" s="27">
        <v>45728</v>
      </c>
      <c r="B204" s="28">
        <v>7350</v>
      </c>
      <c r="C204" s="29">
        <v>114084.54</v>
      </c>
      <c r="D204" s="30">
        <f t="shared" si="6"/>
        <v>-1.3603591348115902E-4</v>
      </c>
      <c r="E204" s="30">
        <f t="shared" si="7"/>
        <v>-8.1557110208783305E-4</v>
      </c>
    </row>
    <row r="205" spans="1:5" x14ac:dyDescent="0.35">
      <c r="A205" s="27">
        <v>45727</v>
      </c>
      <c r="B205" s="28">
        <v>7351</v>
      </c>
      <c r="C205" s="29">
        <v>114177.66</v>
      </c>
      <c r="D205" s="30">
        <f t="shared" si="6"/>
        <v>4.056656604701326E-3</v>
      </c>
      <c r="E205" s="30">
        <f t="shared" si="7"/>
        <v>-1.5624844236882102E-3</v>
      </c>
    </row>
    <row r="206" spans="1:5" x14ac:dyDescent="0.35">
      <c r="A206" s="27">
        <v>45726</v>
      </c>
      <c r="B206" s="28">
        <v>7321.3</v>
      </c>
      <c r="C206" s="29">
        <v>114356.34</v>
      </c>
      <c r="D206" s="30">
        <f t="shared" si="6"/>
        <v>-1.0046514143544835E-2</v>
      </c>
      <c r="E206" s="30">
        <f t="shared" si="7"/>
        <v>-3.7028392805163506E-4</v>
      </c>
    </row>
    <row r="207" spans="1:5" x14ac:dyDescent="0.35">
      <c r="A207" s="27">
        <v>45723</v>
      </c>
      <c r="B207" s="28">
        <v>7395.6</v>
      </c>
      <c r="C207" s="29">
        <v>114398.7</v>
      </c>
      <c r="D207" s="30">
        <f t="shared" si="6"/>
        <v>4.5639771801141487E-3</v>
      </c>
      <c r="E207" s="30">
        <f t="shared" si="7"/>
        <v>6.0285008298950407E-3</v>
      </c>
    </row>
    <row r="208" spans="1:5" x14ac:dyDescent="0.35">
      <c r="A208" s="27">
        <v>45722</v>
      </c>
      <c r="B208" s="28">
        <v>7362</v>
      </c>
      <c r="C208" s="29">
        <v>113713.18</v>
      </c>
      <c r="D208" s="30">
        <f t="shared" si="6"/>
        <v>-1.8295284830381883E-2</v>
      </c>
      <c r="E208" s="30">
        <f t="shared" si="7"/>
        <v>1.3001078983902173E-2</v>
      </c>
    </row>
    <row r="209" spans="1:5" x14ac:dyDescent="0.35">
      <c r="A209" s="27">
        <v>45721</v>
      </c>
      <c r="B209" s="28">
        <v>7499.2</v>
      </c>
      <c r="C209" s="29">
        <v>112253.75999999999</v>
      </c>
      <c r="D209" s="30">
        <f t="shared" si="6"/>
        <v>2.0299319727891132E-2</v>
      </c>
      <c r="E209" s="30">
        <f t="shared" si="7"/>
        <v>-4.3464917804793531E-3</v>
      </c>
    </row>
    <row r="210" spans="1:5" x14ac:dyDescent="0.35">
      <c r="A210" s="27">
        <v>45720</v>
      </c>
      <c r="B210" s="28">
        <v>7350</v>
      </c>
      <c r="C210" s="29">
        <v>112743.8</v>
      </c>
      <c r="D210" s="30">
        <f t="shared" si="6"/>
        <v>1.5943747189403291E-3</v>
      </c>
      <c r="E210" s="30">
        <f t="shared" si="7"/>
        <v>6.7589161552749927E-3</v>
      </c>
    </row>
    <row r="211" spans="1:5" x14ac:dyDescent="0.35">
      <c r="A211" s="27">
        <v>45719</v>
      </c>
      <c r="B211" s="28">
        <v>7338.3</v>
      </c>
      <c r="C211" s="29">
        <v>111986.89</v>
      </c>
      <c r="D211" s="30">
        <f t="shared" si="6"/>
        <v>-1.6461689159772877E-3</v>
      </c>
      <c r="E211" s="30">
        <f t="shared" si="7"/>
        <v>-1.1167870637139381E-2</v>
      </c>
    </row>
    <row r="212" spans="1:5" x14ac:dyDescent="0.35">
      <c r="A212" s="27">
        <v>45716</v>
      </c>
      <c r="B212" s="28">
        <v>7350.4</v>
      </c>
      <c r="C212" s="29">
        <v>113251.67</v>
      </c>
      <c r="D212" s="30">
        <f t="shared" si="6"/>
        <v>-1.6299032924046507E-3</v>
      </c>
      <c r="E212" s="30">
        <f t="shared" si="7"/>
        <v>-4.6811374960220743E-3</v>
      </c>
    </row>
    <row r="213" spans="1:5" x14ac:dyDescent="0.35">
      <c r="A213" s="27">
        <v>45715</v>
      </c>
      <c r="B213" s="28">
        <v>7362.4</v>
      </c>
      <c r="C213" s="29">
        <v>113784.31</v>
      </c>
      <c r="D213" s="30">
        <f t="shared" si="6"/>
        <v>3.8723752386146219E-3</v>
      </c>
      <c r="E213" s="30">
        <f t="shared" si="7"/>
        <v>-6.8521345031323413E-4</v>
      </c>
    </row>
    <row r="214" spans="1:5" x14ac:dyDescent="0.35">
      <c r="A214" s="27">
        <v>45714</v>
      </c>
      <c r="B214" s="28">
        <v>7334</v>
      </c>
      <c r="C214" s="29">
        <v>113862.33</v>
      </c>
      <c r="D214" s="30">
        <f t="shared" si="6"/>
        <v>3.9973715912824193E-3</v>
      </c>
      <c r="E214" s="30">
        <f t="shared" si="7"/>
        <v>-5.8130717101804001E-3</v>
      </c>
    </row>
    <row r="215" spans="1:5" x14ac:dyDescent="0.35">
      <c r="A215" s="27">
        <v>45713</v>
      </c>
      <c r="B215" s="28">
        <v>7304.8</v>
      </c>
      <c r="C215" s="29">
        <v>114528.09</v>
      </c>
      <c r="D215" s="30">
        <f t="shared" si="6"/>
        <v>6.5753424657536742E-4</v>
      </c>
      <c r="E215" s="30">
        <f t="shared" si="7"/>
        <v>1.7317399355024677E-3</v>
      </c>
    </row>
    <row r="216" spans="1:5" x14ac:dyDescent="0.35">
      <c r="A216" s="27">
        <v>45712</v>
      </c>
      <c r="B216" s="28">
        <v>7300</v>
      </c>
      <c r="C216" s="29">
        <v>114330.1</v>
      </c>
      <c r="D216" s="30">
        <f t="shared" si="6"/>
        <v>-6.2348552914590896E-3</v>
      </c>
      <c r="E216" s="30">
        <f t="shared" si="7"/>
        <v>1.3556359863345213E-2</v>
      </c>
    </row>
    <row r="217" spans="1:5" x14ac:dyDescent="0.35">
      <c r="A217" s="27">
        <v>45709</v>
      </c>
      <c r="B217" s="28">
        <v>7345.8</v>
      </c>
      <c r="C217" s="29">
        <v>112800.93</v>
      </c>
      <c r="D217" s="30">
        <f t="shared" si="6"/>
        <v>6.6738841457565081E-3</v>
      </c>
      <c r="E217" s="30">
        <f t="shared" si="7"/>
        <v>-8.2489619230528034E-3</v>
      </c>
    </row>
    <row r="218" spans="1:5" x14ac:dyDescent="0.35">
      <c r="A218" s="27">
        <v>45708</v>
      </c>
      <c r="B218" s="28">
        <v>7297.1</v>
      </c>
      <c r="C218" s="29">
        <v>113739.16</v>
      </c>
      <c r="D218" s="30">
        <f t="shared" si="6"/>
        <v>-3.972602739725529E-4</v>
      </c>
      <c r="E218" s="30">
        <f t="shared" si="7"/>
        <v>3.5001893377273434E-3</v>
      </c>
    </row>
    <row r="219" spans="1:5" x14ac:dyDescent="0.35">
      <c r="A219" s="27">
        <v>45707</v>
      </c>
      <c r="B219" s="28">
        <v>7300</v>
      </c>
      <c r="C219" s="29">
        <v>113342.44</v>
      </c>
      <c r="D219" s="30">
        <f t="shared" si="6"/>
        <v>0</v>
      </c>
      <c r="E219" s="30">
        <f t="shared" si="7"/>
        <v>2.2456752447287858E-3</v>
      </c>
    </row>
    <row r="220" spans="1:5" x14ac:dyDescent="0.35">
      <c r="A220" s="27">
        <v>45706</v>
      </c>
      <c r="B220" s="28">
        <v>7300</v>
      </c>
      <c r="C220" s="29">
        <v>113088.48</v>
      </c>
      <c r="D220" s="30">
        <f t="shared" si="6"/>
        <v>6.8548887632235659E-3</v>
      </c>
      <c r="E220" s="30">
        <f t="shared" si="7"/>
        <v>1.2036043608072854E-2</v>
      </c>
    </row>
    <row r="221" spans="1:5" x14ac:dyDescent="0.35">
      <c r="A221" s="27">
        <v>45705</v>
      </c>
      <c r="B221" s="28">
        <v>7250.3</v>
      </c>
      <c r="C221" s="29">
        <v>111743.53</v>
      </c>
      <c r="D221" s="30">
        <f t="shared" si="6"/>
        <v>-1.6695147421813473E-2</v>
      </c>
      <c r="E221" s="30">
        <f t="shared" si="7"/>
        <v>-3.0491955680183223E-3</v>
      </c>
    </row>
    <row r="222" spans="1:5" x14ac:dyDescent="0.35">
      <c r="A222" s="27">
        <v>45702</v>
      </c>
      <c r="B222" s="28">
        <v>7373.4</v>
      </c>
      <c r="C222" s="29">
        <v>112085.3</v>
      </c>
      <c r="D222" s="30">
        <f t="shared" si="6"/>
        <v>9.36672775402109E-4</v>
      </c>
      <c r="E222" s="30">
        <f t="shared" si="7"/>
        <v>-4.2533994858750578E-3</v>
      </c>
    </row>
    <row r="223" spans="1:5" x14ac:dyDescent="0.35">
      <c r="A223" s="27">
        <v>45701</v>
      </c>
      <c r="B223" s="28">
        <v>7366.5</v>
      </c>
      <c r="C223" s="29">
        <v>112564.08</v>
      </c>
      <c r="D223" s="30">
        <f t="shared" si="6"/>
        <v>-8.546433378196501E-3</v>
      </c>
      <c r="E223" s="30">
        <f t="shared" si="7"/>
        <v>-3.1955739803802472E-3</v>
      </c>
    </row>
    <row r="224" spans="1:5" x14ac:dyDescent="0.35">
      <c r="A224" s="27">
        <v>45700</v>
      </c>
      <c r="B224" s="28">
        <v>7430</v>
      </c>
      <c r="C224" s="29">
        <v>112924.94</v>
      </c>
      <c r="D224" s="30">
        <f t="shared" si="6"/>
        <v>-1.8807092960773778E-3</v>
      </c>
      <c r="E224" s="30">
        <f t="shared" si="7"/>
        <v>-7.5603674635907185E-4</v>
      </c>
    </row>
    <row r="225" spans="1:5" x14ac:dyDescent="0.35">
      <c r="A225" s="27">
        <v>45699</v>
      </c>
      <c r="B225" s="28">
        <v>7444</v>
      </c>
      <c r="C225" s="29">
        <v>113010.38</v>
      </c>
      <c r="D225" s="30">
        <f t="shared" si="6"/>
        <v>-1.5424854134531553E-3</v>
      </c>
      <c r="E225" s="30">
        <f t="shared" si="7"/>
        <v>1.4656489070504729E-2</v>
      </c>
    </row>
    <row r="226" spans="1:5" x14ac:dyDescent="0.35">
      <c r="A226" s="27">
        <v>45698</v>
      </c>
      <c r="B226" s="28">
        <v>7455.5</v>
      </c>
      <c r="C226" s="29">
        <v>111377.97</v>
      </c>
      <c r="D226" s="30">
        <f t="shared" si="6"/>
        <v>-4.6923180050945166E-4</v>
      </c>
      <c r="E226" s="30">
        <f t="shared" si="7"/>
        <v>9.563106276899427E-3</v>
      </c>
    </row>
    <row r="227" spans="1:5" x14ac:dyDescent="0.35">
      <c r="A227" s="27">
        <v>45695</v>
      </c>
      <c r="B227" s="28">
        <v>7459</v>
      </c>
      <c r="C227" s="29">
        <v>110322.94</v>
      </c>
      <c r="D227" s="30">
        <f t="shared" si="6"/>
        <v>2.499865598623779E-3</v>
      </c>
      <c r="E227" s="30">
        <f t="shared" si="7"/>
        <v>1.9745939208616514E-4</v>
      </c>
    </row>
    <row r="228" spans="1:5" x14ac:dyDescent="0.35">
      <c r="A228" s="27">
        <v>45694</v>
      </c>
      <c r="B228" s="28">
        <v>7440.4</v>
      </c>
      <c r="C228" s="29">
        <v>110301.16</v>
      </c>
      <c r="D228" s="30">
        <f t="shared" si="6"/>
        <v>6.9154047068057129E-3</v>
      </c>
      <c r="E228" s="30">
        <f t="shared" si="7"/>
        <v>-1.4599673490186937E-2</v>
      </c>
    </row>
    <row r="229" spans="1:5" x14ac:dyDescent="0.35">
      <c r="A229" s="27">
        <v>45692</v>
      </c>
      <c r="B229" s="28">
        <v>7389.3</v>
      </c>
      <c r="C229" s="29">
        <v>111935.38</v>
      </c>
      <c r="D229" s="30">
        <f t="shared" si="6"/>
        <v>-7.7079107505068534E-4</v>
      </c>
      <c r="E229" s="30">
        <f t="shared" si="7"/>
        <v>-7.1810716944367657E-3</v>
      </c>
    </row>
    <row r="230" spans="1:5" x14ac:dyDescent="0.35">
      <c r="A230" s="27">
        <v>45691</v>
      </c>
      <c r="B230" s="28">
        <v>7395</v>
      </c>
      <c r="C230" s="29">
        <v>112745.01</v>
      </c>
      <c r="D230" s="30">
        <f t="shared" si="6"/>
        <v>-5.1792560704916933E-3</v>
      </c>
      <c r="E230" s="30">
        <f t="shared" si="7"/>
        <v>-1.3222269027557753E-2</v>
      </c>
    </row>
    <row r="231" spans="1:5" x14ac:dyDescent="0.35">
      <c r="A231" s="27">
        <v>45688</v>
      </c>
      <c r="B231" s="28">
        <v>7433.5</v>
      </c>
      <c r="C231" s="29">
        <v>114255.73</v>
      </c>
      <c r="D231" s="30">
        <f t="shared" si="6"/>
        <v>3.3642847530614991E-4</v>
      </c>
      <c r="E231" s="30">
        <f t="shared" si="7"/>
        <v>9.2691755943127042E-3</v>
      </c>
    </row>
    <row r="232" spans="1:5" x14ac:dyDescent="0.35">
      <c r="A232" s="27">
        <v>45687</v>
      </c>
      <c r="B232" s="28">
        <v>7431</v>
      </c>
      <c r="C232" s="29">
        <v>113206.39999999999</v>
      </c>
      <c r="D232" s="30">
        <f t="shared" si="6"/>
        <v>-3.8339857365006654E-3</v>
      </c>
      <c r="E232" s="30">
        <f t="shared" si="7"/>
        <v>1.5419147067434313E-2</v>
      </c>
    </row>
    <row r="233" spans="1:5" x14ac:dyDescent="0.35">
      <c r="A233" s="27">
        <v>45686</v>
      </c>
      <c r="B233" s="28">
        <v>7459.6</v>
      </c>
      <c r="C233" s="29">
        <v>111487.36</v>
      </c>
      <c r="D233" s="30">
        <f t="shared" si="6"/>
        <v>1.2157394843962057E-2</v>
      </c>
      <c r="E233" s="30">
        <f t="shared" si="7"/>
        <v>-4.8469004294907202E-3</v>
      </c>
    </row>
    <row r="234" spans="1:5" x14ac:dyDescent="0.35">
      <c r="A234" s="27">
        <v>45685</v>
      </c>
      <c r="B234" s="28">
        <v>7370</v>
      </c>
      <c r="C234" s="29">
        <v>112030.36</v>
      </c>
      <c r="D234" s="30">
        <f t="shared" si="6"/>
        <v>-4.8340489886305573E-3</v>
      </c>
      <c r="E234" s="30">
        <f t="shared" si="7"/>
        <v>-1.3125051092174567E-2</v>
      </c>
    </row>
    <row r="235" spans="1:5" x14ac:dyDescent="0.35">
      <c r="A235" s="27">
        <v>45684</v>
      </c>
      <c r="B235" s="28">
        <v>7405.8</v>
      </c>
      <c r="C235" s="29">
        <v>113520.32000000001</v>
      </c>
      <c r="D235" s="30">
        <f t="shared" si="6"/>
        <v>-2.5052529497332386E-3</v>
      </c>
      <c r="E235" s="30">
        <f t="shared" si="7"/>
        <v>-1.1839869415598751E-2</v>
      </c>
    </row>
    <row r="236" spans="1:5" x14ac:dyDescent="0.35">
      <c r="A236" s="27">
        <v>45681</v>
      </c>
      <c r="B236" s="28">
        <v>7424.4</v>
      </c>
      <c r="C236" s="29">
        <v>114880.49</v>
      </c>
      <c r="D236" s="30">
        <f t="shared" si="6"/>
        <v>-2.1235988279885193E-3</v>
      </c>
      <c r="E236" s="30">
        <f t="shared" si="7"/>
        <v>7.3896556571292002E-3</v>
      </c>
    </row>
    <row r="237" spans="1:5" x14ac:dyDescent="0.35">
      <c r="A237" s="27">
        <v>45680</v>
      </c>
      <c r="B237" s="28">
        <v>7440.2</v>
      </c>
      <c r="C237" s="29">
        <v>114037.79</v>
      </c>
      <c r="D237" s="30">
        <f t="shared" si="6"/>
        <v>-4.2958660653346845E-3</v>
      </c>
      <c r="E237" s="30">
        <f t="shared" si="7"/>
        <v>5.2392633050675624E-3</v>
      </c>
    </row>
    <row r="238" spans="1:5" x14ac:dyDescent="0.35">
      <c r="A238" s="27">
        <v>45679</v>
      </c>
      <c r="B238" s="28">
        <v>7472.3</v>
      </c>
      <c r="C238" s="29">
        <v>113443.43</v>
      </c>
      <c r="D238" s="30">
        <f t="shared" si="6"/>
        <v>3.1548705831811836E-3</v>
      </c>
      <c r="E238" s="30">
        <f t="shared" si="7"/>
        <v>-1.3897676723117003E-2</v>
      </c>
    </row>
    <row r="239" spans="1:5" x14ac:dyDescent="0.35">
      <c r="A239" s="27">
        <v>45678</v>
      </c>
      <c r="B239" s="28">
        <v>7448.8</v>
      </c>
      <c r="C239" s="29">
        <v>115042.25</v>
      </c>
      <c r="D239" s="30">
        <f t="shared" si="6"/>
        <v>-1.6886911303507994E-3</v>
      </c>
      <c r="E239" s="30">
        <f t="shared" si="7"/>
        <v>-6.9279748546374961E-3</v>
      </c>
    </row>
    <row r="240" spans="1:5" x14ac:dyDescent="0.35">
      <c r="A240" s="27">
        <v>45677</v>
      </c>
      <c r="B240" s="28">
        <v>7461.4</v>
      </c>
      <c r="C240" s="29">
        <v>115844.82</v>
      </c>
      <c r="D240" s="30">
        <f t="shared" si="6"/>
        <v>-3.6454925420967834E-3</v>
      </c>
      <c r="E240" s="30">
        <f t="shared" si="7"/>
        <v>4.9685925681223521E-3</v>
      </c>
    </row>
    <row r="241" spans="1:5" x14ac:dyDescent="0.35">
      <c r="A241" s="27">
        <v>45674</v>
      </c>
      <c r="B241" s="28">
        <v>7488.7</v>
      </c>
      <c r="C241" s="29">
        <v>115272.08</v>
      </c>
      <c r="D241" s="30">
        <f t="shared" si="6"/>
        <v>9.3811917887613658E-3</v>
      </c>
      <c r="E241" s="30">
        <f t="shared" si="7"/>
        <v>1.2608758824260045E-2</v>
      </c>
    </row>
    <row r="242" spans="1:5" x14ac:dyDescent="0.35">
      <c r="A242" s="27">
        <v>45673</v>
      </c>
      <c r="B242" s="28">
        <v>7419.1</v>
      </c>
      <c r="C242" s="29">
        <v>113836.74</v>
      </c>
      <c r="D242" s="30">
        <f t="shared" si="6"/>
        <v>1.3632069105142886E-3</v>
      </c>
      <c r="E242" s="30">
        <f t="shared" si="7"/>
        <v>-5.7554121460096728E-3</v>
      </c>
    </row>
    <row r="243" spans="1:5" x14ac:dyDescent="0.35">
      <c r="A243" s="27">
        <v>45672</v>
      </c>
      <c r="B243" s="28">
        <v>7409</v>
      </c>
      <c r="C243" s="29">
        <v>114495.71</v>
      </c>
      <c r="D243" s="30">
        <f t="shared" si="6"/>
        <v>-3.6175849594534135E-3</v>
      </c>
      <c r="E243" s="30">
        <f t="shared" si="7"/>
        <v>-2.6868362011588241E-3</v>
      </c>
    </row>
    <row r="244" spans="1:5" x14ac:dyDescent="0.35">
      <c r="A244" s="27">
        <v>45671</v>
      </c>
      <c r="B244" s="28">
        <v>7435.9</v>
      </c>
      <c r="C244" s="29">
        <v>114804.17</v>
      </c>
      <c r="D244" s="30">
        <f t="shared" si="6"/>
        <v>-7.752868961836184E-3</v>
      </c>
      <c r="E244" s="30">
        <f t="shared" si="7"/>
        <v>5.0259099925186118E-3</v>
      </c>
    </row>
    <row r="245" spans="1:5" x14ac:dyDescent="0.35">
      <c r="A245" s="27">
        <v>45670</v>
      </c>
      <c r="B245" s="28">
        <v>7494</v>
      </c>
      <c r="C245" s="29">
        <v>114230.06</v>
      </c>
      <c r="D245" s="30">
        <f t="shared" si="6"/>
        <v>-1.1462692933117003E-3</v>
      </c>
      <c r="E245" s="30">
        <f t="shared" si="7"/>
        <v>8.6780884558032619E-3</v>
      </c>
    </row>
    <row r="246" spans="1:5" x14ac:dyDescent="0.35">
      <c r="A246" s="27">
        <v>45667</v>
      </c>
      <c r="B246" s="28">
        <v>7502.6</v>
      </c>
      <c r="C246" s="29">
        <v>113247.29</v>
      </c>
      <c r="D246" s="30">
        <f t="shared" si="6"/>
        <v>4.9138606108065856E-2</v>
      </c>
      <c r="E246" s="30">
        <f t="shared" si="7"/>
        <v>5.4069549724933509E-3</v>
      </c>
    </row>
    <row r="247" spans="1:5" x14ac:dyDescent="0.35">
      <c r="A247" s="27">
        <v>45666</v>
      </c>
      <c r="B247" s="28">
        <v>7151.2</v>
      </c>
      <c r="C247" s="29">
        <v>112638.26</v>
      </c>
      <c r="D247" s="30">
        <f t="shared" si="6"/>
        <v>-1.7989069237318394E-2</v>
      </c>
      <c r="E247" s="30">
        <f t="shared" si="7"/>
        <v>-1.3230139066265209E-2</v>
      </c>
    </row>
    <row r="248" spans="1:5" x14ac:dyDescent="0.35">
      <c r="A248" s="27">
        <v>45665</v>
      </c>
      <c r="B248" s="28">
        <v>7282.2</v>
      </c>
      <c r="C248" s="29">
        <v>114148.46</v>
      </c>
      <c r="D248" s="30">
        <f t="shared" si="6"/>
        <v>-8.4285344698466179E-3</v>
      </c>
      <c r="E248" s="30">
        <f t="shared" si="7"/>
        <v>-1.6408238051891493E-2</v>
      </c>
    </row>
    <row r="249" spans="1:5" x14ac:dyDescent="0.35">
      <c r="A249" s="27">
        <v>45664</v>
      </c>
      <c r="B249" s="28">
        <v>7344.1</v>
      </c>
      <c r="C249" s="29">
        <v>116052.68</v>
      </c>
      <c r="D249" s="30">
        <f t="shared" si="6"/>
        <v>-1.0549148523388565E-2</v>
      </c>
      <c r="E249" s="30">
        <f t="shared" si="7"/>
        <v>-1.7414285287884641E-3</v>
      </c>
    </row>
    <row r="250" spans="1:5" x14ac:dyDescent="0.35">
      <c r="A250" s="27">
        <v>45663</v>
      </c>
      <c r="B250" s="28">
        <v>7422.4</v>
      </c>
      <c r="C250" s="29">
        <v>116255.13</v>
      </c>
      <c r="D250" s="30">
        <f t="shared" si="6"/>
        <v>-2.1551724137935935E-4</v>
      </c>
      <c r="E250" s="30">
        <f t="shared" si="7"/>
        <v>-1.1326509108406315E-2</v>
      </c>
    </row>
    <row r="251" spans="1:5" x14ac:dyDescent="0.35">
      <c r="A251" s="27">
        <v>45660</v>
      </c>
      <c r="B251" s="28">
        <v>7424</v>
      </c>
      <c r="C251" s="29">
        <v>117586.98</v>
      </c>
      <c r="D251" s="30">
        <f t="shared" si="6"/>
        <v>2.5658338960162052E-3</v>
      </c>
      <c r="E251" s="30">
        <f t="shared" si="7"/>
        <v>3.9901072117182754E-3</v>
      </c>
    </row>
    <row r="252" spans="1:5" x14ac:dyDescent="0.35">
      <c r="A252" s="27">
        <v>45659</v>
      </c>
      <c r="B252" s="28">
        <v>7405</v>
      </c>
      <c r="C252" s="29">
        <v>117119.66</v>
      </c>
      <c r="D252" s="30">
        <f t="shared" si="6"/>
        <v>-5.5063121138866503E-3</v>
      </c>
      <c r="E252" s="30">
        <f t="shared" si="7"/>
        <v>9.5360935757600452E-4</v>
      </c>
    </row>
    <row r="253" spans="1:5" x14ac:dyDescent="0.35">
      <c r="A253" s="27">
        <v>45658</v>
      </c>
      <c r="B253" s="28">
        <v>7446</v>
      </c>
      <c r="C253" s="29">
        <v>117008.08</v>
      </c>
      <c r="D253" s="30">
        <f t="shared" si="6"/>
        <v>-5.369127516778523E-4</v>
      </c>
      <c r="E253" s="30">
        <f t="shared" si="7"/>
        <v>1.6340056059878341E-2</v>
      </c>
    </row>
    <row r="254" spans="1:5" x14ac:dyDescent="0.35">
      <c r="A254" s="27">
        <v>45657</v>
      </c>
      <c r="B254" s="28">
        <v>7450</v>
      </c>
      <c r="C254" s="29">
        <v>115126.9</v>
      </c>
      <c r="D254" s="30">
        <f t="shared" si="6"/>
        <v>6.7567567567567571E-3</v>
      </c>
      <c r="E254" s="30">
        <f t="shared" si="7"/>
        <v>-1.1461144032136824E-3</v>
      </c>
    </row>
    <row r="255" spans="1:5" x14ac:dyDescent="0.35">
      <c r="A255" s="27">
        <v>45656</v>
      </c>
      <c r="B255" s="28">
        <v>7400</v>
      </c>
      <c r="C255" s="29">
        <v>115259</v>
      </c>
      <c r="D255" s="30">
        <f t="shared" si="6"/>
        <v>1.6242555495397943E-3</v>
      </c>
      <c r="E255" s="30">
        <f t="shared" si="7"/>
        <v>3.5094554004726372E-2</v>
      </c>
    </row>
    <row r="256" spans="1:5" x14ac:dyDescent="0.35">
      <c r="A256" s="27">
        <v>45653</v>
      </c>
      <c r="B256" s="28">
        <v>7388</v>
      </c>
      <c r="C256" s="29">
        <v>111351.18</v>
      </c>
      <c r="D256" s="30">
        <f t="shared" si="6"/>
        <v>-1.4933333333333333E-2</v>
      </c>
      <c r="E256" s="30">
        <f t="shared" si="7"/>
        <v>8.4027540559366079E-3</v>
      </c>
    </row>
    <row r="257" spans="1:5" x14ac:dyDescent="0.35">
      <c r="A257" s="27">
        <v>45652</v>
      </c>
      <c r="B257" s="28">
        <v>7500</v>
      </c>
      <c r="C257" s="29">
        <v>110423.32</v>
      </c>
      <c r="D257" s="30">
        <f t="shared" si="6"/>
        <v>3.4625465581459514E-2</v>
      </c>
      <c r="E257" s="30">
        <f t="shared" si="7"/>
        <v>-1.7715548333889376E-2</v>
      </c>
    </row>
    <row r="258" spans="1:5" x14ac:dyDescent="0.35">
      <c r="A258" s="27">
        <v>45650</v>
      </c>
      <c r="B258" s="28">
        <v>7249</v>
      </c>
      <c r="C258" s="29">
        <v>112414.81</v>
      </c>
      <c r="D258" s="30">
        <f t="shared" si="6"/>
        <v>-6.9863013698630138E-3</v>
      </c>
      <c r="E258" s="30">
        <f t="shared" si="7"/>
        <v>-1.3250978148495298E-2</v>
      </c>
    </row>
    <row r="259" spans="1:5" x14ac:dyDescent="0.35">
      <c r="A259" s="27">
        <v>45649</v>
      </c>
      <c r="B259" s="28">
        <v>7300</v>
      </c>
      <c r="C259" s="29">
        <v>113924.42</v>
      </c>
      <c r="D259" s="30">
        <f t="shared" si="6"/>
        <v>-6.8027210884353739E-3</v>
      </c>
      <c r="E259" s="30">
        <f t="shared" si="7"/>
        <v>4.02807334096408E-2</v>
      </c>
    </row>
    <row r="260" spans="1:5" x14ac:dyDescent="0.35">
      <c r="A260" s="27">
        <v>45646</v>
      </c>
      <c r="B260" s="28">
        <v>7350</v>
      </c>
      <c r="C260" s="29">
        <v>109513.15</v>
      </c>
      <c r="D260" s="30">
        <f t="shared" si="6"/>
        <v>1.3793103448275862E-2</v>
      </c>
      <c r="E260" s="30">
        <f t="shared" si="7"/>
        <v>3.0469730504771662E-2</v>
      </c>
    </row>
    <row r="261" spans="1:5" x14ac:dyDescent="0.35">
      <c r="A261" s="27">
        <v>45645</v>
      </c>
      <c r="B261" s="28">
        <v>7250</v>
      </c>
      <c r="C261" s="29">
        <v>106274.98</v>
      </c>
      <c r="D261" s="30">
        <f t="shared" ref="D261:D324" si="8">(B261-B262)/B262</f>
        <v>-2.2252191503708697E-2</v>
      </c>
      <c r="E261" s="30">
        <f t="shared" ref="E261:E324" si="9">(C261-C262)/C262</f>
        <v>-4.3173651567849497E-2</v>
      </c>
    </row>
    <row r="262" spans="1:5" x14ac:dyDescent="0.35">
      <c r="A262" s="27">
        <v>45644</v>
      </c>
      <c r="B262" s="28">
        <v>7415</v>
      </c>
      <c r="C262" s="29">
        <v>111070.29</v>
      </c>
      <c r="D262" s="30">
        <f t="shared" si="8"/>
        <v>-1.4617940199335547E-2</v>
      </c>
      <c r="E262" s="30">
        <f t="shared" si="9"/>
        <v>-3.2999975883829434E-2</v>
      </c>
    </row>
    <row r="263" spans="1:5" x14ac:dyDescent="0.35">
      <c r="A263" s="27">
        <v>45643</v>
      </c>
      <c r="B263" s="28">
        <v>7525</v>
      </c>
      <c r="C263" s="29">
        <v>114860.69</v>
      </c>
      <c r="D263" s="30">
        <f t="shared" si="8"/>
        <v>1.9973368841544607E-3</v>
      </c>
      <c r="E263" s="30">
        <f t="shared" si="9"/>
        <v>-1.1265616309835792E-2</v>
      </c>
    </row>
    <row r="264" spans="1:5" x14ac:dyDescent="0.35">
      <c r="A264" s="27">
        <v>45642</v>
      </c>
      <c r="B264" s="28">
        <v>7510</v>
      </c>
      <c r="C264" s="29">
        <v>116169.41</v>
      </c>
      <c r="D264" s="30">
        <f t="shared" si="8"/>
        <v>1.8142041513260184E-3</v>
      </c>
      <c r="E264" s="30">
        <f t="shared" si="9"/>
        <v>1.6339287745249859E-2</v>
      </c>
    </row>
    <row r="265" spans="1:5" x14ac:dyDescent="0.35">
      <c r="A265" s="27">
        <v>45639</v>
      </c>
      <c r="B265" s="28">
        <v>7496.4</v>
      </c>
      <c r="C265" s="29">
        <v>114301.8</v>
      </c>
      <c r="D265" s="30">
        <f t="shared" si="8"/>
        <v>2.5499316005471905E-2</v>
      </c>
      <c r="E265" s="30">
        <f t="shared" si="9"/>
        <v>1.0622653550943866E-3</v>
      </c>
    </row>
    <row r="266" spans="1:5" x14ac:dyDescent="0.35">
      <c r="A266" s="27">
        <v>45638</v>
      </c>
      <c r="B266" s="28">
        <v>7310</v>
      </c>
      <c r="C266" s="29">
        <v>114180.51</v>
      </c>
      <c r="D266" s="30">
        <f t="shared" si="8"/>
        <v>1.5277777777777777E-2</v>
      </c>
      <c r="E266" s="30">
        <f t="shared" si="9"/>
        <v>3.0414974358863232E-2</v>
      </c>
    </row>
    <row r="267" spans="1:5" x14ac:dyDescent="0.35">
      <c r="A267" s="27">
        <v>45637</v>
      </c>
      <c r="B267" s="28">
        <v>7200</v>
      </c>
      <c r="C267" s="29">
        <v>110810.22</v>
      </c>
      <c r="D267" s="30">
        <f t="shared" si="8"/>
        <v>-1.3428336530556317E-2</v>
      </c>
      <c r="E267" s="30">
        <f t="shared" si="9"/>
        <v>1.7572349562635831E-2</v>
      </c>
    </row>
    <row r="268" spans="1:5" x14ac:dyDescent="0.35">
      <c r="A268" s="27">
        <v>45636</v>
      </c>
      <c r="B268" s="28">
        <v>7298</v>
      </c>
      <c r="C268" s="29">
        <v>108896.65</v>
      </c>
      <c r="D268" s="30">
        <f t="shared" si="8"/>
        <v>-1.2115059221658207E-2</v>
      </c>
      <c r="E268" s="30">
        <f t="shared" si="9"/>
        <v>-9.7639009918943209E-3</v>
      </c>
    </row>
    <row r="269" spans="1:5" x14ac:dyDescent="0.35">
      <c r="A269" s="27">
        <v>45635</v>
      </c>
      <c r="B269" s="28">
        <v>7387.5</v>
      </c>
      <c r="C269" s="29">
        <v>109970.39</v>
      </c>
      <c r="D269" s="30">
        <f t="shared" si="8"/>
        <v>0.10261194029850747</v>
      </c>
      <c r="E269" s="30">
        <f t="shared" si="9"/>
        <v>8.403547051711582E-3</v>
      </c>
    </row>
    <row r="270" spans="1:5" x14ac:dyDescent="0.35">
      <c r="A270" s="27">
        <v>45632</v>
      </c>
      <c r="B270" s="28">
        <v>6700</v>
      </c>
      <c r="C270" s="29">
        <v>109053.95</v>
      </c>
      <c r="D270" s="30">
        <f t="shared" si="8"/>
        <v>-6.5243179122182679E-3</v>
      </c>
      <c r="E270" s="30">
        <f t="shared" si="9"/>
        <v>7.5294508068581576E-3</v>
      </c>
    </row>
    <row r="271" spans="1:5" x14ac:dyDescent="0.35">
      <c r="A271" s="27">
        <v>45631</v>
      </c>
      <c r="B271" s="28">
        <v>6744</v>
      </c>
      <c r="C271" s="29">
        <v>108238.97</v>
      </c>
      <c r="D271" s="30">
        <f t="shared" si="8"/>
        <v>6.5671641791044772E-3</v>
      </c>
      <c r="E271" s="30">
        <f t="shared" si="9"/>
        <v>2.9823982530122018E-2</v>
      </c>
    </row>
    <row r="272" spans="1:5" x14ac:dyDescent="0.35">
      <c r="A272" s="27">
        <v>45630</v>
      </c>
      <c r="B272" s="28">
        <v>6700</v>
      </c>
      <c r="C272" s="29">
        <v>105104.34</v>
      </c>
      <c r="D272" s="30">
        <f t="shared" si="8"/>
        <v>0</v>
      </c>
      <c r="E272" s="30">
        <f t="shared" si="9"/>
        <v>5.2149469194780473E-3</v>
      </c>
    </row>
    <row r="273" spans="1:5" x14ac:dyDescent="0.35">
      <c r="A273" s="27">
        <v>45629</v>
      </c>
      <c r="B273" s="28">
        <v>6700</v>
      </c>
      <c r="C273" s="29">
        <v>104559.07</v>
      </c>
      <c r="D273" s="30">
        <f t="shared" si="8"/>
        <v>7.5187969924812026E-3</v>
      </c>
      <c r="E273" s="30">
        <f t="shared" si="9"/>
        <v>1.2433992947951172E-2</v>
      </c>
    </row>
    <row r="274" spans="1:5" x14ac:dyDescent="0.35">
      <c r="A274" s="27">
        <v>45628</v>
      </c>
      <c r="B274" s="28">
        <v>6650</v>
      </c>
      <c r="C274" s="29">
        <v>103274.95</v>
      </c>
      <c r="D274" s="30">
        <f t="shared" si="8"/>
        <v>9.104704097116844E-3</v>
      </c>
      <c r="E274" s="30">
        <f t="shared" si="9"/>
        <v>1.8919501817924841E-2</v>
      </c>
    </row>
    <row r="275" spans="1:5" x14ac:dyDescent="0.35">
      <c r="A275" s="27">
        <v>45625</v>
      </c>
      <c r="B275" s="28">
        <v>6590</v>
      </c>
      <c r="C275" s="29">
        <v>101357.32</v>
      </c>
      <c r="D275" s="30">
        <f t="shared" si="8"/>
        <v>-1.5151515151515152E-3</v>
      </c>
      <c r="E275" s="30">
        <f t="shared" si="9"/>
        <v>1.2734959274208766E-2</v>
      </c>
    </row>
    <row r="276" spans="1:5" x14ac:dyDescent="0.35">
      <c r="A276" s="27">
        <v>45624</v>
      </c>
      <c r="B276" s="28">
        <v>6600</v>
      </c>
      <c r="C276" s="29">
        <v>100082.77</v>
      </c>
      <c r="D276" s="30">
        <f t="shared" si="8"/>
        <v>0</v>
      </c>
      <c r="E276" s="30">
        <f t="shared" si="9"/>
        <v>8.1950855879338678E-3</v>
      </c>
    </row>
    <row r="277" spans="1:5" x14ac:dyDescent="0.35">
      <c r="A277" s="27">
        <v>45623</v>
      </c>
      <c r="B277" s="28">
        <v>6600</v>
      </c>
      <c r="C277" s="29">
        <v>99269.25</v>
      </c>
      <c r="D277" s="30">
        <f t="shared" si="8"/>
        <v>-4.2245021122510563E-3</v>
      </c>
      <c r="E277" s="30">
        <f t="shared" si="9"/>
        <v>4.9644532925272572E-2</v>
      </c>
    </row>
    <row r="278" spans="1:5" x14ac:dyDescent="0.35">
      <c r="A278" s="27">
        <v>45622</v>
      </c>
      <c r="B278" s="28">
        <v>6628</v>
      </c>
      <c r="C278" s="29">
        <v>94574.16</v>
      </c>
      <c r="D278" s="30">
        <f t="shared" si="8"/>
        <v>-1.0746268656716417E-2</v>
      </c>
      <c r="E278" s="30">
        <f t="shared" si="9"/>
        <v>-3.5742535311559583E-2</v>
      </c>
    </row>
    <row r="279" spans="1:5" x14ac:dyDescent="0.35">
      <c r="A279" s="27">
        <v>45621</v>
      </c>
      <c r="B279" s="28">
        <v>6700</v>
      </c>
      <c r="C279" s="29">
        <v>98079.78</v>
      </c>
      <c r="D279" s="30">
        <f t="shared" si="8"/>
        <v>0</v>
      </c>
      <c r="E279" s="30">
        <f t="shared" si="9"/>
        <v>2.8788864583745833E-3</v>
      </c>
    </row>
    <row r="280" spans="1:5" x14ac:dyDescent="0.35">
      <c r="A280" s="27">
        <v>45618</v>
      </c>
      <c r="B280" s="28">
        <v>6700</v>
      </c>
      <c r="C280" s="29">
        <v>97798.23</v>
      </c>
      <c r="D280" s="30">
        <f t="shared" si="8"/>
        <v>8.2768999247554553E-3</v>
      </c>
      <c r="E280" s="30">
        <f t="shared" si="9"/>
        <v>4.8272652175521411E-3</v>
      </c>
    </row>
    <row r="281" spans="1:5" x14ac:dyDescent="0.35">
      <c r="A281" s="27">
        <v>45617</v>
      </c>
      <c r="B281" s="28">
        <v>6645</v>
      </c>
      <c r="C281" s="29">
        <v>97328.4</v>
      </c>
      <c r="D281" s="30">
        <f t="shared" si="8"/>
        <v>-7.5187969924812035E-4</v>
      </c>
      <c r="E281" s="30">
        <f t="shared" si="9"/>
        <v>1.8649984520619473E-2</v>
      </c>
    </row>
    <row r="282" spans="1:5" x14ac:dyDescent="0.35">
      <c r="A282" s="27">
        <v>45616</v>
      </c>
      <c r="B282" s="28">
        <v>6650</v>
      </c>
      <c r="C282" s="29">
        <v>95546.46</v>
      </c>
      <c r="D282" s="30">
        <f t="shared" si="8"/>
        <v>7.575757575757576E-3</v>
      </c>
      <c r="E282" s="30">
        <f t="shared" si="9"/>
        <v>-3.2361858595754667E-3</v>
      </c>
    </row>
    <row r="283" spans="1:5" x14ac:dyDescent="0.35">
      <c r="A283" s="27">
        <v>45615</v>
      </c>
      <c r="B283" s="28">
        <v>6600</v>
      </c>
      <c r="C283" s="29">
        <v>95856.67</v>
      </c>
      <c r="D283" s="30">
        <f t="shared" si="8"/>
        <v>2.2779043280182231E-3</v>
      </c>
      <c r="E283" s="30">
        <f t="shared" si="9"/>
        <v>9.0635710027625466E-3</v>
      </c>
    </row>
    <row r="284" spans="1:5" x14ac:dyDescent="0.35">
      <c r="A284" s="27">
        <v>45614</v>
      </c>
      <c r="B284" s="28">
        <v>6585</v>
      </c>
      <c r="C284" s="29">
        <v>94995.67</v>
      </c>
      <c r="D284" s="30">
        <f t="shared" si="8"/>
        <v>-2.2727272727272726E-3</v>
      </c>
      <c r="E284" s="30">
        <f t="shared" si="9"/>
        <v>2.4485129528582783E-3</v>
      </c>
    </row>
    <row r="285" spans="1:5" x14ac:dyDescent="0.35">
      <c r="A285" s="27">
        <v>45611</v>
      </c>
      <c r="B285" s="28">
        <v>6600</v>
      </c>
      <c r="C285" s="29">
        <v>94763.64</v>
      </c>
      <c r="D285" s="30">
        <f t="shared" si="8"/>
        <v>3.0395136778115501E-3</v>
      </c>
      <c r="E285" s="30">
        <f t="shared" si="9"/>
        <v>6.0700555005319462E-3</v>
      </c>
    </row>
    <row r="286" spans="1:5" x14ac:dyDescent="0.35">
      <c r="A286" s="27">
        <v>45610</v>
      </c>
      <c r="B286" s="28">
        <v>6580</v>
      </c>
      <c r="C286" s="29">
        <v>94191.89</v>
      </c>
      <c r="D286" s="30">
        <f t="shared" si="8"/>
        <v>4.5801526717557254E-3</v>
      </c>
      <c r="E286" s="30">
        <f t="shared" si="9"/>
        <v>8.9599501603710302E-3</v>
      </c>
    </row>
    <row r="287" spans="1:5" x14ac:dyDescent="0.35">
      <c r="A287" s="27">
        <v>45609</v>
      </c>
      <c r="B287" s="28">
        <v>6550</v>
      </c>
      <c r="C287" s="29">
        <v>93355.43</v>
      </c>
      <c r="D287" s="30">
        <f t="shared" si="8"/>
        <v>-2.284843869002285E-3</v>
      </c>
      <c r="E287" s="30">
        <f t="shared" si="9"/>
        <v>1.4038146170922701E-3</v>
      </c>
    </row>
    <row r="288" spans="1:5" x14ac:dyDescent="0.35">
      <c r="A288" s="27">
        <v>45608</v>
      </c>
      <c r="B288" s="28">
        <v>6565</v>
      </c>
      <c r="C288" s="29">
        <v>93224.56</v>
      </c>
      <c r="D288" s="30">
        <f t="shared" si="8"/>
        <v>-5.0015156107911492E-3</v>
      </c>
      <c r="E288" s="30">
        <f t="shared" si="9"/>
        <v>-4.5251207362694461E-3</v>
      </c>
    </row>
    <row r="289" spans="1:5" x14ac:dyDescent="0.35">
      <c r="A289" s="27">
        <v>45607</v>
      </c>
      <c r="B289" s="28">
        <v>6598</v>
      </c>
      <c r="C289" s="29">
        <v>93648.33</v>
      </c>
      <c r="D289" s="30">
        <f t="shared" si="8"/>
        <v>-3.0303030303030303E-4</v>
      </c>
      <c r="E289" s="30">
        <f t="shared" si="9"/>
        <v>3.8229561307075695E-3</v>
      </c>
    </row>
    <row r="290" spans="1:5" x14ac:dyDescent="0.35">
      <c r="A290" s="27">
        <v>45604</v>
      </c>
      <c r="B290" s="28">
        <v>6600</v>
      </c>
      <c r="C290" s="29">
        <v>93291.68</v>
      </c>
      <c r="D290" s="30">
        <f t="shared" si="8"/>
        <v>1.5153811183512653E-4</v>
      </c>
      <c r="E290" s="30">
        <f t="shared" si="9"/>
        <v>8.3353427981195053E-3</v>
      </c>
    </row>
    <row r="291" spans="1:5" x14ac:dyDescent="0.35">
      <c r="A291" s="27">
        <v>45603</v>
      </c>
      <c r="B291" s="28">
        <v>6599</v>
      </c>
      <c r="C291" s="29">
        <v>92520.49</v>
      </c>
      <c r="D291" s="30">
        <f t="shared" si="8"/>
        <v>-3.1722054380664655E-3</v>
      </c>
      <c r="E291" s="30">
        <f t="shared" si="9"/>
        <v>5.423192682053257E-3</v>
      </c>
    </row>
    <row r="292" spans="1:5" x14ac:dyDescent="0.35">
      <c r="A292" s="27">
        <v>45602</v>
      </c>
      <c r="B292" s="28">
        <v>6620</v>
      </c>
      <c r="C292" s="29">
        <v>92021.440000000002</v>
      </c>
      <c r="D292" s="30">
        <f t="shared" si="8"/>
        <v>3.0303030303030303E-3</v>
      </c>
      <c r="E292" s="30">
        <f t="shared" si="9"/>
        <v>-3.0646452950414955E-3</v>
      </c>
    </row>
    <row r="293" spans="1:5" x14ac:dyDescent="0.35">
      <c r="A293" s="27">
        <v>45601</v>
      </c>
      <c r="B293" s="28">
        <v>6600</v>
      </c>
      <c r="C293" s="29">
        <v>92304.320000000007</v>
      </c>
      <c r="D293" s="30">
        <f t="shared" si="8"/>
        <v>-3.0211480362537764E-3</v>
      </c>
      <c r="E293" s="30">
        <f t="shared" si="9"/>
        <v>3.9843150836091868E-3</v>
      </c>
    </row>
    <row r="294" spans="1:5" x14ac:dyDescent="0.35">
      <c r="A294" s="27">
        <v>45600</v>
      </c>
      <c r="B294" s="28">
        <v>6620</v>
      </c>
      <c r="C294" s="29">
        <v>91938.01</v>
      </c>
      <c r="D294" s="30">
        <f t="shared" si="8"/>
        <v>9.1463414634146336E-3</v>
      </c>
      <c r="E294" s="30">
        <f t="shared" si="9"/>
        <v>1.1866187320361951E-2</v>
      </c>
    </row>
    <row r="295" spans="1:5" x14ac:dyDescent="0.35">
      <c r="A295" s="27">
        <v>45597</v>
      </c>
      <c r="B295" s="28">
        <v>6560</v>
      </c>
      <c r="C295" s="29">
        <v>90859.85</v>
      </c>
      <c r="D295" s="30">
        <f t="shared" si="8"/>
        <v>1.5267175572519084E-3</v>
      </c>
      <c r="E295" s="30">
        <f t="shared" si="9"/>
        <v>2.1278506570486955E-2</v>
      </c>
    </row>
    <row r="296" spans="1:5" x14ac:dyDescent="0.35">
      <c r="A296" s="27">
        <v>45596</v>
      </c>
      <c r="B296" s="28">
        <v>6550</v>
      </c>
      <c r="C296" s="29">
        <v>88966.77</v>
      </c>
      <c r="D296" s="30">
        <f t="shared" si="8"/>
        <v>-1.5777610818933134E-2</v>
      </c>
      <c r="E296" s="30">
        <f t="shared" si="9"/>
        <v>-1.4617899428453233E-2</v>
      </c>
    </row>
    <row r="297" spans="1:5" x14ac:dyDescent="0.35">
      <c r="A297" s="27">
        <v>45595</v>
      </c>
      <c r="B297" s="28">
        <v>6655</v>
      </c>
      <c r="C297" s="29">
        <v>90286.57</v>
      </c>
      <c r="D297" s="30">
        <f t="shared" si="8"/>
        <v>-3.444144953578916E-3</v>
      </c>
      <c r="E297" s="30">
        <f t="shared" si="9"/>
        <v>-6.3558662173361282E-3</v>
      </c>
    </row>
    <row r="298" spans="1:5" x14ac:dyDescent="0.35">
      <c r="A298" s="27">
        <v>45594</v>
      </c>
      <c r="B298" s="28">
        <v>6678</v>
      </c>
      <c r="C298" s="29">
        <v>90864.09</v>
      </c>
      <c r="D298" s="30">
        <f t="shared" si="8"/>
        <v>4.2105263157894736E-3</v>
      </c>
      <c r="E298" s="30">
        <f t="shared" si="9"/>
        <v>7.4124524144879083E-3</v>
      </c>
    </row>
    <row r="299" spans="1:5" x14ac:dyDescent="0.35">
      <c r="A299" s="27">
        <v>45593</v>
      </c>
      <c r="B299" s="28">
        <v>6650</v>
      </c>
      <c r="C299" s="29">
        <v>90195.520000000004</v>
      </c>
      <c r="D299" s="30">
        <f t="shared" si="8"/>
        <v>1.279317697228145E-2</v>
      </c>
      <c r="E299" s="30">
        <f t="shared" si="9"/>
        <v>2.239594497275794E-3</v>
      </c>
    </row>
    <row r="300" spans="1:5" x14ac:dyDescent="0.35">
      <c r="A300" s="27">
        <v>45590</v>
      </c>
      <c r="B300" s="28">
        <v>6566</v>
      </c>
      <c r="C300" s="29">
        <v>89993.97</v>
      </c>
      <c r="D300" s="30">
        <f t="shared" si="8"/>
        <v>-1.6182199580461493E-2</v>
      </c>
      <c r="E300" s="30">
        <f t="shared" si="9"/>
        <v>1.1782206257977407E-2</v>
      </c>
    </row>
    <row r="301" spans="1:5" x14ac:dyDescent="0.35">
      <c r="A301" s="27">
        <v>45589</v>
      </c>
      <c r="B301" s="28">
        <v>6674</v>
      </c>
      <c r="C301" s="29">
        <v>88945.99</v>
      </c>
      <c r="D301" s="30">
        <f t="shared" si="8"/>
        <v>-1.8385056625974408E-2</v>
      </c>
      <c r="E301" s="30">
        <f t="shared" si="9"/>
        <v>2.0086693501680401E-2</v>
      </c>
    </row>
    <row r="302" spans="1:5" x14ac:dyDescent="0.35">
      <c r="A302" s="27">
        <v>45588</v>
      </c>
      <c r="B302" s="28">
        <v>6799</v>
      </c>
      <c r="C302" s="29">
        <v>87194.54</v>
      </c>
      <c r="D302" s="30">
        <f t="shared" si="8"/>
        <v>0</v>
      </c>
      <c r="E302" s="30">
        <f t="shared" si="9"/>
        <v>8.4189752850175395E-3</v>
      </c>
    </row>
    <row r="303" spans="1:5" x14ac:dyDescent="0.35">
      <c r="A303" s="27">
        <v>45587</v>
      </c>
      <c r="B303" s="28">
        <v>6799</v>
      </c>
      <c r="C303" s="29">
        <v>86466.58</v>
      </c>
      <c r="D303" s="30">
        <f t="shared" si="8"/>
        <v>0</v>
      </c>
      <c r="E303" s="30">
        <f t="shared" si="9"/>
        <v>4.7533324223147221E-3</v>
      </c>
    </row>
    <row r="304" spans="1:5" x14ac:dyDescent="0.35">
      <c r="A304" s="27">
        <v>45586</v>
      </c>
      <c r="B304" s="28">
        <v>6799</v>
      </c>
      <c r="C304" s="29">
        <v>86057.52</v>
      </c>
      <c r="D304" s="30">
        <f t="shared" si="8"/>
        <v>-1.4705882352941175E-4</v>
      </c>
      <c r="E304" s="30">
        <f t="shared" si="9"/>
        <v>9.4713096490573519E-3</v>
      </c>
    </row>
    <row r="305" spans="1:5" x14ac:dyDescent="0.35">
      <c r="A305" s="27">
        <v>45583</v>
      </c>
      <c r="B305" s="28">
        <v>6800</v>
      </c>
      <c r="C305" s="29">
        <v>85250.09</v>
      </c>
      <c r="D305" s="30">
        <f t="shared" si="8"/>
        <v>0</v>
      </c>
      <c r="E305" s="30">
        <f t="shared" si="9"/>
        <v>-3.9181902807521856E-3</v>
      </c>
    </row>
    <row r="306" spans="1:5" x14ac:dyDescent="0.35">
      <c r="A306" s="27">
        <v>45582</v>
      </c>
      <c r="B306" s="28">
        <v>6800</v>
      </c>
      <c r="C306" s="29">
        <v>85585.43</v>
      </c>
      <c r="D306" s="30">
        <f t="shared" si="8"/>
        <v>-1.4492753623188406E-2</v>
      </c>
      <c r="E306" s="30">
        <f t="shared" si="9"/>
        <v>-7.1947712017982396E-3</v>
      </c>
    </row>
    <row r="307" spans="1:5" x14ac:dyDescent="0.35">
      <c r="A307" s="27">
        <v>45581</v>
      </c>
      <c r="B307" s="28">
        <v>6900</v>
      </c>
      <c r="C307" s="29">
        <v>86205.66</v>
      </c>
      <c r="D307" s="30">
        <f t="shared" si="8"/>
        <v>1.4705882352941176E-2</v>
      </c>
      <c r="E307" s="30">
        <f t="shared" si="9"/>
        <v>4.2558079336592449E-3</v>
      </c>
    </row>
    <row r="308" spans="1:5" x14ac:dyDescent="0.35">
      <c r="A308" s="27">
        <v>45580</v>
      </c>
      <c r="B308" s="28">
        <v>6800</v>
      </c>
      <c r="C308" s="29">
        <v>85840.34</v>
      </c>
      <c r="D308" s="30">
        <f t="shared" si="8"/>
        <v>0</v>
      </c>
      <c r="E308" s="30">
        <f t="shared" si="9"/>
        <v>6.7902951148227477E-3</v>
      </c>
    </row>
    <row r="309" spans="1:5" x14ac:dyDescent="0.35">
      <c r="A309" s="27">
        <v>45579</v>
      </c>
      <c r="B309" s="28">
        <v>6800</v>
      </c>
      <c r="C309" s="29">
        <v>85261.39</v>
      </c>
      <c r="D309" s="30">
        <f t="shared" si="8"/>
        <v>-2.144193409123615E-2</v>
      </c>
      <c r="E309" s="30">
        <f t="shared" si="9"/>
        <v>-2.5971124218268668E-3</v>
      </c>
    </row>
    <row r="310" spans="1:5" x14ac:dyDescent="0.35">
      <c r="A310" s="27">
        <v>45576</v>
      </c>
      <c r="B310" s="28">
        <v>6949</v>
      </c>
      <c r="C310" s="29">
        <v>85483.4</v>
      </c>
      <c r="D310" s="30">
        <f t="shared" si="8"/>
        <v>2.6440177252584934E-2</v>
      </c>
      <c r="E310" s="30">
        <f t="shared" si="9"/>
        <v>3.5317569074627046E-4</v>
      </c>
    </row>
    <row r="311" spans="1:5" x14ac:dyDescent="0.35">
      <c r="A311" s="27">
        <v>45575</v>
      </c>
      <c r="B311" s="28">
        <v>6770</v>
      </c>
      <c r="C311" s="29">
        <v>85453.22</v>
      </c>
      <c r="D311" s="30">
        <f t="shared" si="8"/>
        <v>-2.9455081001472753E-3</v>
      </c>
      <c r="E311" s="30">
        <f t="shared" si="9"/>
        <v>-2.522024230856121E-3</v>
      </c>
    </row>
    <row r="312" spans="1:5" x14ac:dyDescent="0.35">
      <c r="A312" s="27">
        <v>45574</v>
      </c>
      <c r="B312" s="28">
        <v>6790</v>
      </c>
      <c r="C312" s="29">
        <v>85669.28</v>
      </c>
      <c r="D312" s="30">
        <f t="shared" si="8"/>
        <v>-1.8218623481781375E-2</v>
      </c>
      <c r="E312" s="30">
        <f t="shared" si="9"/>
        <v>6.1869644627799341E-5</v>
      </c>
    </row>
    <row r="313" spans="1:5" x14ac:dyDescent="0.35">
      <c r="A313" s="27">
        <v>45573</v>
      </c>
      <c r="B313" s="28">
        <v>6916</v>
      </c>
      <c r="C313" s="29">
        <v>85663.98</v>
      </c>
      <c r="D313" s="30">
        <f t="shared" si="8"/>
        <v>1.7073780496772065E-2</v>
      </c>
      <c r="E313" s="30">
        <f t="shared" si="9"/>
        <v>8.8761905210556664E-3</v>
      </c>
    </row>
    <row r="314" spans="1:5" x14ac:dyDescent="0.35">
      <c r="A314" s="27">
        <v>45572</v>
      </c>
      <c r="B314" s="28">
        <v>6799.9</v>
      </c>
      <c r="C314" s="29">
        <v>84910.3</v>
      </c>
      <c r="D314" s="30">
        <f t="shared" si="8"/>
        <v>-1.4705882352994675E-5</v>
      </c>
      <c r="E314" s="30">
        <f t="shared" si="9"/>
        <v>1.6500750132045224E-2</v>
      </c>
    </row>
    <row r="315" spans="1:5" x14ac:dyDescent="0.35">
      <c r="A315" s="27">
        <v>45569</v>
      </c>
      <c r="B315" s="28">
        <v>6800</v>
      </c>
      <c r="C315" s="29">
        <v>83531.960000000006</v>
      </c>
      <c r="D315" s="30">
        <f t="shared" si="8"/>
        <v>-7.347538574577516E-4</v>
      </c>
      <c r="E315" s="30">
        <f t="shared" si="9"/>
        <v>9.7941569673860012E-3</v>
      </c>
    </row>
    <row r="316" spans="1:5" x14ac:dyDescent="0.35">
      <c r="A316" s="27">
        <v>45568</v>
      </c>
      <c r="B316" s="28">
        <v>6805</v>
      </c>
      <c r="C316" s="29">
        <v>82721.77</v>
      </c>
      <c r="D316" s="30">
        <f t="shared" si="8"/>
        <v>7.3529411764705881E-4</v>
      </c>
      <c r="E316" s="30">
        <f t="shared" si="9"/>
        <v>9.2080948176590724E-3</v>
      </c>
    </row>
    <row r="317" spans="1:5" x14ac:dyDescent="0.35">
      <c r="A317" s="27">
        <v>45567</v>
      </c>
      <c r="B317" s="28">
        <v>6800</v>
      </c>
      <c r="C317" s="29">
        <v>81967.009999999995</v>
      </c>
      <c r="D317" s="30">
        <f t="shared" si="8"/>
        <v>0</v>
      </c>
      <c r="E317" s="30">
        <f t="shared" si="9"/>
        <v>1.9854631628860712E-3</v>
      </c>
    </row>
    <row r="318" spans="1:5" x14ac:dyDescent="0.35">
      <c r="A318" s="27">
        <v>45566</v>
      </c>
      <c r="B318" s="28">
        <v>6800</v>
      </c>
      <c r="C318" s="29">
        <v>81804.59</v>
      </c>
      <c r="D318" s="30">
        <f t="shared" si="8"/>
        <v>0</v>
      </c>
      <c r="E318" s="30">
        <f t="shared" si="9"/>
        <v>8.5113334040155669E-3</v>
      </c>
    </row>
    <row r="319" spans="1:5" x14ac:dyDescent="0.35">
      <c r="A319" s="27">
        <v>45565</v>
      </c>
      <c r="B319" s="28">
        <v>6800</v>
      </c>
      <c r="C319" s="29">
        <v>81114.2</v>
      </c>
      <c r="D319" s="30">
        <f t="shared" si="8"/>
        <v>-1.284749945561443E-2</v>
      </c>
      <c r="E319" s="30">
        <f t="shared" si="9"/>
        <v>-2.1887727631199668E-3</v>
      </c>
    </row>
    <row r="320" spans="1:5" x14ac:dyDescent="0.35">
      <c r="A320" s="27">
        <v>45562</v>
      </c>
      <c r="B320" s="28">
        <v>6888.5</v>
      </c>
      <c r="C320" s="29">
        <v>81292.13</v>
      </c>
      <c r="D320" s="30">
        <f t="shared" si="8"/>
        <v>-1.6666666666666668E-3</v>
      </c>
      <c r="E320" s="30">
        <f t="shared" si="9"/>
        <v>-4.4801505597064986E-3</v>
      </c>
    </row>
    <row r="321" spans="1:5" x14ac:dyDescent="0.35">
      <c r="A321" s="27">
        <v>45561</v>
      </c>
      <c r="B321" s="28">
        <v>6900</v>
      </c>
      <c r="C321" s="29">
        <v>81657.97</v>
      </c>
      <c r="D321" s="30">
        <f t="shared" si="8"/>
        <v>-3.6101083032490976E-3</v>
      </c>
      <c r="E321" s="30">
        <f t="shared" si="9"/>
        <v>-7.1728257687245717E-3</v>
      </c>
    </row>
    <row r="322" spans="1:5" x14ac:dyDescent="0.35">
      <c r="A322" s="27">
        <v>45560</v>
      </c>
      <c r="B322" s="28">
        <v>6925</v>
      </c>
      <c r="C322" s="29">
        <v>82247.92</v>
      </c>
      <c r="D322" s="30">
        <f t="shared" si="8"/>
        <v>-3.6114588279305853E-3</v>
      </c>
      <c r="E322" s="30">
        <f t="shared" si="9"/>
        <v>9.3795515271531665E-3</v>
      </c>
    </row>
    <row r="323" spans="1:5" x14ac:dyDescent="0.35">
      <c r="A323" s="27">
        <v>45559</v>
      </c>
      <c r="B323" s="28">
        <v>6950.1</v>
      </c>
      <c r="C323" s="29">
        <v>81483.64</v>
      </c>
      <c r="D323" s="30">
        <f t="shared" si="8"/>
        <v>-4.1409944118067973E-3</v>
      </c>
      <c r="E323" s="30">
        <f t="shared" si="9"/>
        <v>-4.4820740252044956E-3</v>
      </c>
    </row>
    <row r="324" spans="1:5" x14ac:dyDescent="0.35">
      <c r="A324" s="27">
        <v>45558</v>
      </c>
      <c r="B324" s="28">
        <v>6979</v>
      </c>
      <c r="C324" s="29">
        <v>81850.5</v>
      </c>
      <c r="D324" s="30">
        <f t="shared" si="8"/>
        <v>2.0261972984036074E-2</v>
      </c>
      <c r="E324" s="30">
        <f t="shared" si="9"/>
        <v>-2.7286201735131589E-3</v>
      </c>
    </row>
    <row r="325" spans="1:5" x14ac:dyDescent="0.35">
      <c r="A325" s="27">
        <v>45555</v>
      </c>
      <c r="B325" s="28">
        <v>6840.4</v>
      </c>
      <c r="C325" s="29">
        <v>82074.45</v>
      </c>
      <c r="D325" s="30">
        <f t="shared" ref="D325:D388" si="10">(B325-B326)/B326</f>
        <v>-2.0000000000000052E-2</v>
      </c>
      <c r="E325" s="30">
        <f t="shared" ref="E325:E388" si="11">(C325-C326)/C326</f>
        <v>7.5517476275573179E-3</v>
      </c>
    </row>
    <row r="326" spans="1:5" x14ac:dyDescent="0.35">
      <c r="A326" s="27">
        <v>45554</v>
      </c>
      <c r="B326" s="28">
        <v>6980</v>
      </c>
      <c r="C326" s="29">
        <v>81459.289999999994</v>
      </c>
      <c r="D326" s="30">
        <f t="shared" si="10"/>
        <v>1.1594202898550725E-2</v>
      </c>
      <c r="E326" s="30">
        <f t="shared" si="11"/>
        <v>1.2402850859804188E-2</v>
      </c>
    </row>
    <row r="327" spans="1:5" x14ac:dyDescent="0.35">
      <c r="A327" s="27">
        <v>45553</v>
      </c>
      <c r="B327" s="28">
        <v>6900</v>
      </c>
      <c r="C327" s="29">
        <v>80461.34</v>
      </c>
      <c r="D327" s="30">
        <f t="shared" si="10"/>
        <v>-1.1461318051575931E-2</v>
      </c>
      <c r="E327" s="30">
        <f t="shared" si="11"/>
        <v>1.2205133804849158E-2</v>
      </c>
    </row>
    <row r="328" spans="1:5" x14ac:dyDescent="0.35">
      <c r="A328" s="27">
        <v>45551</v>
      </c>
      <c r="B328" s="28">
        <v>6980</v>
      </c>
      <c r="C328" s="29">
        <v>79491.14</v>
      </c>
      <c r="D328" s="30">
        <f t="shared" si="10"/>
        <v>-2.8571428571428571E-3</v>
      </c>
      <c r="E328" s="30">
        <f t="shared" si="11"/>
        <v>1.9926119073183581E-3</v>
      </c>
    </row>
    <row r="329" spans="1:5" x14ac:dyDescent="0.35">
      <c r="A329" s="27">
        <v>45548</v>
      </c>
      <c r="B329" s="28">
        <v>7000</v>
      </c>
      <c r="C329" s="29">
        <v>79333.06</v>
      </c>
      <c r="D329" s="30">
        <f t="shared" si="10"/>
        <v>7.1433673833845281E-5</v>
      </c>
      <c r="E329" s="30">
        <f t="shared" si="11"/>
        <v>3.9920210201218713E-3</v>
      </c>
    </row>
    <row r="330" spans="1:5" x14ac:dyDescent="0.35">
      <c r="A330" s="27">
        <v>45547</v>
      </c>
      <c r="B330" s="28">
        <v>6999.5</v>
      </c>
      <c r="C330" s="29">
        <v>79017.62</v>
      </c>
      <c r="D330" s="30">
        <f t="shared" si="10"/>
        <v>4.2324246771879483E-3</v>
      </c>
      <c r="E330" s="30">
        <f t="shared" si="11"/>
        <v>4.6511332226343511E-3</v>
      </c>
    </row>
    <row r="331" spans="1:5" x14ac:dyDescent="0.35">
      <c r="A331" s="27">
        <v>45546</v>
      </c>
      <c r="B331" s="28">
        <v>6970</v>
      </c>
      <c r="C331" s="29">
        <v>78651.8</v>
      </c>
      <c r="D331" s="30">
        <f t="shared" si="10"/>
        <v>-1.4326647564469914E-3</v>
      </c>
      <c r="E331" s="30">
        <f t="shared" si="11"/>
        <v>-8.0081486513381966E-3</v>
      </c>
    </row>
    <row r="332" spans="1:5" x14ac:dyDescent="0.35">
      <c r="A332" s="27">
        <v>45545</v>
      </c>
      <c r="B332" s="28">
        <v>6980</v>
      </c>
      <c r="C332" s="29">
        <v>79286.740000000005</v>
      </c>
      <c r="D332" s="30">
        <f t="shared" si="10"/>
        <v>-2.8571428571428571E-3</v>
      </c>
      <c r="E332" s="30">
        <f t="shared" si="11"/>
        <v>8.5446797684920854E-3</v>
      </c>
    </row>
    <row r="333" spans="1:5" x14ac:dyDescent="0.35">
      <c r="A333" s="27">
        <v>45544</v>
      </c>
      <c r="B333" s="28">
        <v>7000</v>
      </c>
      <c r="C333" s="29">
        <v>78615</v>
      </c>
      <c r="D333" s="30">
        <f t="shared" si="10"/>
        <v>1.1441647597254005E-3</v>
      </c>
      <c r="E333" s="30">
        <f t="shared" si="11"/>
        <v>-3.5834998041134507E-3</v>
      </c>
    </row>
    <row r="334" spans="1:5" x14ac:dyDescent="0.35">
      <c r="A334" s="27">
        <v>45541</v>
      </c>
      <c r="B334" s="28">
        <v>6992</v>
      </c>
      <c r="C334" s="29">
        <v>78897.73</v>
      </c>
      <c r="D334" s="30">
        <f t="shared" si="10"/>
        <v>1.1135213304410701E-2</v>
      </c>
      <c r="E334" s="30">
        <f t="shared" si="11"/>
        <v>4.3607080298652606E-4</v>
      </c>
    </row>
    <row r="335" spans="1:5" x14ac:dyDescent="0.35">
      <c r="A335" s="27">
        <v>45540</v>
      </c>
      <c r="B335" s="28">
        <v>6915</v>
      </c>
      <c r="C335" s="29">
        <v>78863.34</v>
      </c>
      <c r="D335" s="30">
        <f t="shared" si="10"/>
        <v>2.0286914939863787E-3</v>
      </c>
      <c r="E335" s="30">
        <f t="shared" si="11"/>
        <v>1.9442469125094909E-4</v>
      </c>
    </row>
    <row r="336" spans="1:5" x14ac:dyDescent="0.35">
      <c r="A336" s="27">
        <v>45539</v>
      </c>
      <c r="B336" s="28">
        <v>6901</v>
      </c>
      <c r="C336" s="29">
        <v>78848.009999999995</v>
      </c>
      <c r="D336" s="30">
        <f t="shared" si="10"/>
        <v>-1.4142857142857143E-2</v>
      </c>
      <c r="E336" s="30">
        <f t="shared" si="11"/>
        <v>6.2750522229730512E-3</v>
      </c>
    </row>
    <row r="337" spans="1:5" x14ac:dyDescent="0.35">
      <c r="A337" s="27">
        <v>45538</v>
      </c>
      <c r="B337" s="28">
        <v>7000</v>
      </c>
      <c r="C337" s="29">
        <v>78356.320000000007</v>
      </c>
      <c r="D337" s="30">
        <f t="shared" si="10"/>
        <v>2.1897810218978103E-2</v>
      </c>
      <c r="E337" s="30">
        <f t="shared" si="11"/>
        <v>9.3276599223594391E-4</v>
      </c>
    </row>
    <row r="338" spans="1:5" x14ac:dyDescent="0.35">
      <c r="A338" s="27">
        <v>45537</v>
      </c>
      <c r="B338" s="28">
        <v>6850</v>
      </c>
      <c r="C338" s="29">
        <v>78283.3</v>
      </c>
      <c r="D338" s="30">
        <f t="shared" si="10"/>
        <v>-7.246376811594203E-3</v>
      </c>
      <c r="E338" s="30">
        <f t="shared" si="11"/>
        <v>-2.6108376518157532E-3</v>
      </c>
    </row>
    <row r="339" spans="1:5" x14ac:dyDescent="0.35">
      <c r="A339" s="27">
        <v>45534</v>
      </c>
      <c r="B339" s="28">
        <v>6900</v>
      </c>
      <c r="C339" s="29">
        <v>78488.22</v>
      </c>
      <c r="D339" s="30">
        <f t="shared" si="10"/>
        <v>7.2516316171138508E-4</v>
      </c>
      <c r="E339" s="30">
        <f t="shared" si="11"/>
        <v>1.7684824669309052E-3</v>
      </c>
    </row>
    <row r="340" spans="1:5" x14ac:dyDescent="0.35">
      <c r="A340" s="27">
        <v>45533</v>
      </c>
      <c r="B340" s="28">
        <v>6895</v>
      </c>
      <c r="C340" s="29">
        <v>78349.66</v>
      </c>
      <c r="D340" s="30">
        <f t="shared" si="10"/>
        <v>1.3970588235294118E-2</v>
      </c>
      <c r="E340" s="30">
        <f t="shared" si="11"/>
        <v>4.5756793672852318E-3</v>
      </c>
    </row>
    <row r="341" spans="1:5" x14ac:dyDescent="0.35">
      <c r="A341" s="27">
        <v>45532</v>
      </c>
      <c r="B341" s="28">
        <v>6800</v>
      </c>
      <c r="C341" s="29">
        <v>77992.789999999994</v>
      </c>
      <c r="D341" s="30">
        <f t="shared" si="10"/>
        <v>-1.4492753623188406E-2</v>
      </c>
      <c r="E341" s="30">
        <f t="shared" si="11"/>
        <v>-1.1711710327207082E-3</v>
      </c>
    </row>
    <row r="342" spans="1:5" x14ac:dyDescent="0.35">
      <c r="A342" s="27">
        <v>45531</v>
      </c>
      <c r="B342" s="28">
        <v>6900</v>
      </c>
      <c r="C342" s="29">
        <v>78084.240000000005</v>
      </c>
      <c r="D342" s="30">
        <f t="shared" si="10"/>
        <v>-5.763688760806916E-3</v>
      </c>
      <c r="E342" s="30">
        <f t="shared" si="11"/>
        <v>-6.1959199735881435E-3</v>
      </c>
    </row>
    <row r="343" spans="1:5" x14ac:dyDescent="0.35">
      <c r="A343" s="27">
        <v>45530</v>
      </c>
      <c r="B343" s="28">
        <v>6940</v>
      </c>
      <c r="C343" s="29">
        <v>78571.06</v>
      </c>
      <c r="D343" s="30">
        <f t="shared" si="10"/>
        <v>1.3138686131386862E-2</v>
      </c>
      <c r="E343" s="30">
        <f t="shared" si="11"/>
        <v>-2.9234241053746786E-3</v>
      </c>
    </row>
    <row r="344" spans="1:5" x14ac:dyDescent="0.35">
      <c r="A344" s="27">
        <v>45527</v>
      </c>
      <c r="B344" s="28">
        <v>6850</v>
      </c>
      <c r="C344" s="29">
        <v>78801.429999999993</v>
      </c>
      <c r="D344" s="30">
        <f t="shared" si="10"/>
        <v>-7.246376811594203E-3</v>
      </c>
      <c r="E344" s="30">
        <f t="shared" si="11"/>
        <v>1.0178516198232216E-4</v>
      </c>
    </row>
    <row r="345" spans="1:5" x14ac:dyDescent="0.35">
      <c r="A345" s="27">
        <v>45526</v>
      </c>
      <c r="B345" s="28">
        <v>6900</v>
      </c>
      <c r="C345" s="29">
        <v>78793.41</v>
      </c>
      <c r="D345" s="30">
        <f t="shared" si="10"/>
        <v>1.4661117891857684E-2</v>
      </c>
      <c r="E345" s="30">
        <f t="shared" si="11"/>
        <v>6.8048063872541515E-3</v>
      </c>
    </row>
    <row r="346" spans="1:5" x14ac:dyDescent="0.35">
      <c r="A346" s="27">
        <v>45525</v>
      </c>
      <c r="B346" s="28">
        <v>6800.3</v>
      </c>
      <c r="C346" s="29">
        <v>78260.86</v>
      </c>
      <c r="D346" s="30">
        <f t="shared" si="10"/>
        <v>-1.0145560407569115E-2</v>
      </c>
      <c r="E346" s="30">
        <f t="shared" si="11"/>
        <v>6.6285491434104043E-3</v>
      </c>
    </row>
    <row r="347" spans="1:5" x14ac:dyDescent="0.35">
      <c r="A347" s="27">
        <v>45524</v>
      </c>
      <c r="B347" s="28">
        <v>6870</v>
      </c>
      <c r="C347" s="29">
        <v>77745.52</v>
      </c>
      <c r="D347" s="30">
        <f t="shared" si="10"/>
        <v>-3.6258158085569255E-3</v>
      </c>
      <c r="E347" s="30">
        <f t="shared" si="11"/>
        <v>-1.0898063660006168E-3</v>
      </c>
    </row>
    <row r="348" spans="1:5" x14ac:dyDescent="0.35">
      <c r="A348" s="27">
        <v>45523</v>
      </c>
      <c r="B348" s="28">
        <v>6895</v>
      </c>
      <c r="C348" s="29">
        <v>77830.34</v>
      </c>
      <c r="D348" s="30">
        <f t="shared" si="10"/>
        <v>6.5693430656934308E-3</v>
      </c>
      <c r="E348" s="30">
        <f t="shared" si="11"/>
        <v>-2.7544256022559352E-3</v>
      </c>
    </row>
    <row r="349" spans="1:5" x14ac:dyDescent="0.35">
      <c r="A349" s="27">
        <v>45520</v>
      </c>
      <c r="B349" s="28">
        <v>6850</v>
      </c>
      <c r="C349" s="29">
        <v>78045.31</v>
      </c>
      <c r="D349" s="30">
        <f t="shared" si="10"/>
        <v>7.3529411764705881E-3</v>
      </c>
      <c r="E349" s="30">
        <f t="shared" si="11"/>
        <v>-7.7676510812614162E-4</v>
      </c>
    </row>
    <row r="350" spans="1:5" x14ac:dyDescent="0.35">
      <c r="A350" s="27">
        <v>45519</v>
      </c>
      <c r="B350" s="28">
        <v>6800</v>
      </c>
      <c r="C350" s="29">
        <v>78105.98</v>
      </c>
      <c r="D350" s="30">
        <f t="shared" si="10"/>
        <v>-1.1627906976744186E-2</v>
      </c>
      <c r="E350" s="30">
        <f t="shared" si="11"/>
        <v>2.9348686692496706E-3</v>
      </c>
    </row>
    <row r="351" spans="1:5" x14ac:dyDescent="0.35">
      <c r="A351" s="27">
        <v>45517</v>
      </c>
      <c r="B351" s="28">
        <v>6880</v>
      </c>
      <c r="C351" s="29">
        <v>77877.42</v>
      </c>
      <c r="D351" s="30">
        <f t="shared" si="10"/>
        <v>1.1467215524845633E-2</v>
      </c>
      <c r="E351" s="30">
        <f t="shared" si="11"/>
        <v>-1.3191795003583001E-3</v>
      </c>
    </row>
    <row r="352" spans="1:5" x14ac:dyDescent="0.35">
      <c r="A352" s="27">
        <v>45516</v>
      </c>
      <c r="B352" s="28">
        <v>6802</v>
      </c>
      <c r="C352" s="29">
        <v>77980.289999999994</v>
      </c>
      <c r="D352" s="30">
        <f t="shared" si="10"/>
        <v>-1.4202898550724638E-2</v>
      </c>
      <c r="E352" s="30">
        <f t="shared" si="11"/>
        <v>-7.5003573265432968E-3</v>
      </c>
    </row>
    <row r="353" spans="1:5" x14ac:dyDescent="0.35">
      <c r="A353" s="27">
        <v>45513</v>
      </c>
      <c r="B353" s="28">
        <v>6900</v>
      </c>
      <c r="C353" s="29">
        <v>78569.59</v>
      </c>
      <c r="D353" s="30">
        <f t="shared" si="10"/>
        <v>0</v>
      </c>
      <c r="E353" s="30">
        <f t="shared" si="11"/>
        <v>8.9293992286535312E-3</v>
      </c>
    </row>
    <row r="354" spans="1:5" x14ac:dyDescent="0.35">
      <c r="A354" s="27">
        <v>45512</v>
      </c>
      <c r="B354" s="28">
        <v>6900</v>
      </c>
      <c r="C354" s="29">
        <v>77874.22</v>
      </c>
      <c r="D354" s="30">
        <f t="shared" si="10"/>
        <v>0</v>
      </c>
      <c r="E354" s="30">
        <f t="shared" si="11"/>
        <v>9.8519746418603803E-3</v>
      </c>
    </row>
    <row r="355" spans="1:5" x14ac:dyDescent="0.35">
      <c r="A355" s="27">
        <v>45511</v>
      </c>
      <c r="B355" s="28">
        <v>6900</v>
      </c>
      <c r="C355" s="29">
        <v>77114.490000000005</v>
      </c>
      <c r="D355" s="30">
        <f t="shared" si="10"/>
        <v>-2.4577128813069249E-3</v>
      </c>
      <c r="E355" s="30">
        <f t="shared" si="11"/>
        <v>-9.9557800136636145E-4</v>
      </c>
    </row>
    <row r="356" spans="1:5" x14ac:dyDescent="0.35">
      <c r="A356" s="27">
        <v>45510</v>
      </c>
      <c r="B356" s="28">
        <v>6917</v>
      </c>
      <c r="C356" s="29">
        <v>77191.34</v>
      </c>
      <c r="D356" s="30">
        <f t="shared" si="10"/>
        <v>2.4637681159420288E-3</v>
      </c>
      <c r="E356" s="30">
        <f t="shared" si="11"/>
        <v>1.3861413625489546E-3</v>
      </c>
    </row>
    <row r="357" spans="1:5" x14ac:dyDescent="0.35">
      <c r="A357" s="27">
        <v>45509</v>
      </c>
      <c r="B357" s="28">
        <v>6900</v>
      </c>
      <c r="C357" s="29">
        <v>77084.490000000005</v>
      </c>
      <c r="D357" s="30">
        <f t="shared" si="10"/>
        <v>-2.0581973030518098E-2</v>
      </c>
      <c r="E357" s="30">
        <f t="shared" si="11"/>
        <v>-1.4592210925321623E-2</v>
      </c>
    </row>
    <row r="358" spans="1:5" x14ac:dyDescent="0.35">
      <c r="A358" s="27">
        <v>45506</v>
      </c>
      <c r="B358" s="28">
        <v>7045</v>
      </c>
      <c r="C358" s="29">
        <v>78225.98</v>
      </c>
      <c r="D358" s="30">
        <f t="shared" si="10"/>
        <v>2.1014492753623187E-2</v>
      </c>
      <c r="E358" s="30">
        <f t="shared" si="11"/>
        <v>6.2473380926831691E-3</v>
      </c>
    </row>
    <row r="359" spans="1:5" x14ac:dyDescent="0.35">
      <c r="A359" s="27">
        <v>45505</v>
      </c>
      <c r="B359" s="28">
        <v>6900</v>
      </c>
      <c r="C359" s="29">
        <v>77740.31</v>
      </c>
      <c r="D359" s="30">
        <f t="shared" si="10"/>
        <v>-1.1461318051575931E-2</v>
      </c>
      <c r="E359" s="30">
        <f t="shared" si="11"/>
        <v>-1.8832413474960011E-3</v>
      </c>
    </row>
    <row r="360" spans="1:5" x14ac:dyDescent="0.35">
      <c r="A360" s="27">
        <v>45504</v>
      </c>
      <c r="B360" s="28">
        <v>6980</v>
      </c>
      <c r="C360" s="29">
        <v>77886.990000000005</v>
      </c>
      <c r="D360" s="30">
        <f t="shared" si="10"/>
        <v>1.8234865061998541E-2</v>
      </c>
      <c r="E360" s="30">
        <f t="shared" si="11"/>
        <v>-9.4344553860091791E-3</v>
      </c>
    </row>
    <row r="361" spans="1:5" x14ac:dyDescent="0.35">
      <c r="A361" s="27">
        <v>45503</v>
      </c>
      <c r="B361" s="28">
        <v>6855</v>
      </c>
      <c r="C361" s="29">
        <v>78628.81</v>
      </c>
      <c r="D361" s="30">
        <f t="shared" si="10"/>
        <v>-1.3527126205209383E-2</v>
      </c>
      <c r="E361" s="30">
        <f t="shared" si="11"/>
        <v>-2.5236040003177506E-3</v>
      </c>
    </row>
    <row r="362" spans="1:5" x14ac:dyDescent="0.35">
      <c r="A362" s="27">
        <v>45502</v>
      </c>
      <c r="B362" s="28">
        <v>6949</v>
      </c>
      <c r="C362" s="29">
        <v>78827.740000000005</v>
      </c>
      <c r="D362" s="30">
        <f t="shared" si="10"/>
        <v>7.101449275362319E-3</v>
      </c>
      <c r="E362" s="30">
        <f t="shared" si="11"/>
        <v>1.0229847656354762E-2</v>
      </c>
    </row>
    <row r="363" spans="1:5" x14ac:dyDescent="0.35">
      <c r="A363" s="27">
        <v>45499</v>
      </c>
      <c r="B363" s="28">
        <v>6900</v>
      </c>
      <c r="C363" s="29">
        <v>78029.509999999995</v>
      </c>
      <c r="D363" s="30">
        <f t="shared" si="10"/>
        <v>0</v>
      </c>
      <c r="E363" s="30">
        <f t="shared" si="11"/>
        <v>-5.6049924218800765E-3</v>
      </c>
    </row>
    <row r="364" spans="1:5" x14ac:dyDescent="0.35">
      <c r="A364" s="27">
        <v>45498</v>
      </c>
      <c r="B364" s="28">
        <v>6900</v>
      </c>
      <c r="C364" s="29">
        <v>78469.33</v>
      </c>
      <c r="D364" s="30">
        <f t="shared" si="10"/>
        <v>-1.7094017094017096E-2</v>
      </c>
      <c r="E364" s="30">
        <f t="shared" si="11"/>
        <v>-1.1684067195981222E-2</v>
      </c>
    </row>
    <row r="365" spans="1:5" x14ac:dyDescent="0.35">
      <c r="A365" s="27">
        <v>45497</v>
      </c>
      <c r="B365" s="28">
        <v>7020</v>
      </c>
      <c r="C365" s="29">
        <v>79397.009999999995</v>
      </c>
      <c r="D365" s="30">
        <f t="shared" si="10"/>
        <v>1.0071942446043165E-2</v>
      </c>
      <c r="E365" s="30">
        <f t="shared" si="11"/>
        <v>5.1897088498892453E-3</v>
      </c>
    </row>
    <row r="366" spans="1:5" x14ac:dyDescent="0.35">
      <c r="A366" s="27">
        <v>45496</v>
      </c>
      <c r="B366" s="28">
        <v>6950</v>
      </c>
      <c r="C366" s="29">
        <v>78987.09</v>
      </c>
      <c r="D366" s="30">
        <f t="shared" si="10"/>
        <v>-6.8591026007430696E-3</v>
      </c>
      <c r="E366" s="30">
        <f t="shared" si="11"/>
        <v>5.7028854002695237E-3</v>
      </c>
    </row>
    <row r="367" spans="1:5" x14ac:dyDescent="0.35">
      <c r="A367" s="27">
        <v>45495</v>
      </c>
      <c r="B367" s="28">
        <v>6998</v>
      </c>
      <c r="C367" s="29">
        <v>78539.19</v>
      </c>
      <c r="D367" s="30">
        <f t="shared" si="10"/>
        <v>-9.9928622412562458E-4</v>
      </c>
      <c r="E367" s="30">
        <f t="shared" si="11"/>
        <v>-1.9704712642831673E-2</v>
      </c>
    </row>
    <row r="368" spans="1:5" x14ac:dyDescent="0.35">
      <c r="A368" s="27">
        <v>45492</v>
      </c>
      <c r="B368" s="28">
        <v>7005</v>
      </c>
      <c r="C368" s="29">
        <v>80117.89</v>
      </c>
      <c r="D368" s="30">
        <f t="shared" si="10"/>
        <v>-2.0279720279720279E-2</v>
      </c>
      <c r="E368" s="30">
        <f t="shared" si="11"/>
        <v>-2.1040725142980464E-2</v>
      </c>
    </row>
    <row r="369" spans="1:5" x14ac:dyDescent="0.35">
      <c r="A369" s="27">
        <v>45491</v>
      </c>
      <c r="B369" s="28">
        <v>7150</v>
      </c>
      <c r="C369" s="29">
        <v>81839.86</v>
      </c>
      <c r="D369" s="30">
        <f t="shared" si="10"/>
        <v>0</v>
      </c>
      <c r="E369" s="30">
        <f t="shared" si="11"/>
        <v>8.4313333360441743E-3</v>
      </c>
    </row>
    <row r="370" spans="1:5" x14ac:dyDescent="0.35">
      <c r="A370" s="27">
        <v>45488</v>
      </c>
      <c r="B370" s="28">
        <v>7150</v>
      </c>
      <c r="C370" s="29">
        <v>81155.61</v>
      </c>
      <c r="D370" s="30">
        <f t="shared" si="10"/>
        <v>1.4904187366926898E-2</v>
      </c>
      <c r="E370" s="30">
        <f t="shared" si="11"/>
        <v>1.5154464181846999E-2</v>
      </c>
    </row>
    <row r="371" spans="1:5" x14ac:dyDescent="0.35">
      <c r="A371" s="27">
        <v>45485</v>
      </c>
      <c r="B371" s="28">
        <v>7045</v>
      </c>
      <c r="C371" s="29">
        <v>79944.100000000006</v>
      </c>
      <c r="D371" s="30">
        <f t="shared" si="10"/>
        <v>-4.1147008328716871E-4</v>
      </c>
      <c r="E371" s="30">
        <f t="shared" si="11"/>
        <v>-6.0318267934371221E-4</v>
      </c>
    </row>
    <row r="372" spans="1:5" x14ac:dyDescent="0.35">
      <c r="A372" s="27">
        <v>45484</v>
      </c>
      <c r="B372" s="28">
        <v>7047.9</v>
      </c>
      <c r="C372" s="29">
        <v>79992.350000000006</v>
      </c>
      <c r="D372" s="30">
        <f t="shared" si="10"/>
        <v>3.9743589743589224E-3</v>
      </c>
      <c r="E372" s="30">
        <f t="shared" si="11"/>
        <v>1.888615402805358E-3</v>
      </c>
    </row>
    <row r="373" spans="1:5" x14ac:dyDescent="0.35">
      <c r="A373" s="27">
        <v>45483</v>
      </c>
      <c r="B373" s="28">
        <v>7020</v>
      </c>
      <c r="C373" s="29">
        <v>79841.56</v>
      </c>
      <c r="D373" s="30">
        <f t="shared" si="10"/>
        <v>2.8571428571428571E-3</v>
      </c>
      <c r="E373" s="30">
        <f t="shared" si="11"/>
        <v>-1.0294766242488415E-2</v>
      </c>
    </row>
    <row r="374" spans="1:5" x14ac:dyDescent="0.35">
      <c r="A374" s="27">
        <v>45482</v>
      </c>
      <c r="B374" s="28">
        <v>7000</v>
      </c>
      <c r="C374" s="29">
        <v>80672.06</v>
      </c>
      <c r="D374" s="30">
        <f t="shared" si="10"/>
        <v>-1.3667746935324784E-2</v>
      </c>
      <c r="E374" s="30">
        <f t="shared" si="11"/>
        <v>1.3138262306243681E-3</v>
      </c>
    </row>
    <row r="375" spans="1:5" x14ac:dyDescent="0.35">
      <c r="A375" s="27">
        <v>45481</v>
      </c>
      <c r="B375" s="28">
        <v>7097</v>
      </c>
      <c r="C375" s="29">
        <v>80566.210000000006</v>
      </c>
      <c r="D375" s="30">
        <f t="shared" si="10"/>
        <v>1.3857142857142858E-2</v>
      </c>
      <c r="E375" s="30">
        <f t="shared" si="11"/>
        <v>4.4060305095984425E-3</v>
      </c>
    </row>
    <row r="376" spans="1:5" x14ac:dyDescent="0.35">
      <c r="A376" s="27">
        <v>45478</v>
      </c>
      <c r="B376" s="28">
        <v>7000</v>
      </c>
      <c r="C376" s="29">
        <v>80212.789999999994</v>
      </c>
      <c r="D376" s="30">
        <f t="shared" si="10"/>
        <v>6.4701653486700216E-3</v>
      </c>
      <c r="E376" s="30">
        <f t="shared" si="11"/>
        <v>-8.7204233036228566E-4</v>
      </c>
    </row>
    <row r="377" spans="1:5" x14ac:dyDescent="0.35">
      <c r="A377" s="27">
        <v>45477</v>
      </c>
      <c r="B377" s="28">
        <v>6955</v>
      </c>
      <c r="C377" s="29">
        <v>80282.8</v>
      </c>
      <c r="D377" s="30">
        <f t="shared" si="10"/>
        <v>-1.0837410399362814E-2</v>
      </c>
      <c r="E377" s="30">
        <f t="shared" si="11"/>
        <v>6.123364417956284E-4</v>
      </c>
    </row>
    <row r="378" spans="1:5" x14ac:dyDescent="0.35">
      <c r="A378" s="27">
        <v>45476</v>
      </c>
      <c r="B378" s="28">
        <v>7031.2</v>
      </c>
      <c r="C378" s="29">
        <v>80233.67</v>
      </c>
      <c r="D378" s="30">
        <f t="shared" si="10"/>
        <v>1.4456788342230532E-2</v>
      </c>
      <c r="E378" s="30">
        <f t="shared" si="11"/>
        <v>8.5575772294381614E-3</v>
      </c>
    </row>
    <row r="379" spans="1:5" x14ac:dyDescent="0.35">
      <c r="A379" s="27">
        <v>45475</v>
      </c>
      <c r="B379" s="28">
        <v>6931</v>
      </c>
      <c r="C379" s="29">
        <v>79552.89</v>
      </c>
      <c r="D379" s="30">
        <f t="shared" si="10"/>
        <v>-1.4082503556187767E-2</v>
      </c>
      <c r="E379" s="30">
        <f t="shared" si="11"/>
        <v>9.2428314963158929E-3</v>
      </c>
    </row>
    <row r="380" spans="1:5" x14ac:dyDescent="0.35">
      <c r="A380" s="27">
        <v>45474</v>
      </c>
      <c r="B380" s="28">
        <v>7030</v>
      </c>
      <c r="C380" s="29">
        <v>78824.33</v>
      </c>
      <c r="D380" s="30">
        <f t="shared" si="10"/>
        <v>-2.361111111111111E-2</v>
      </c>
      <c r="E380" s="30">
        <f t="shared" si="11"/>
        <v>4.8361296888926363E-3</v>
      </c>
    </row>
    <row r="381" spans="1:5" x14ac:dyDescent="0.35">
      <c r="A381" s="27">
        <v>45471</v>
      </c>
      <c r="B381" s="28">
        <v>7200</v>
      </c>
      <c r="C381" s="29">
        <v>78444.960000000006</v>
      </c>
      <c r="D381" s="30">
        <f t="shared" si="10"/>
        <v>4.6359540764423779E-2</v>
      </c>
      <c r="E381" s="30">
        <f t="shared" si="11"/>
        <v>-1.0606374139242069E-3</v>
      </c>
    </row>
    <row r="382" spans="1:5" x14ac:dyDescent="0.35">
      <c r="A382" s="27">
        <v>45470</v>
      </c>
      <c r="B382" s="28">
        <v>6881</v>
      </c>
      <c r="C382" s="29">
        <v>78528.25</v>
      </c>
      <c r="D382" s="30">
        <f t="shared" si="10"/>
        <v>-1.6859551364480641E-2</v>
      </c>
      <c r="E382" s="30">
        <f t="shared" si="11"/>
        <v>3.2270572010581304E-3</v>
      </c>
    </row>
    <row r="383" spans="1:5" x14ac:dyDescent="0.35">
      <c r="A383" s="27">
        <v>45469</v>
      </c>
      <c r="B383" s="28">
        <v>6999</v>
      </c>
      <c r="C383" s="29">
        <v>78275.649999999994</v>
      </c>
      <c r="D383" s="30">
        <f t="shared" si="10"/>
        <v>-2.1118881118881119E-2</v>
      </c>
      <c r="E383" s="30">
        <f t="shared" si="11"/>
        <v>4.2990442206100139E-3</v>
      </c>
    </row>
    <row r="384" spans="1:5" x14ac:dyDescent="0.35">
      <c r="A384" s="27">
        <v>45468</v>
      </c>
      <c r="B384" s="28">
        <v>7150</v>
      </c>
      <c r="C384" s="29">
        <v>77940.58</v>
      </c>
      <c r="D384" s="30">
        <f t="shared" si="10"/>
        <v>-6.9444444444444441E-3</v>
      </c>
      <c r="E384" s="30">
        <f t="shared" si="11"/>
        <v>-3.7263476245684834E-3</v>
      </c>
    </row>
    <row r="385" spans="1:5" x14ac:dyDescent="0.35">
      <c r="A385" s="27">
        <v>45467</v>
      </c>
      <c r="B385" s="28">
        <v>7200</v>
      </c>
      <c r="C385" s="29">
        <v>78232.100000000006</v>
      </c>
      <c r="D385" s="30">
        <f t="shared" si="10"/>
        <v>1.4084507042253521E-2</v>
      </c>
      <c r="E385" s="30">
        <f t="shared" si="11"/>
        <v>-7.3389976385123271E-3</v>
      </c>
    </row>
    <row r="386" spans="1:5" x14ac:dyDescent="0.35">
      <c r="A386" s="27">
        <v>45464</v>
      </c>
      <c r="B386" s="28">
        <v>7100</v>
      </c>
      <c r="C386" s="29">
        <v>78810.490000000005</v>
      </c>
      <c r="D386" s="30">
        <f t="shared" si="10"/>
        <v>1.4285714285714285E-2</v>
      </c>
      <c r="E386" s="30">
        <f t="shared" si="11"/>
        <v>1.1370337606397239E-4</v>
      </c>
    </row>
    <row r="387" spans="1:5" x14ac:dyDescent="0.35">
      <c r="A387" s="27">
        <v>45463</v>
      </c>
      <c r="B387" s="28">
        <v>7000</v>
      </c>
      <c r="C387" s="29">
        <v>78801.53</v>
      </c>
      <c r="D387" s="30">
        <f t="shared" si="10"/>
        <v>0</v>
      </c>
      <c r="E387" s="30">
        <f t="shared" si="11"/>
        <v>2.7308671711766701E-2</v>
      </c>
    </row>
    <row r="388" spans="1:5" x14ac:dyDescent="0.35">
      <c r="A388" s="27">
        <v>45457</v>
      </c>
      <c r="B388" s="28">
        <v>7000</v>
      </c>
      <c r="C388" s="29">
        <v>76706.77</v>
      </c>
      <c r="D388" s="30">
        <f t="shared" si="10"/>
        <v>1.4287755393627662E-4</v>
      </c>
      <c r="E388" s="30">
        <f t="shared" si="11"/>
        <v>6.5427376805843439E-3</v>
      </c>
    </row>
    <row r="389" spans="1:5" x14ac:dyDescent="0.35">
      <c r="A389" s="27">
        <v>45456</v>
      </c>
      <c r="B389" s="28">
        <v>6999</v>
      </c>
      <c r="C389" s="29">
        <v>76208.160000000003</v>
      </c>
      <c r="D389" s="30">
        <f t="shared" ref="D389:D452" si="12">(B389-B390)/B390</f>
        <v>5.7183702644746245E-4</v>
      </c>
      <c r="E389" s="30">
        <f t="shared" ref="E389:E452" si="13">(C389-C390)/C390</f>
        <v>4.6852340803789513E-2</v>
      </c>
    </row>
    <row r="390" spans="1:5" x14ac:dyDescent="0.35">
      <c r="A390" s="27">
        <v>45455</v>
      </c>
      <c r="B390" s="28">
        <v>6995</v>
      </c>
      <c r="C390" s="29">
        <v>72797.429999999993</v>
      </c>
      <c r="D390" s="30">
        <f t="shared" si="12"/>
        <v>7.1530758226037196E-4</v>
      </c>
      <c r="E390" s="30">
        <f t="shared" si="13"/>
        <v>2.8646020243424737E-3</v>
      </c>
    </row>
    <row r="391" spans="1:5" x14ac:dyDescent="0.35">
      <c r="A391" s="27">
        <v>45454</v>
      </c>
      <c r="B391" s="28">
        <v>6990</v>
      </c>
      <c r="C391" s="29">
        <v>72589.490000000005</v>
      </c>
      <c r="D391" s="30">
        <f t="shared" si="12"/>
        <v>-1.4285714285714286E-3</v>
      </c>
      <c r="E391" s="30">
        <f t="shared" si="13"/>
        <v>-9.0518338198691279E-3</v>
      </c>
    </row>
    <row r="392" spans="1:5" x14ac:dyDescent="0.35">
      <c r="A392" s="27">
        <v>45453</v>
      </c>
      <c r="B392" s="28">
        <v>7000</v>
      </c>
      <c r="C392" s="29">
        <v>73252.56</v>
      </c>
      <c r="D392" s="30">
        <f t="shared" si="12"/>
        <v>0</v>
      </c>
      <c r="E392" s="30">
        <f t="shared" si="13"/>
        <v>-6.7990870192567998E-3</v>
      </c>
    </row>
    <row r="393" spans="1:5" x14ac:dyDescent="0.35">
      <c r="A393" s="27">
        <v>45450</v>
      </c>
      <c r="B393" s="28">
        <v>7000</v>
      </c>
      <c r="C393" s="29">
        <v>73754.02</v>
      </c>
      <c r="D393" s="30">
        <f t="shared" si="12"/>
        <v>-3.0202272097533941E-2</v>
      </c>
      <c r="E393" s="30">
        <f t="shared" si="13"/>
        <v>-1.4744879467953539E-3</v>
      </c>
    </row>
    <row r="394" spans="1:5" x14ac:dyDescent="0.35">
      <c r="A394" s="27">
        <v>45449</v>
      </c>
      <c r="B394" s="28">
        <v>7218</v>
      </c>
      <c r="C394" s="29">
        <v>73862.929999999993</v>
      </c>
      <c r="D394" s="30">
        <f t="shared" si="12"/>
        <v>-1.1232876712328766E-2</v>
      </c>
      <c r="E394" s="30">
        <f t="shared" si="13"/>
        <v>-4.8034585008996204E-3</v>
      </c>
    </row>
    <row r="395" spans="1:5" x14ac:dyDescent="0.35">
      <c r="A395" s="27">
        <v>45448</v>
      </c>
      <c r="B395" s="28">
        <v>7300</v>
      </c>
      <c r="C395" s="29">
        <v>74219.44</v>
      </c>
      <c r="D395" s="30">
        <f t="shared" si="12"/>
        <v>1.3717421124828531E-3</v>
      </c>
      <c r="E395" s="30">
        <f t="shared" si="13"/>
        <v>-5.9895541062102032E-3</v>
      </c>
    </row>
    <row r="396" spans="1:5" x14ac:dyDescent="0.35">
      <c r="A396" s="27">
        <v>45447</v>
      </c>
      <c r="B396" s="28">
        <v>7290</v>
      </c>
      <c r="C396" s="29">
        <v>74666.66</v>
      </c>
      <c r="D396" s="30">
        <f t="shared" si="12"/>
        <v>-9.3762739502649822E-3</v>
      </c>
      <c r="E396" s="30">
        <f t="shared" si="13"/>
        <v>-1.2022452850310953E-2</v>
      </c>
    </row>
    <row r="397" spans="1:5" x14ac:dyDescent="0.35">
      <c r="A397" s="27">
        <v>45446</v>
      </c>
      <c r="B397" s="28">
        <v>7359</v>
      </c>
      <c r="C397" s="29">
        <v>75575.259999999995</v>
      </c>
      <c r="D397" s="30">
        <f t="shared" si="12"/>
        <v>2.923076923076923E-2</v>
      </c>
      <c r="E397" s="30">
        <f t="shared" si="13"/>
        <v>-3.996126437957128E-3</v>
      </c>
    </row>
    <row r="398" spans="1:5" x14ac:dyDescent="0.35">
      <c r="A398" s="27">
        <v>45443</v>
      </c>
      <c r="B398" s="28">
        <v>7150</v>
      </c>
      <c r="C398" s="29">
        <v>75878.48</v>
      </c>
      <c r="D398" s="30">
        <f t="shared" si="12"/>
        <v>-6.9444444444444441E-3</v>
      </c>
      <c r="E398" s="30">
        <f t="shared" si="13"/>
        <v>1.3359843970441574E-2</v>
      </c>
    </row>
    <row r="399" spans="1:5" x14ac:dyDescent="0.35">
      <c r="A399" s="27">
        <v>45442</v>
      </c>
      <c r="B399" s="28">
        <v>7200</v>
      </c>
      <c r="C399" s="29">
        <v>74878.12</v>
      </c>
      <c r="D399" s="30">
        <f t="shared" si="12"/>
        <v>1.3890818169190166E-4</v>
      </c>
      <c r="E399" s="30">
        <f t="shared" si="13"/>
        <v>5.5881971716924045E-4</v>
      </c>
    </row>
    <row r="400" spans="1:5" x14ac:dyDescent="0.35">
      <c r="A400" s="27">
        <v>45441</v>
      </c>
      <c r="B400" s="28">
        <v>7199</v>
      </c>
      <c r="C400" s="29">
        <v>74836.3</v>
      </c>
      <c r="D400" s="30">
        <f t="shared" si="12"/>
        <v>-1.3888888888888889E-4</v>
      </c>
      <c r="E400" s="30">
        <f t="shared" si="13"/>
        <v>-9.0202945039619606E-3</v>
      </c>
    </row>
    <row r="401" spans="1:5" x14ac:dyDescent="0.35">
      <c r="A401" s="27">
        <v>45439</v>
      </c>
      <c r="B401" s="28">
        <v>7200</v>
      </c>
      <c r="C401" s="29">
        <v>75517.490000000005</v>
      </c>
      <c r="D401" s="30">
        <f t="shared" si="12"/>
        <v>8.8272383354350576E-3</v>
      </c>
      <c r="E401" s="30">
        <f t="shared" si="13"/>
        <v>-6.1270251887788167E-3</v>
      </c>
    </row>
    <row r="402" spans="1:5" x14ac:dyDescent="0.35">
      <c r="A402" s="27">
        <v>45436</v>
      </c>
      <c r="B402" s="28">
        <v>7137</v>
      </c>
      <c r="C402" s="29">
        <v>75983.039999999994</v>
      </c>
      <c r="D402" s="30">
        <f t="shared" si="12"/>
        <v>-8.7500000000000008E-3</v>
      </c>
      <c r="E402" s="30">
        <f t="shared" si="13"/>
        <v>1.1563284677372981E-2</v>
      </c>
    </row>
    <row r="403" spans="1:5" x14ac:dyDescent="0.35">
      <c r="A403" s="27">
        <v>45435</v>
      </c>
      <c r="B403" s="28">
        <v>7200</v>
      </c>
      <c r="C403" s="29">
        <v>75114.47</v>
      </c>
      <c r="D403" s="30">
        <f t="shared" si="12"/>
        <v>0</v>
      </c>
      <c r="E403" s="30">
        <f t="shared" si="13"/>
        <v>2.1052162536036208E-3</v>
      </c>
    </row>
    <row r="404" spans="1:5" x14ac:dyDescent="0.35">
      <c r="A404" s="27">
        <v>45434</v>
      </c>
      <c r="B404" s="28">
        <v>7200</v>
      </c>
      <c r="C404" s="29">
        <v>74956.67</v>
      </c>
      <c r="D404" s="30">
        <f t="shared" si="12"/>
        <v>-1.7078265143138028E-2</v>
      </c>
      <c r="E404" s="30">
        <f t="shared" si="13"/>
        <v>-3.3254984890323811E-3</v>
      </c>
    </row>
    <row r="405" spans="1:5" x14ac:dyDescent="0.35">
      <c r="A405" s="27">
        <v>45433</v>
      </c>
      <c r="B405" s="28">
        <v>7325.1</v>
      </c>
      <c r="C405" s="29">
        <v>75206.77</v>
      </c>
      <c r="D405" s="30">
        <f t="shared" si="12"/>
        <v>-2.3059482528674263E-2</v>
      </c>
      <c r="E405" s="30">
        <f t="shared" si="13"/>
        <v>1.635102019072027E-3</v>
      </c>
    </row>
    <row r="406" spans="1:5" x14ac:dyDescent="0.35">
      <c r="A406" s="27">
        <v>45432</v>
      </c>
      <c r="B406" s="28">
        <v>7498</v>
      </c>
      <c r="C406" s="29">
        <v>75084</v>
      </c>
      <c r="D406" s="30">
        <f t="shared" si="12"/>
        <v>9.1520861372812925E-3</v>
      </c>
      <c r="E406" s="30">
        <f t="shared" si="13"/>
        <v>-3.429014359122138E-3</v>
      </c>
    </row>
    <row r="407" spans="1:5" x14ac:dyDescent="0.35">
      <c r="A407" s="27">
        <v>45429</v>
      </c>
      <c r="B407" s="28">
        <v>7430</v>
      </c>
      <c r="C407" s="29">
        <v>75342.350000000006</v>
      </c>
      <c r="D407" s="30">
        <f t="shared" si="12"/>
        <v>2.0604395604395604E-2</v>
      </c>
      <c r="E407" s="30">
        <f t="shared" si="13"/>
        <v>5.4937428850926088E-3</v>
      </c>
    </row>
    <row r="408" spans="1:5" x14ac:dyDescent="0.35">
      <c r="A408" s="27">
        <v>45428</v>
      </c>
      <c r="B408" s="28">
        <v>7280</v>
      </c>
      <c r="C408" s="29">
        <v>74930.7</v>
      </c>
      <c r="D408" s="30">
        <f t="shared" si="12"/>
        <v>-1.3550135501355014E-2</v>
      </c>
      <c r="E408" s="30">
        <f t="shared" si="13"/>
        <v>3.5722713951225368E-3</v>
      </c>
    </row>
    <row r="409" spans="1:5" x14ac:dyDescent="0.35">
      <c r="A409" s="27">
        <v>45427</v>
      </c>
      <c r="B409" s="28">
        <v>7380</v>
      </c>
      <c r="C409" s="29">
        <v>74663.98</v>
      </c>
      <c r="D409" s="30">
        <f t="shared" si="12"/>
        <v>7.5085324232081908E-3</v>
      </c>
      <c r="E409" s="30">
        <f t="shared" si="13"/>
        <v>1.7816701974031756E-3</v>
      </c>
    </row>
    <row r="410" spans="1:5" x14ac:dyDescent="0.35">
      <c r="A410" s="27">
        <v>45426</v>
      </c>
      <c r="B410" s="28">
        <v>7325</v>
      </c>
      <c r="C410" s="29">
        <v>74531.19</v>
      </c>
      <c r="D410" s="30">
        <f t="shared" si="12"/>
        <v>-1.026888258343467E-2</v>
      </c>
      <c r="E410" s="30">
        <f t="shared" si="13"/>
        <v>9.9199028280964607E-3</v>
      </c>
    </row>
    <row r="411" spans="1:5" x14ac:dyDescent="0.35">
      <c r="A411" s="27">
        <v>45425</v>
      </c>
      <c r="B411" s="28">
        <v>7401</v>
      </c>
      <c r="C411" s="29">
        <v>73799.11</v>
      </c>
      <c r="D411" s="30">
        <f t="shared" si="12"/>
        <v>-1.0561497326203208E-2</v>
      </c>
      <c r="E411" s="30">
        <f t="shared" si="13"/>
        <v>9.764043483317492E-3</v>
      </c>
    </row>
    <row r="412" spans="1:5" x14ac:dyDescent="0.35">
      <c r="A412" s="27">
        <v>45422</v>
      </c>
      <c r="B412" s="28">
        <v>7480</v>
      </c>
      <c r="C412" s="29">
        <v>73085.5</v>
      </c>
      <c r="D412" s="30">
        <f t="shared" si="12"/>
        <v>-2.6666666666666666E-3</v>
      </c>
      <c r="E412" s="30">
        <f t="shared" si="13"/>
        <v>5.8830370482004001E-3</v>
      </c>
    </row>
    <row r="413" spans="1:5" x14ac:dyDescent="0.35">
      <c r="A413" s="27">
        <v>45421</v>
      </c>
      <c r="B413" s="28">
        <v>7500</v>
      </c>
      <c r="C413" s="29">
        <v>72658.05</v>
      </c>
      <c r="D413" s="30">
        <f t="shared" si="12"/>
        <v>0</v>
      </c>
      <c r="E413" s="30">
        <f t="shared" si="13"/>
        <v>7.744984905336522E-4</v>
      </c>
    </row>
    <row r="414" spans="1:5" x14ac:dyDescent="0.35">
      <c r="A414" s="27">
        <v>45420</v>
      </c>
      <c r="B414" s="28">
        <v>7500</v>
      </c>
      <c r="C414" s="29">
        <v>72601.820000000007</v>
      </c>
      <c r="D414" s="30">
        <f t="shared" si="12"/>
        <v>-3.9840637450199202E-3</v>
      </c>
      <c r="E414" s="30">
        <f t="shared" si="13"/>
        <v>-2.1904531536037081E-3</v>
      </c>
    </row>
    <row r="415" spans="1:5" x14ac:dyDescent="0.35">
      <c r="A415" s="27">
        <v>45419</v>
      </c>
      <c r="B415" s="28">
        <v>7530</v>
      </c>
      <c r="C415" s="29">
        <v>72761.2</v>
      </c>
      <c r="D415" s="30">
        <f t="shared" si="12"/>
        <v>-3.968253968253968E-3</v>
      </c>
      <c r="E415" s="30">
        <f t="shared" si="13"/>
        <v>-4.177876385444483E-5</v>
      </c>
    </row>
    <row r="416" spans="1:5" x14ac:dyDescent="0.35">
      <c r="A416" s="27">
        <v>45418</v>
      </c>
      <c r="B416" s="28">
        <v>7560</v>
      </c>
      <c r="C416" s="29">
        <v>72764.240000000005</v>
      </c>
      <c r="D416" s="30">
        <f t="shared" si="12"/>
        <v>-5.263157894736842E-3</v>
      </c>
      <c r="E416" s="30">
        <f t="shared" si="13"/>
        <v>1.1990611121318015E-2</v>
      </c>
    </row>
    <row r="417" spans="1:5" x14ac:dyDescent="0.35">
      <c r="A417" s="27">
        <v>45415</v>
      </c>
      <c r="B417" s="28">
        <v>7600</v>
      </c>
      <c r="C417" s="29">
        <v>71902.09</v>
      </c>
      <c r="D417" s="30">
        <f t="shared" si="12"/>
        <v>1.4957264957264958E-2</v>
      </c>
      <c r="E417" s="30">
        <f t="shared" si="13"/>
        <v>1.7612391243183288E-2</v>
      </c>
    </row>
    <row r="418" spans="1:5" x14ac:dyDescent="0.35">
      <c r="A418" s="27">
        <v>45414</v>
      </c>
      <c r="B418" s="28">
        <v>7488</v>
      </c>
      <c r="C418" s="29">
        <v>70657.64</v>
      </c>
      <c r="D418" s="30">
        <f t="shared" si="12"/>
        <v>4.0080160320641282E-4</v>
      </c>
      <c r="E418" s="30">
        <f t="shared" si="13"/>
        <v>-6.2573001952813713E-3</v>
      </c>
    </row>
    <row r="419" spans="1:5" x14ac:dyDescent="0.35">
      <c r="A419" s="27">
        <v>45412</v>
      </c>
      <c r="B419" s="28">
        <v>7485</v>
      </c>
      <c r="C419" s="29">
        <v>71102.55</v>
      </c>
      <c r="D419" s="30">
        <f t="shared" si="12"/>
        <v>5.3468787595241276E-4</v>
      </c>
      <c r="E419" s="30">
        <f t="shared" si="13"/>
        <v>-8.2638922112173736E-3</v>
      </c>
    </row>
    <row r="420" spans="1:5" x14ac:dyDescent="0.35">
      <c r="A420" s="27">
        <v>45411</v>
      </c>
      <c r="B420" s="28">
        <v>7481</v>
      </c>
      <c r="C420" s="29">
        <v>71695.03</v>
      </c>
      <c r="D420" s="30">
        <f t="shared" si="12"/>
        <v>-2.9701686121919584E-2</v>
      </c>
      <c r="E420" s="30">
        <f t="shared" si="13"/>
        <v>-1.4403084843506758E-2</v>
      </c>
    </row>
    <row r="421" spans="1:5" x14ac:dyDescent="0.35">
      <c r="A421" s="27">
        <v>45408</v>
      </c>
      <c r="B421" s="28">
        <v>7710</v>
      </c>
      <c r="C421" s="29">
        <v>72742.75</v>
      </c>
      <c r="D421" s="30">
        <f t="shared" si="12"/>
        <v>2.6007802340702211E-3</v>
      </c>
      <c r="E421" s="30">
        <f t="shared" si="13"/>
        <v>1.0717451654407248E-2</v>
      </c>
    </row>
    <row r="422" spans="1:5" x14ac:dyDescent="0.35">
      <c r="A422" s="27">
        <v>45407</v>
      </c>
      <c r="B422" s="28">
        <v>7690</v>
      </c>
      <c r="C422" s="29">
        <v>71971.399999999994</v>
      </c>
      <c r="D422" s="30">
        <f t="shared" si="12"/>
        <v>-1.1689829848032212E-3</v>
      </c>
      <c r="E422" s="30">
        <f t="shared" si="13"/>
        <v>-1.1171115705640093E-3</v>
      </c>
    </row>
    <row r="423" spans="1:5" x14ac:dyDescent="0.35">
      <c r="A423" s="27">
        <v>45406</v>
      </c>
      <c r="B423" s="28">
        <v>7699</v>
      </c>
      <c r="C423" s="29">
        <v>72051.89</v>
      </c>
      <c r="D423" s="30">
        <f t="shared" si="12"/>
        <v>1.9521082769390942E-3</v>
      </c>
      <c r="E423" s="30">
        <f t="shared" si="13"/>
        <v>9.7041161074621542E-3</v>
      </c>
    </row>
    <row r="424" spans="1:5" x14ac:dyDescent="0.35">
      <c r="A424" s="27">
        <v>45405</v>
      </c>
      <c r="B424" s="28">
        <v>7684</v>
      </c>
      <c r="C424" s="29">
        <v>71359.41</v>
      </c>
      <c r="D424" s="30">
        <f t="shared" si="12"/>
        <v>4.3131616782119981E-3</v>
      </c>
      <c r="E424" s="30">
        <f t="shared" si="13"/>
        <v>-1.036629053107646E-3</v>
      </c>
    </row>
    <row r="425" spans="1:5" x14ac:dyDescent="0.35">
      <c r="A425" s="27">
        <v>45404</v>
      </c>
      <c r="B425" s="28">
        <v>7651</v>
      </c>
      <c r="C425" s="29">
        <v>71433.460000000006</v>
      </c>
      <c r="D425" s="30">
        <f t="shared" si="12"/>
        <v>6.7105263157894741E-3</v>
      </c>
      <c r="E425" s="30">
        <f t="shared" si="13"/>
        <v>7.3834542144328545E-3</v>
      </c>
    </row>
    <row r="426" spans="1:5" x14ac:dyDescent="0.35">
      <c r="A426" s="27">
        <v>45401</v>
      </c>
      <c r="B426" s="28">
        <v>7600</v>
      </c>
      <c r="C426" s="29">
        <v>70909.899999999994</v>
      </c>
      <c r="D426" s="30">
        <f t="shared" si="12"/>
        <v>0</v>
      </c>
      <c r="E426" s="30">
        <f t="shared" si="13"/>
        <v>8.8174554261679864E-3</v>
      </c>
    </row>
    <row r="427" spans="1:5" x14ac:dyDescent="0.35">
      <c r="A427" s="27">
        <v>45400</v>
      </c>
      <c r="B427" s="28">
        <v>7600</v>
      </c>
      <c r="C427" s="29">
        <v>70290.12</v>
      </c>
      <c r="D427" s="30">
        <f t="shared" si="12"/>
        <v>0</v>
      </c>
      <c r="E427" s="30">
        <f t="shared" si="13"/>
        <v>-6.1421812591829362E-4</v>
      </c>
    </row>
    <row r="428" spans="1:5" x14ac:dyDescent="0.35">
      <c r="A428" s="27">
        <v>45399</v>
      </c>
      <c r="B428" s="28">
        <v>7600</v>
      </c>
      <c r="C428" s="29">
        <v>70333.320000000007</v>
      </c>
      <c r="D428" s="30">
        <f t="shared" si="12"/>
        <v>9.9667774086378731E-3</v>
      </c>
      <c r="E428" s="30">
        <f t="shared" si="13"/>
        <v>-2.1329766360032453E-3</v>
      </c>
    </row>
    <row r="429" spans="1:5" x14ac:dyDescent="0.35">
      <c r="A429" s="27">
        <v>45398</v>
      </c>
      <c r="B429" s="28">
        <v>7525</v>
      </c>
      <c r="C429" s="29">
        <v>70483.66</v>
      </c>
      <c r="D429" s="30">
        <f t="shared" si="12"/>
        <v>0</v>
      </c>
      <c r="E429" s="30">
        <f t="shared" si="13"/>
        <v>-8.6356740659591783E-4</v>
      </c>
    </row>
    <row r="430" spans="1:5" x14ac:dyDescent="0.35">
      <c r="A430" s="27">
        <v>45397</v>
      </c>
      <c r="B430" s="28">
        <v>7525</v>
      </c>
      <c r="C430" s="29">
        <v>70544.58</v>
      </c>
      <c r="D430" s="30">
        <f t="shared" si="12"/>
        <v>-9.9075036511716875E-3</v>
      </c>
      <c r="E430" s="30">
        <f t="shared" si="13"/>
        <v>3.2690167862433439E-3</v>
      </c>
    </row>
    <row r="431" spans="1:5" x14ac:dyDescent="0.35">
      <c r="A431" s="27">
        <v>45386</v>
      </c>
      <c r="B431" s="28">
        <v>7600.3</v>
      </c>
      <c r="C431" s="29">
        <v>70314.720000000001</v>
      </c>
      <c r="D431" s="30">
        <f t="shared" si="12"/>
        <v>3.947368421055025E-5</v>
      </c>
      <c r="E431" s="30">
        <f t="shared" si="13"/>
        <v>9.9788868111011769E-3</v>
      </c>
    </row>
    <row r="432" spans="1:5" x14ac:dyDescent="0.35">
      <c r="A432" s="27">
        <v>45379</v>
      </c>
      <c r="B432" s="28">
        <v>7600</v>
      </c>
      <c r="C432" s="29">
        <v>69619.990000000005</v>
      </c>
      <c r="D432" s="30">
        <f t="shared" si="12"/>
        <v>-6.5359477124183009E-3</v>
      </c>
      <c r="E432" s="30">
        <f t="shared" si="13"/>
        <v>1.7586475130808646E-2</v>
      </c>
    </row>
    <row r="433" spans="1:5" x14ac:dyDescent="0.35">
      <c r="A433" s="27">
        <v>45378</v>
      </c>
      <c r="B433" s="28">
        <v>7650</v>
      </c>
      <c r="C433" s="29">
        <v>68416.78</v>
      </c>
      <c r="D433" s="30">
        <f t="shared" si="12"/>
        <v>3.3783783783783786E-2</v>
      </c>
      <c r="E433" s="30">
        <f t="shared" si="13"/>
        <v>9.7517505450437376E-3</v>
      </c>
    </row>
    <row r="434" spans="1:5" x14ac:dyDescent="0.35">
      <c r="A434" s="27">
        <v>45377</v>
      </c>
      <c r="B434" s="28">
        <v>7400</v>
      </c>
      <c r="C434" s="29">
        <v>67756.039999999994</v>
      </c>
      <c r="D434" s="30">
        <f t="shared" si="12"/>
        <v>0</v>
      </c>
      <c r="E434" s="30">
        <f t="shared" si="13"/>
        <v>1.3003866563925071E-2</v>
      </c>
    </row>
    <row r="435" spans="1:5" x14ac:dyDescent="0.35">
      <c r="A435" s="27">
        <v>45376</v>
      </c>
      <c r="B435" s="28">
        <v>7400</v>
      </c>
      <c r="C435" s="29">
        <v>66886.259999999995</v>
      </c>
      <c r="D435" s="30">
        <f t="shared" si="12"/>
        <v>2.7777777777777776E-2</v>
      </c>
      <c r="E435" s="30">
        <f t="shared" si="13"/>
        <v>1.3464813630449666E-3</v>
      </c>
    </row>
    <row r="436" spans="1:5" x14ac:dyDescent="0.35">
      <c r="A436" s="27">
        <v>45373</v>
      </c>
      <c r="B436" s="28">
        <v>7200</v>
      </c>
      <c r="C436" s="29">
        <v>66796.320000000007</v>
      </c>
      <c r="D436" s="30">
        <f t="shared" si="12"/>
        <v>-4.1278295605858856E-2</v>
      </c>
      <c r="E436" s="30">
        <f t="shared" si="13"/>
        <v>-3.1160310012175729E-3</v>
      </c>
    </row>
    <row r="437" spans="1:5" x14ac:dyDescent="0.35">
      <c r="A437" s="27">
        <v>45371</v>
      </c>
      <c r="B437" s="28">
        <v>7510</v>
      </c>
      <c r="C437" s="29">
        <v>67005.11</v>
      </c>
      <c r="D437" s="30">
        <f t="shared" si="12"/>
        <v>1.2129380053908356E-2</v>
      </c>
      <c r="E437" s="30">
        <f t="shared" si="13"/>
        <v>-2.0405968712336573E-3</v>
      </c>
    </row>
    <row r="438" spans="1:5" x14ac:dyDescent="0.35">
      <c r="A438" s="27">
        <v>45370</v>
      </c>
      <c r="B438" s="28">
        <v>7420</v>
      </c>
      <c r="C438" s="29">
        <v>67142.12</v>
      </c>
      <c r="D438" s="30">
        <f t="shared" si="12"/>
        <v>-1.0666666666666666E-2</v>
      </c>
      <c r="E438" s="30">
        <f t="shared" si="13"/>
        <v>8.9308750899166119E-3</v>
      </c>
    </row>
    <row r="439" spans="1:5" x14ac:dyDescent="0.35">
      <c r="A439" s="27">
        <v>45365</v>
      </c>
      <c r="B439" s="28">
        <v>7500</v>
      </c>
      <c r="C439" s="29">
        <v>66547.789999999994</v>
      </c>
      <c r="D439" s="30">
        <f t="shared" si="12"/>
        <v>9.2990081955079962E-3</v>
      </c>
      <c r="E439" s="30">
        <f t="shared" si="13"/>
        <v>9.7336702966696765E-3</v>
      </c>
    </row>
    <row r="440" spans="1:5" x14ac:dyDescent="0.35">
      <c r="A440" s="27">
        <v>45364</v>
      </c>
      <c r="B440" s="28">
        <v>7430.9</v>
      </c>
      <c r="C440" s="29">
        <v>65906.28</v>
      </c>
      <c r="D440" s="30">
        <f t="shared" si="12"/>
        <v>-6.564171122994701E-3</v>
      </c>
      <c r="E440" s="30">
        <f t="shared" si="13"/>
        <v>5.8088702668343982E-3</v>
      </c>
    </row>
    <row r="441" spans="1:5" x14ac:dyDescent="0.35">
      <c r="A441" s="27">
        <v>45363</v>
      </c>
      <c r="B441" s="28">
        <v>7480</v>
      </c>
      <c r="C441" s="29">
        <v>65525.65</v>
      </c>
      <c r="D441" s="30">
        <f t="shared" si="12"/>
        <v>-2.2222222222222223E-2</v>
      </c>
      <c r="E441" s="30">
        <f t="shared" si="13"/>
        <v>5.7376745979353105E-3</v>
      </c>
    </row>
    <row r="442" spans="1:5" x14ac:dyDescent="0.35">
      <c r="A442" s="27">
        <v>45362</v>
      </c>
      <c r="B442" s="28">
        <v>7650</v>
      </c>
      <c r="C442" s="29">
        <v>65151.83</v>
      </c>
      <c r="D442" s="30">
        <f t="shared" si="12"/>
        <v>-4.9689440993788817E-2</v>
      </c>
      <c r="E442" s="30">
        <f t="shared" si="13"/>
        <v>-4.0596232806562127E-3</v>
      </c>
    </row>
    <row r="443" spans="1:5" x14ac:dyDescent="0.35">
      <c r="A443" s="27">
        <v>45359</v>
      </c>
      <c r="B443" s="28">
        <v>8050</v>
      </c>
      <c r="C443" s="29">
        <v>65417.4</v>
      </c>
      <c r="D443" s="30">
        <f t="shared" si="12"/>
        <v>2.0278833967046894E-2</v>
      </c>
      <c r="E443" s="30">
        <f t="shared" si="13"/>
        <v>-4.7829216274194297E-3</v>
      </c>
    </row>
    <row r="444" spans="1:5" x14ac:dyDescent="0.35">
      <c r="A444" s="27">
        <v>45358</v>
      </c>
      <c r="B444" s="28">
        <v>7890</v>
      </c>
      <c r="C444" s="29">
        <v>65731.789999999994</v>
      </c>
      <c r="D444" s="30">
        <f t="shared" si="12"/>
        <v>-3.7804878048780487E-2</v>
      </c>
      <c r="E444" s="30">
        <f t="shared" si="13"/>
        <v>3.4989450800425488E-3</v>
      </c>
    </row>
    <row r="445" spans="1:5" x14ac:dyDescent="0.35">
      <c r="A445" s="27">
        <v>45357</v>
      </c>
      <c r="B445" s="28">
        <v>8200</v>
      </c>
      <c r="C445" s="29">
        <v>65502.6</v>
      </c>
      <c r="D445" s="30">
        <f t="shared" si="12"/>
        <v>7.1195297191378182E-2</v>
      </c>
      <c r="E445" s="30">
        <f t="shared" si="13"/>
        <v>9.4326581806799866E-3</v>
      </c>
    </row>
    <row r="446" spans="1:5" x14ac:dyDescent="0.35">
      <c r="A446" s="27">
        <v>45356</v>
      </c>
      <c r="B446" s="28">
        <v>7655</v>
      </c>
      <c r="C446" s="29">
        <v>64890.51</v>
      </c>
      <c r="D446" s="30">
        <f t="shared" si="12"/>
        <v>-2.7318932655654382E-2</v>
      </c>
      <c r="E446" s="30">
        <f t="shared" si="13"/>
        <v>1.1423022574355078E-3</v>
      </c>
    </row>
    <row r="447" spans="1:5" x14ac:dyDescent="0.35">
      <c r="A447" s="27">
        <v>45352</v>
      </c>
      <c r="B447" s="28">
        <v>7870</v>
      </c>
      <c r="C447" s="29">
        <v>64816.47</v>
      </c>
      <c r="D447" s="30">
        <f t="shared" si="12"/>
        <v>0</v>
      </c>
      <c r="E447" s="30">
        <f t="shared" si="13"/>
        <v>1.1991392764601273E-2</v>
      </c>
    </row>
    <row r="448" spans="1:5" x14ac:dyDescent="0.35">
      <c r="A448" s="27">
        <v>45351</v>
      </c>
      <c r="B448" s="28">
        <v>7870</v>
      </c>
      <c r="C448" s="29">
        <v>64048.44</v>
      </c>
      <c r="D448" s="30">
        <f t="shared" si="12"/>
        <v>1.1568123393316195E-2</v>
      </c>
      <c r="E448" s="30">
        <f t="shared" si="13"/>
        <v>-2.5957903627859033E-2</v>
      </c>
    </row>
    <row r="449" spans="1:5" x14ac:dyDescent="0.35">
      <c r="A449" s="27">
        <v>45349</v>
      </c>
      <c r="B449" s="28">
        <v>7780</v>
      </c>
      <c r="C449" s="29">
        <v>65755.31</v>
      </c>
      <c r="D449" s="30">
        <f t="shared" si="12"/>
        <v>2.9100529100529099E-2</v>
      </c>
      <c r="E449" s="30">
        <f t="shared" si="13"/>
        <v>-5.8440192504573523E-4</v>
      </c>
    </row>
    <row r="450" spans="1:5" x14ac:dyDescent="0.35">
      <c r="A450" s="27">
        <v>45348</v>
      </c>
      <c r="B450" s="28">
        <v>7560</v>
      </c>
      <c r="C450" s="29">
        <v>65793.759999999995</v>
      </c>
      <c r="D450" s="30">
        <f t="shared" si="12"/>
        <v>-2.1359223300970873E-2</v>
      </c>
      <c r="E450" s="30">
        <f t="shared" si="13"/>
        <v>2.9064179751288888E-3</v>
      </c>
    </row>
    <row r="451" spans="1:5" x14ac:dyDescent="0.35">
      <c r="A451" s="27">
        <v>45345</v>
      </c>
      <c r="B451" s="28">
        <v>7725</v>
      </c>
      <c r="C451" s="29">
        <v>65603.09</v>
      </c>
      <c r="D451" s="30">
        <f t="shared" si="12"/>
        <v>-2.3400462699586649E-2</v>
      </c>
      <c r="E451" s="30">
        <f t="shared" si="13"/>
        <v>-8.1530240210353261E-4</v>
      </c>
    </row>
    <row r="452" spans="1:5" x14ac:dyDescent="0.35">
      <c r="A452" s="27">
        <v>45341</v>
      </c>
      <c r="B452" s="28">
        <v>7910.1</v>
      </c>
      <c r="C452" s="29">
        <v>65656.62</v>
      </c>
      <c r="D452" s="30">
        <f t="shared" si="12"/>
        <v>-3.5353658536585321E-2</v>
      </c>
      <c r="E452" s="30">
        <f t="shared" si="13"/>
        <v>-1.05620238188697E-3</v>
      </c>
    </row>
    <row r="453" spans="1:5" x14ac:dyDescent="0.35">
      <c r="A453" s="27">
        <v>45331</v>
      </c>
      <c r="B453" s="28">
        <v>8200</v>
      </c>
      <c r="C453" s="29">
        <v>65726.039999999994</v>
      </c>
      <c r="D453" s="30">
        <f t="shared" ref="D453:D516" si="14">(B453-B454)/B454</f>
        <v>0</v>
      </c>
      <c r="E453" s="30">
        <f t="shared" ref="E453:E516" si="15">(C453-C454)/C454</f>
        <v>-3.4220482161726818E-3</v>
      </c>
    </row>
    <row r="454" spans="1:5" x14ac:dyDescent="0.35">
      <c r="A454" s="27">
        <v>45328</v>
      </c>
      <c r="B454" s="28">
        <v>8200</v>
      </c>
      <c r="C454" s="29">
        <v>65951.73</v>
      </c>
      <c r="D454" s="30">
        <f t="shared" si="14"/>
        <v>0</v>
      </c>
      <c r="E454" s="30">
        <f t="shared" si="15"/>
        <v>9.5833660539979531E-3</v>
      </c>
    </row>
    <row r="455" spans="1:5" x14ac:dyDescent="0.35">
      <c r="A455" s="27">
        <v>45324</v>
      </c>
      <c r="B455" s="28">
        <v>8200</v>
      </c>
      <c r="C455" s="29">
        <v>65325.69</v>
      </c>
      <c r="D455" s="30">
        <f t="shared" si="14"/>
        <v>0</v>
      </c>
      <c r="E455" s="30">
        <f t="shared" si="15"/>
        <v>2.5465496766658716E-2</v>
      </c>
    </row>
    <row r="456" spans="1:5" x14ac:dyDescent="0.35">
      <c r="A456" s="27">
        <v>45322</v>
      </c>
      <c r="B456" s="28">
        <v>8200</v>
      </c>
      <c r="C456" s="29">
        <v>63703.45</v>
      </c>
      <c r="D456" s="30">
        <f t="shared" si="14"/>
        <v>-1.2048192771084338E-2</v>
      </c>
      <c r="E456" s="30">
        <f t="shared" si="15"/>
        <v>7.6614504160925825E-3</v>
      </c>
    </row>
    <row r="457" spans="1:5" x14ac:dyDescent="0.35">
      <c r="A457" s="27">
        <v>45317</v>
      </c>
      <c r="B457" s="28">
        <v>8300</v>
      </c>
      <c r="C457" s="29">
        <v>63219.1</v>
      </c>
      <c r="D457" s="30">
        <f t="shared" si="14"/>
        <v>0</v>
      </c>
      <c r="E457" s="30">
        <f t="shared" si="15"/>
        <v>-1.3715934668363887E-3</v>
      </c>
    </row>
    <row r="458" spans="1:5" x14ac:dyDescent="0.35">
      <c r="A458" s="27">
        <v>45315</v>
      </c>
      <c r="B458" s="28">
        <v>8300</v>
      </c>
      <c r="C458" s="29">
        <v>63305.93</v>
      </c>
      <c r="D458" s="30">
        <f t="shared" si="14"/>
        <v>-1.7751479289940829E-2</v>
      </c>
      <c r="E458" s="30">
        <f t="shared" si="15"/>
        <v>7.8023338706714419E-3</v>
      </c>
    </row>
    <row r="459" spans="1:5" x14ac:dyDescent="0.35">
      <c r="A459" s="27">
        <v>45314</v>
      </c>
      <c r="B459" s="28">
        <v>8450</v>
      </c>
      <c r="C459" s="29">
        <v>62815.82</v>
      </c>
      <c r="D459" s="30">
        <f t="shared" si="14"/>
        <v>1.1976047904191617E-2</v>
      </c>
      <c r="E459" s="30">
        <f t="shared" si="15"/>
        <v>1.4560116444752592E-2</v>
      </c>
    </row>
    <row r="460" spans="1:5" x14ac:dyDescent="0.35">
      <c r="A460" s="27">
        <v>45313</v>
      </c>
      <c r="B460" s="28">
        <v>8350</v>
      </c>
      <c r="C460" s="29">
        <v>61914.34</v>
      </c>
      <c r="D460" s="30">
        <f t="shared" si="14"/>
        <v>1.8292682926829267E-2</v>
      </c>
      <c r="E460" s="30">
        <f t="shared" si="15"/>
        <v>5.769734349851314E-3</v>
      </c>
    </row>
    <row r="461" spans="1:5" x14ac:dyDescent="0.35">
      <c r="A461" s="27">
        <v>45310</v>
      </c>
      <c r="B461" s="28">
        <v>8200</v>
      </c>
      <c r="C461" s="29">
        <v>61559.16</v>
      </c>
      <c r="D461" s="30">
        <f t="shared" si="14"/>
        <v>0</v>
      </c>
      <c r="E461" s="30">
        <f t="shared" si="15"/>
        <v>1.8108554742439591E-2</v>
      </c>
    </row>
    <row r="462" spans="1:5" x14ac:dyDescent="0.35">
      <c r="A462" s="27">
        <v>45309</v>
      </c>
      <c r="B462" s="28">
        <v>8200</v>
      </c>
      <c r="C462" s="29">
        <v>60464.24</v>
      </c>
      <c r="D462" s="30">
        <f t="shared" si="14"/>
        <v>0</v>
      </c>
      <c r="E462" s="30">
        <f t="shared" si="15"/>
        <v>7.4264283262798192E-5</v>
      </c>
    </row>
    <row r="463" spans="1:5" x14ac:dyDescent="0.35">
      <c r="A463" s="27">
        <v>45308</v>
      </c>
      <c r="B463" s="28">
        <v>8200</v>
      </c>
      <c r="C463" s="29">
        <v>60459.75</v>
      </c>
      <c r="D463" s="30">
        <f t="shared" si="14"/>
        <v>0</v>
      </c>
      <c r="E463" s="30">
        <f t="shared" si="15"/>
        <v>9.8005844374489063E-3</v>
      </c>
    </row>
    <row r="464" spans="1:5" x14ac:dyDescent="0.35">
      <c r="A464" s="27">
        <v>45307</v>
      </c>
      <c r="B464" s="28">
        <v>8200</v>
      </c>
      <c r="C464" s="29">
        <v>59872.959999999999</v>
      </c>
      <c r="D464" s="30">
        <f t="shared" si="14"/>
        <v>2.5000000000000001E-2</v>
      </c>
      <c r="E464" s="30">
        <f t="shared" si="15"/>
        <v>-1.8798736022219556E-2</v>
      </c>
    </row>
    <row r="465" spans="1:5" x14ac:dyDescent="0.35">
      <c r="A465" s="27">
        <v>45306</v>
      </c>
      <c r="B465" s="28">
        <v>8000</v>
      </c>
      <c r="C465" s="29">
        <v>61020.06</v>
      </c>
      <c r="D465" s="30">
        <f t="shared" si="14"/>
        <v>-2.4390243902439025E-2</v>
      </c>
      <c r="E465" s="30">
        <f t="shared" si="15"/>
        <v>-1.8241511707080351E-2</v>
      </c>
    </row>
    <row r="466" spans="1:5" x14ac:dyDescent="0.35">
      <c r="A466" s="27">
        <v>45303</v>
      </c>
      <c r="B466" s="28">
        <v>8200</v>
      </c>
      <c r="C466" s="29">
        <v>62153.84</v>
      </c>
      <c r="D466" s="30">
        <f t="shared" si="14"/>
        <v>0</v>
      </c>
      <c r="E466" s="30">
        <f t="shared" si="15"/>
        <v>1.5138926612848238E-2</v>
      </c>
    </row>
    <row r="467" spans="1:5" x14ac:dyDescent="0.35">
      <c r="A467" s="27">
        <v>45301</v>
      </c>
      <c r="B467" s="28">
        <v>8200</v>
      </c>
      <c r="C467" s="29">
        <v>61226.93</v>
      </c>
      <c r="D467" s="30">
        <f t="shared" si="14"/>
        <v>0</v>
      </c>
      <c r="E467" s="30">
        <f t="shared" si="15"/>
        <v>2.6465103269744691E-3</v>
      </c>
    </row>
    <row r="468" spans="1:5" x14ac:dyDescent="0.35">
      <c r="A468" s="27">
        <v>45300</v>
      </c>
      <c r="B468" s="28">
        <v>8200</v>
      </c>
      <c r="C468" s="29">
        <v>61065.32</v>
      </c>
      <c r="D468" s="30">
        <f t="shared" si="14"/>
        <v>-6.0606060606060606E-3</v>
      </c>
      <c r="E468" s="30">
        <f t="shared" si="15"/>
        <v>-4.7994453717868951E-2</v>
      </c>
    </row>
    <row r="469" spans="1:5" x14ac:dyDescent="0.35">
      <c r="A469" s="27">
        <v>45299</v>
      </c>
      <c r="B469" s="28">
        <v>8250</v>
      </c>
      <c r="C469" s="29">
        <v>64143.87</v>
      </c>
      <c r="D469" s="30">
        <f t="shared" si="14"/>
        <v>-1.7857142857142856E-2</v>
      </c>
      <c r="E469" s="30">
        <f t="shared" si="15"/>
        <v>5.4052554412278722E-3</v>
      </c>
    </row>
    <row r="470" spans="1:5" x14ac:dyDescent="0.35">
      <c r="A470" s="27">
        <v>45296</v>
      </c>
      <c r="B470" s="28">
        <v>8400</v>
      </c>
      <c r="C470" s="29">
        <v>63799.02</v>
      </c>
      <c r="D470" s="30">
        <f t="shared" si="14"/>
        <v>2.4390243902439025E-2</v>
      </c>
      <c r="E470" s="30">
        <f t="shared" si="15"/>
        <v>1.2635922271539137E-2</v>
      </c>
    </row>
    <row r="471" spans="1:5" x14ac:dyDescent="0.35">
      <c r="A471" s="27">
        <v>45295</v>
      </c>
      <c r="B471" s="28">
        <v>8200</v>
      </c>
      <c r="C471" s="29">
        <v>63002.92</v>
      </c>
      <c r="D471" s="30">
        <f t="shared" si="14"/>
        <v>0</v>
      </c>
      <c r="E471" s="30">
        <f t="shared" si="15"/>
        <v>9.7634794772680777E-3</v>
      </c>
    </row>
    <row r="472" spans="1:5" x14ac:dyDescent="0.35">
      <c r="A472" s="27">
        <v>45293</v>
      </c>
      <c r="B472" s="28">
        <v>8200</v>
      </c>
      <c r="C472" s="29">
        <v>62393.74</v>
      </c>
      <c r="D472" s="30">
        <f t="shared" si="14"/>
        <v>-1.2048192771084338E-2</v>
      </c>
      <c r="E472" s="30">
        <f t="shared" si="15"/>
        <v>6.6886977207507052E-3</v>
      </c>
    </row>
    <row r="473" spans="1:5" x14ac:dyDescent="0.35">
      <c r="A473" s="27">
        <v>45289</v>
      </c>
      <c r="B473" s="28">
        <v>8300</v>
      </c>
      <c r="C473" s="29">
        <v>61979.18</v>
      </c>
      <c r="D473" s="30">
        <f t="shared" si="14"/>
        <v>3.7499999999999999E-2</v>
      </c>
      <c r="E473" s="30">
        <f t="shared" si="15"/>
        <v>2.2224471691773603E-3</v>
      </c>
    </row>
    <row r="474" spans="1:5" x14ac:dyDescent="0.35">
      <c r="A474" s="27">
        <v>45288</v>
      </c>
      <c r="B474" s="28">
        <v>8000</v>
      </c>
      <c r="C474" s="29">
        <v>61841.74</v>
      </c>
      <c r="D474" s="30">
        <f t="shared" si="14"/>
        <v>2.564102564102564E-2</v>
      </c>
      <c r="E474" s="30">
        <f t="shared" si="15"/>
        <v>-3.0892108919396748E-2</v>
      </c>
    </row>
    <row r="475" spans="1:5" x14ac:dyDescent="0.35">
      <c r="A475" s="27">
        <v>45287</v>
      </c>
      <c r="B475" s="28">
        <v>7800</v>
      </c>
      <c r="C475" s="29">
        <v>63813.06</v>
      </c>
      <c r="D475" s="30">
        <f t="shared" si="14"/>
        <v>0</v>
      </c>
      <c r="E475" s="30">
        <f t="shared" si="15"/>
        <v>-7.5422240906056716E-3</v>
      </c>
    </row>
    <row r="476" spans="1:5" x14ac:dyDescent="0.35">
      <c r="A476" s="27">
        <v>45286</v>
      </c>
      <c r="B476" s="28">
        <v>7800</v>
      </c>
      <c r="C476" s="29">
        <v>64298.01</v>
      </c>
      <c r="D476" s="30">
        <f t="shared" si="14"/>
        <v>0</v>
      </c>
      <c r="E476" s="30">
        <f t="shared" si="15"/>
        <v>-8.0901009110580738E-3</v>
      </c>
    </row>
    <row r="477" spans="1:5" x14ac:dyDescent="0.35">
      <c r="A477" s="27">
        <v>45282</v>
      </c>
      <c r="B477" s="28">
        <v>7800</v>
      </c>
      <c r="C477" s="29">
        <v>64822.43</v>
      </c>
      <c r="D477" s="30">
        <f t="shared" si="14"/>
        <v>-1.2783192001012531E-2</v>
      </c>
      <c r="E477" s="30">
        <f t="shared" si="15"/>
        <v>5.7127368851876432E-3</v>
      </c>
    </row>
    <row r="478" spans="1:5" x14ac:dyDescent="0.35">
      <c r="A478" s="27">
        <v>45281</v>
      </c>
      <c r="B478" s="28">
        <v>7901</v>
      </c>
      <c r="C478" s="29">
        <v>64454.22</v>
      </c>
      <c r="D478" s="30">
        <f t="shared" si="14"/>
        <v>-1.2375000000000001E-2</v>
      </c>
      <c r="E478" s="30">
        <f t="shared" si="15"/>
        <v>8.0515287832652448E-3</v>
      </c>
    </row>
    <row r="479" spans="1:5" x14ac:dyDescent="0.35">
      <c r="A479" s="27">
        <v>45280</v>
      </c>
      <c r="B479" s="28">
        <v>8000</v>
      </c>
      <c r="C479" s="29">
        <v>63939.41</v>
      </c>
      <c r="D479" s="30">
        <f t="shared" si="14"/>
        <v>-1.2345679012345678E-2</v>
      </c>
      <c r="E479" s="30">
        <f t="shared" si="15"/>
        <v>1.038490584165571E-2</v>
      </c>
    </row>
    <row r="480" spans="1:5" x14ac:dyDescent="0.35">
      <c r="A480" s="27">
        <v>45279</v>
      </c>
      <c r="B480" s="28">
        <v>8100</v>
      </c>
      <c r="C480" s="29">
        <v>63282.23</v>
      </c>
      <c r="D480" s="30">
        <f t="shared" si="14"/>
        <v>3.014116749332316E-2</v>
      </c>
      <c r="E480" s="30">
        <f t="shared" si="15"/>
        <v>1.2630849461413133E-3</v>
      </c>
    </row>
    <row r="481" spans="1:5" x14ac:dyDescent="0.35">
      <c r="A481" s="27">
        <v>45278</v>
      </c>
      <c r="B481" s="28">
        <v>7863</v>
      </c>
      <c r="C481" s="29">
        <v>63202.400000000001</v>
      </c>
      <c r="D481" s="30">
        <f t="shared" si="14"/>
        <v>-7.4941176470588233E-2</v>
      </c>
      <c r="E481" s="30">
        <f t="shared" si="15"/>
        <v>-5.7409984435402685E-3</v>
      </c>
    </row>
    <row r="482" spans="1:5" x14ac:dyDescent="0.35">
      <c r="A482" s="27">
        <v>45274</v>
      </c>
      <c r="B482" s="28">
        <v>8500</v>
      </c>
      <c r="C482" s="29">
        <v>63567.34</v>
      </c>
      <c r="D482" s="30">
        <f t="shared" si="14"/>
        <v>-7.0538443451681162E-4</v>
      </c>
      <c r="E482" s="30">
        <f t="shared" si="15"/>
        <v>-2.6690740421724153E-3</v>
      </c>
    </row>
    <row r="483" spans="1:5" x14ac:dyDescent="0.35">
      <c r="A483" s="27">
        <v>45273</v>
      </c>
      <c r="B483" s="28">
        <v>8506</v>
      </c>
      <c r="C483" s="29">
        <v>63737.46</v>
      </c>
      <c r="D483" s="30">
        <f t="shared" si="14"/>
        <v>-2.2298850574712644E-2</v>
      </c>
      <c r="E483" s="30">
        <f t="shared" si="15"/>
        <v>-8.2764140559625481E-3</v>
      </c>
    </row>
    <row r="484" spans="1:5" x14ac:dyDescent="0.35">
      <c r="A484" s="27">
        <v>45272</v>
      </c>
      <c r="B484" s="28">
        <v>8700</v>
      </c>
      <c r="C484" s="29">
        <v>64269.38</v>
      </c>
      <c r="D484" s="30">
        <f t="shared" si="14"/>
        <v>1.7543859649122806E-2</v>
      </c>
      <c r="E484" s="30">
        <f t="shared" si="15"/>
        <v>-5.6972995920024621E-3</v>
      </c>
    </row>
    <row r="485" spans="1:5" x14ac:dyDescent="0.35">
      <c r="A485" s="27">
        <v>45271</v>
      </c>
      <c r="B485" s="28">
        <v>8550</v>
      </c>
      <c r="C485" s="29">
        <v>64637.64</v>
      </c>
      <c r="D485" s="30">
        <f t="shared" si="14"/>
        <v>-3.9325842696629212E-2</v>
      </c>
      <c r="E485" s="30">
        <f t="shared" si="15"/>
        <v>3.1059663803513054E-4</v>
      </c>
    </row>
    <row r="486" spans="1:5" x14ac:dyDescent="0.35">
      <c r="A486" s="27">
        <v>45268</v>
      </c>
      <c r="B486" s="28">
        <v>8900</v>
      </c>
      <c r="C486" s="29">
        <v>64617.57</v>
      </c>
      <c r="D486" s="30">
        <f t="shared" si="14"/>
        <v>2.2988505747126436E-2</v>
      </c>
      <c r="E486" s="30">
        <f t="shared" si="15"/>
        <v>1.0915545014576868E-2</v>
      </c>
    </row>
    <row r="487" spans="1:5" x14ac:dyDescent="0.35">
      <c r="A487" s="27">
        <v>45267</v>
      </c>
      <c r="B487" s="28">
        <v>8700</v>
      </c>
      <c r="C487" s="29">
        <v>63919.85</v>
      </c>
      <c r="D487" s="30">
        <f t="shared" si="14"/>
        <v>0</v>
      </c>
      <c r="E487" s="30">
        <f t="shared" si="15"/>
        <v>-3.9072422284480391E-3</v>
      </c>
    </row>
    <row r="488" spans="1:5" x14ac:dyDescent="0.35">
      <c r="A488" s="27">
        <v>45266</v>
      </c>
      <c r="B488" s="28">
        <v>8700</v>
      </c>
      <c r="C488" s="29">
        <v>64170.58</v>
      </c>
      <c r="D488" s="30">
        <f t="shared" si="14"/>
        <v>1.1627906976744186E-2</v>
      </c>
      <c r="E488" s="30">
        <f t="shared" si="15"/>
        <v>-1.034450067196399E-3</v>
      </c>
    </row>
    <row r="489" spans="1:5" x14ac:dyDescent="0.35">
      <c r="A489" s="27">
        <v>45264</v>
      </c>
      <c r="B489" s="28">
        <v>8600</v>
      </c>
      <c r="C489" s="29">
        <v>64237.03</v>
      </c>
      <c r="D489" s="30">
        <f t="shared" si="14"/>
        <v>5.8479532163742687E-3</v>
      </c>
      <c r="E489" s="30">
        <f t="shared" si="15"/>
        <v>-4.3070670496273356E-3</v>
      </c>
    </row>
    <row r="490" spans="1:5" x14ac:dyDescent="0.35">
      <c r="A490" s="27">
        <v>45261</v>
      </c>
      <c r="B490" s="28">
        <v>8550</v>
      </c>
      <c r="C490" s="29">
        <v>64514.9</v>
      </c>
      <c r="D490" s="30">
        <f t="shared" si="14"/>
        <v>5.8823529411764705E-3</v>
      </c>
      <c r="E490" s="30">
        <f t="shared" si="15"/>
        <v>-1.9223640901274402E-3</v>
      </c>
    </row>
    <row r="491" spans="1:5" x14ac:dyDescent="0.35">
      <c r="A491" s="27">
        <v>45260</v>
      </c>
      <c r="B491" s="28">
        <v>8500</v>
      </c>
      <c r="C491" s="29">
        <v>64639.16</v>
      </c>
      <c r="D491" s="30">
        <f t="shared" si="14"/>
        <v>0</v>
      </c>
      <c r="E491" s="30">
        <f t="shared" si="15"/>
        <v>-1.1895397842269272E-4</v>
      </c>
    </row>
    <row r="492" spans="1:5" x14ac:dyDescent="0.35">
      <c r="A492" s="27">
        <v>45259</v>
      </c>
      <c r="B492" s="28">
        <v>8500</v>
      </c>
      <c r="C492" s="29">
        <v>64646.85</v>
      </c>
      <c r="D492" s="30">
        <f t="shared" si="14"/>
        <v>0</v>
      </c>
      <c r="E492" s="30">
        <f t="shared" si="15"/>
        <v>4.6192983328567699E-3</v>
      </c>
    </row>
    <row r="493" spans="1:5" x14ac:dyDescent="0.35">
      <c r="A493" s="27">
        <v>45258</v>
      </c>
      <c r="B493" s="28">
        <v>8500</v>
      </c>
      <c r="C493" s="29">
        <v>64349.599999999999</v>
      </c>
      <c r="D493" s="30">
        <f t="shared" si="14"/>
        <v>5.9171597633136093E-3</v>
      </c>
      <c r="E493" s="30">
        <f t="shared" si="15"/>
        <v>-4.8278906024548087E-3</v>
      </c>
    </row>
    <row r="494" spans="1:5" x14ac:dyDescent="0.35">
      <c r="A494" s="27">
        <v>45257</v>
      </c>
      <c r="B494" s="28">
        <v>8450</v>
      </c>
      <c r="C494" s="29">
        <v>64661.78</v>
      </c>
      <c r="D494" s="30">
        <f t="shared" si="14"/>
        <v>-1.4002333722287048E-2</v>
      </c>
      <c r="E494" s="30">
        <f t="shared" si="15"/>
        <v>3.5399570607631159E-2</v>
      </c>
    </row>
    <row r="495" spans="1:5" x14ac:dyDescent="0.35">
      <c r="A495" s="27">
        <v>45254</v>
      </c>
      <c r="B495" s="28">
        <v>8570</v>
      </c>
      <c r="C495" s="29">
        <v>62451.040000000001</v>
      </c>
      <c r="D495" s="30">
        <f t="shared" si="14"/>
        <v>8.2352941176470594E-3</v>
      </c>
      <c r="E495" s="30">
        <f t="shared" si="15"/>
        <v>6.426842931052979E-3</v>
      </c>
    </row>
    <row r="496" spans="1:5" x14ac:dyDescent="0.35">
      <c r="A496" s="27">
        <v>45253</v>
      </c>
      <c r="B496" s="28">
        <v>8500</v>
      </c>
      <c r="C496" s="29">
        <v>62052.24</v>
      </c>
      <c r="D496" s="30">
        <f t="shared" si="14"/>
        <v>-5.8479532163742687E-3</v>
      </c>
      <c r="E496" s="30">
        <f t="shared" si="15"/>
        <v>1.9529236019809458E-2</v>
      </c>
    </row>
    <row r="497" spans="1:5" x14ac:dyDescent="0.35">
      <c r="A497" s="27">
        <v>45252</v>
      </c>
      <c r="B497" s="28">
        <v>8550</v>
      </c>
      <c r="C497" s="29">
        <v>60863.62</v>
      </c>
      <c r="D497" s="30">
        <f t="shared" si="14"/>
        <v>5.8823529411764705E-3</v>
      </c>
      <c r="E497" s="30">
        <f t="shared" si="15"/>
        <v>2.8605914588536462E-2</v>
      </c>
    </row>
    <row r="498" spans="1:5" x14ac:dyDescent="0.35">
      <c r="A498" s="27">
        <v>45251</v>
      </c>
      <c r="B498" s="28">
        <v>8500</v>
      </c>
      <c r="C498" s="29">
        <v>59170.98</v>
      </c>
      <c r="D498" s="30">
        <f t="shared" si="14"/>
        <v>0</v>
      </c>
      <c r="E498" s="30">
        <f t="shared" si="15"/>
        <v>-4.1068086927674739E-2</v>
      </c>
    </row>
    <row r="499" spans="1:5" x14ac:dyDescent="0.35">
      <c r="A499" s="27">
        <v>45250</v>
      </c>
      <c r="B499" s="28">
        <v>8500</v>
      </c>
      <c r="C499" s="29">
        <v>61705.09</v>
      </c>
      <c r="D499" s="30">
        <f t="shared" si="14"/>
        <v>-1.1627906976744186E-2</v>
      </c>
      <c r="E499" s="30">
        <f t="shared" si="15"/>
        <v>-1.5766848179167389E-2</v>
      </c>
    </row>
    <row r="500" spans="1:5" x14ac:dyDescent="0.35">
      <c r="A500" s="27">
        <v>45247</v>
      </c>
      <c r="B500" s="28">
        <v>8600</v>
      </c>
      <c r="C500" s="29">
        <v>62693.57</v>
      </c>
      <c r="D500" s="30">
        <f t="shared" si="14"/>
        <v>-2.2727272727272728E-2</v>
      </c>
      <c r="E500" s="30">
        <f t="shared" si="15"/>
        <v>3.932230987024209E-3</v>
      </c>
    </row>
    <row r="501" spans="1:5" x14ac:dyDescent="0.35">
      <c r="A501" s="27">
        <v>45246</v>
      </c>
      <c r="B501" s="28">
        <v>8800</v>
      </c>
      <c r="C501" s="29">
        <v>62448.01</v>
      </c>
      <c r="D501" s="30">
        <f t="shared" si="14"/>
        <v>4.7619047619047616E-2</v>
      </c>
      <c r="E501" s="30">
        <f t="shared" si="15"/>
        <v>-6.1276688391439472E-3</v>
      </c>
    </row>
    <row r="502" spans="1:5" x14ac:dyDescent="0.35">
      <c r="A502" s="27">
        <v>45245</v>
      </c>
      <c r="B502" s="28">
        <v>8400</v>
      </c>
      <c r="C502" s="29">
        <v>62833.03</v>
      </c>
      <c r="D502" s="30">
        <f t="shared" si="14"/>
        <v>0</v>
      </c>
      <c r="E502" s="30">
        <f t="shared" si="15"/>
        <v>-3.6372389221141818E-2</v>
      </c>
    </row>
    <row r="503" spans="1:5" x14ac:dyDescent="0.35">
      <c r="A503" s="27">
        <v>45244</v>
      </c>
      <c r="B503" s="28">
        <v>8400</v>
      </c>
      <c r="C503" s="29">
        <v>65204.68</v>
      </c>
      <c r="D503" s="30">
        <f t="shared" si="14"/>
        <v>7.0404587448231915E-2</v>
      </c>
      <c r="E503" s="30">
        <f t="shared" si="15"/>
        <v>-1.3992737337747724E-2</v>
      </c>
    </row>
    <row r="504" spans="1:5" x14ac:dyDescent="0.35">
      <c r="A504" s="27">
        <v>45243</v>
      </c>
      <c r="B504" s="28">
        <v>7847.5</v>
      </c>
      <c r="C504" s="29">
        <v>66130.02</v>
      </c>
      <c r="D504" s="30">
        <f t="shared" si="14"/>
        <v>7.4999999999999997E-2</v>
      </c>
      <c r="E504" s="30">
        <f t="shared" si="15"/>
        <v>1.0386982833816094E-2</v>
      </c>
    </row>
    <row r="505" spans="1:5" x14ac:dyDescent="0.35">
      <c r="A505" s="27">
        <v>45240</v>
      </c>
      <c r="B505" s="28">
        <v>7300</v>
      </c>
      <c r="C505" s="29">
        <v>65450.19</v>
      </c>
      <c r="D505" s="30">
        <f t="shared" si="14"/>
        <v>0</v>
      </c>
      <c r="E505" s="30">
        <f t="shared" si="15"/>
        <v>2.6046198416180173E-3</v>
      </c>
    </row>
    <row r="506" spans="1:5" x14ac:dyDescent="0.35">
      <c r="A506" s="27">
        <v>45238</v>
      </c>
      <c r="B506" s="28">
        <v>7300</v>
      </c>
      <c r="C506" s="29">
        <v>65280.160000000003</v>
      </c>
      <c r="D506" s="30">
        <f t="shared" si="14"/>
        <v>0</v>
      </c>
      <c r="E506" s="30">
        <f t="shared" si="15"/>
        <v>-1.726141173785626E-2</v>
      </c>
    </row>
    <row r="507" spans="1:5" x14ac:dyDescent="0.35">
      <c r="A507" s="27">
        <v>45237</v>
      </c>
      <c r="B507" s="28">
        <v>7300</v>
      </c>
      <c r="C507" s="29">
        <v>66426.78</v>
      </c>
      <c r="D507" s="30">
        <f t="shared" si="14"/>
        <v>0</v>
      </c>
      <c r="E507" s="30">
        <f t="shared" si="15"/>
        <v>6.2783725404026349E-3</v>
      </c>
    </row>
    <row r="508" spans="1:5" x14ac:dyDescent="0.35">
      <c r="A508" s="27">
        <v>45236</v>
      </c>
      <c r="B508" s="28">
        <v>7300</v>
      </c>
      <c r="C508" s="29">
        <v>66012.33</v>
      </c>
      <c r="D508" s="30">
        <f t="shared" si="14"/>
        <v>0</v>
      </c>
      <c r="E508" s="30">
        <f t="shared" si="15"/>
        <v>-3.190703982853294E-3</v>
      </c>
    </row>
    <row r="509" spans="1:5" x14ac:dyDescent="0.35">
      <c r="A509" s="27">
        <v>45233</v>
      </c>
      <c r="B509" s="28">
        <v>7300</v>
      </c>
      <c r="C509" s="29">
        <v>66223.63</v>
      </c>
      <c r="D509" s="30">
        <f t="shared" si="14"/>
        <v>1.3888888888888888E-2</v>
      </c>
      <c r="E509" s="30">
        <f t="shared" si="15"/>
        <v>2.3263205583354804E-2</v>
      </c>
    </row>
    <row r="510" spans="1:5" x14ac:dyDescent="0.35">
      <c r="A510" s="27">
        <v>45232</v>
      </c>
      <c r="B510" s="28">
        <v>7200</v>
      </c>
      <c r="C510" s="29">
        <v>64718.080000000002</v>
      </c>
      <c r="D510" s="30">
        <f t="shared" si="14"/>
        <v>0</v>
      </c>
      <c r="E510" s="30">
        <f t="shared" si="15"/>
        <v>1.4727946220332034E-2</v>
      </c>
    </row>
    <row r="511" spans="1:5" x14ac:dyDescent="0.35">
      <c r="A511" s="27">
        <v>45231</v>
      </c>
      <c r="B511" s="28">
        <v>7200</v>
      </c>
      <c r="C511" s="29">
        <v>63778.75</v>
      </c>
      <c r="D511" s="30">
        <f t="shared" si="14"/>
        <v>0</v>
      </c>
      <c r="E511" s="30">
        <f t="shared" si="15"/>
        <v>1.190928558407179E-2</v>
      </c>
    </row>
    <row r="512" spans="1:5" x14ac:dyDescent="0.35">
      <c r="A512" s="27">
        <v>45230</v>
      </c>
      <c r="B512" s="28">
        <v>7200</v>
      </c>
      <c r="C512" s="29">
        <v>63028.13</v>
      </c>
      <c r="D512" s="30">
        <f t="shared" si="14"/>
        <v>-1.3869625520110957E-3</v>
      </c>
      <c r="E512" s="30">
        <f t="shared" si="15"/>
        <v>7.2357565718769263E-3</v>
      </c>
    </row>
    <row r="513" spans="1:5" x14ac:dyDescent="0.35">
      <c r="A513" s="27">
        <v>45229</v>
      </c>
      <c r="B513" s="28">
        <v>7210</v>
      </c>
      <c r="C513" s="29">
        <v>62575.35</v>
      </c>
      <c r="D513" s="30">
        <f t="shared" si="14"/>
        <v>1.1929824561403509E-2</v>
      </c>
      <c r="E513" s="30">
        <f t="shared" si="15"/>
        <v>1.433104370554979E-2</v>
      </c>
    </row>
    <row r="514" spans="1:5" x14ac:dyDescent="0.35">
      <c r="A514" s="27">
        <v>45226</v>
      </c>
      <c r="B514" s="28">
        <v>7125</v>
      </c>
      <c r="C514" s="29">
        <v>61691.25</v>
      </c>
      <c r="D514" s="30">
        <f t="shared" si="14"/>
        <v>-2.3972602739726026E-2</v>
      </c>
      <c r="E514" s="30">
        <f t="shared" si="15"/>
        <v>1.9239090405782488E-2</v>
      </c>
    </row>
    <row r="515" spans="1:5" x14ac:dyDescent="0.35">
      <c r="A515" s="27">
        <v>45225</v>
      </c>
      <c r="B515" s="28">
        <v>7300</v>
      </c>
      <c r="C515" s="29">
        <v>60526.77</v>
      </c>
      <c r="D515" s="30">
        <f t="shared" si="14"/>
        <v>0</v>
      </c>
      <c r="E515" s="30">
        <f t="shared" si="15"/>
        <v>4.5967732337874357E-4</v>
      </c>
    </row>
    <row r="516" spans="1:5" x14ac:dyDescent="0.35">
      <c r="A516" s="27">
        <v>45224</v>
      </c>
      <c r="B516" s="28">
        <v>7300</v>
      </c>
      <c r="C516" s="29">
        <v>60498.96</v>
      </c>
      <c r="D516" s="30">
        <f t="shared" si="14"/>
        <v>1.3888888888888888E-2</v>
      </c>
      <c r="E516" s="30">
        <f t="shared" si="15"/>
        <v>-5.6958991071324339E-3</v>
      </c>
    </row>
    <row r="517" spans="1:5" x14ac:dyDescent="0.35">
      <c r="A517" s="27">
        <v>45223</v>
      </c>
      <c r="B517" s="28">
        <v>7200</v>
      </c>
      <c r="C517" s="29">
        <v>60845.53</v>
      </c>
      <c r="D517" s="30">
        <f t="shared" ref="D517:D580" si="16">(B517-B518)/B518</f>
        <v>0</v>
      </c>
      <c r="E517" s="30">
        <f t="shared" ref="E517:E580" si="17">(C517-C518)/C518</f>
        <v>1.7925334166693733E-2</v>
      </c>
    </row>
    <row r="518" spans="1:5" x14ac:dyDescent="0.35">
      <c r="A518" s="27">
        <v>45222</v>
      </c>
      <c r="B518" s="28">
        <v>7200</v>
      </c>
      <c r="C518" s="29">
        <v>59774.06</v>
      </c>
      <c r="D518" s="30">
        <f t="shared" si="16"/>
        <v>0</v>
      </c>
      <c r="E518" s="30">
        <f t="shared" si="17"/>
        <v>1.0151869068063443E-2</v>
      </c>
    </row>
    <row r="519" spans="1:5" x14ac:dyDescent="0.35">
      <c r="A519" s="27">
        <v>45219</v>
      </c>
      <c r="B519" s="28">
        <v>7200</v>
      </c>
      <c r="C519" s="29">
        <v>59173.34</v>
      </c>
      <c r="D519" s="30">
        <f t="shared" si="16"/>
        <v>-2.571041948579161E-2</v>
      </c>
      <c r="E519" s="30">
        <f t="shared" si="17"/>
        <v>4.4565682353659023E-3</v>
      </c>
    </row>
    <row r="520" spans="1:5" x14ac:dyDescent="0.35">
      <c r="A520" s="27">
        <v>45218</v>
      </c>
      <c r="B520" s="28">
        <v>7390</v>
      </c>
      <c r="C520" s="29">
        <v>58910.8</v>
      </c>
      <c r="D520" s="30">
        <f t="shared" si="16"/>
        <v>1.2328767123287671E-2</v>
      </c>
      <c r="E520" s="30">
        <f t="shared" si="17"/>
        <v>1.25911272370252E-2</v>
      </c>
    </row>
    <row r="521" spans="1:5" x14ac:dyDescent="0.35">
      <c r="A521" s="27">
        <v>45217</v>
      </c>
      <c r="B521" s="28">
        <v>7300</v>
      </c>
      <c r="C521" s="29">
        <v>58178.27</v>
      </c>
      <c r="D521" s="30">
        <f t="shared" si="16"/>
        <v>-6.8027210884353739E-3</v>
      </c>
      <c r="E521" s="30">
        <f t="shared" si="17"/>
        <v>1.341429043735573E-2</v>
      </c>
    </row>
    <row r="522" spans="1:5" x14ac:dyDescent="0.35">
      <c r="A522" s="27">
        <v>45216</v>
      </c>
      <c r="B522" s="28">
        <v>7350</v>
      </c>
      <c r="C522" s="29">
        <v>57408.18</v>
      </c>
      <c r="D522" s="30">
        <f t="shared" si="16"/>
        <v>6.8493150684931503E-3</v>
      </c>
      <c r="E522" s="30">
        <f t="shared" si="17"/>
        <v>5.9963911955264832E-3</v>
      </c>
    </row>
    <row r="523" spans="1:5" x14ac:dyDescent="0.35">
      <c r="A523" s="27">
        <v>45215</v>
      </c>
      <c r="B523" s="28">
        <v>7300</v>
      </c>
      <c r="C523" s="29">
        <v>57065.99</v>
      </c>
      <c r="D523" s="30">
        <f t="shared" si="16"/>
        <v>2.7300872502110891E-2</v>
      </c>
      <c r="E523" s="30">
        <f t="shared" si="17"/>
        <v>8.599195748071949E-4</v>
      </c>
    </row>
    <row r="524" spans="1:5" x14ac:dyDescent="0.35">
      <c r="A524" s="27">
        <v>45212</v>
      </c>
      <c r="B524" s="28">
        <v>7106</v>
      </c>
      <c r="C524" s="29">
        <v>57016.959999999999</v>
      </c>
      <c r="D524" s="30">
        <f t="shared" si="16"/>
        <v>-1.3055555555555556E-2</v>
      </c>
      <c r="E524" s="30">
        <f t="shared" si="17"/>
        <v>-5.705899258093664E-3</v>
      </c>
    </row>
    <row r="525" spans="1:5" x14ac:dyDescent="0.35">
      <c r="A525" s="27">
        <v>45210</v>
      </c>
      <c r="B525" s="28">
        <v>7200</v>
      </c>
      <c r="C525" s="29">
        <v>57344.160000000003</v>
      </c>
      <c r="D525" s="30">
        <f t="shared" si="16"/>
        <v>2.8571428571428571E-2</v>
      </c>
      <c r="E525" s="30">
        <f t="shared" si="17"/>
        <v>1.0197782870092506E-2</v>
      </c>
    </row>
    <row r="526" spans="1:5" x14ac:dyDescent="0.35">
      <c r="A526" s="27">
        <v>45209</v>
      </c>
      <c r="B526" s="28">
        <v>7000</v>
      </c>
      <c r="C526" s="29">
        <v>56765.279999999999</v>
      </c>
      <c r="D526" s="30">
        <f t="shared" si="16"/>
        <v>2.7146001467351431E-2</v>
      </c>
      <c r="E526" s="30">
        <f t="shared" si="17"/>
        <v>2.1308305225318483E-3</v>
      </c>
    </row>
    <row r="527" spans="1:5" x14ac:dyDescent="0.35">
      <c r="A527" s="27">
        <v>45208</v>
      </c>
      <c r="B527" s="28">
        <v>6815</v>
      </c>
      <c r="C527" s="29">
        <v>56644.58</v>
      </c>
      <c r="D527" s="30">
        <f t="shared" si="16"/>
        <v>-4.0140845070422537E-2</v>
      </c>
      <c r="E527" s="30">
        <f t="shared" si="17"/>
        <v>2.0852089215877348E-3</v>
      </c>
    </row>
    <row r="528" spans="1:5" x14ac:dyDescent="0.35">
      <c r="A528" s="27">
        <v>45205</v>
      </c>
      <c r="B528" s="28">
        <v>7100</v>
      </c>
      <c r="C528" s="29">
        <v>56526.71</v>
      </c>
      <c r="D528" s="30">
        <f t="shared" si="16"/>
        <v>0</v>
      </c>
      <c r="E528" s="30">
        <f t="shared" si="17"/>
        <v>2.0343987670682375E-2</v>
      </c>
    </row>
    <row r="529" spans="1:5" x14ac:dyDescent="0.35">
      <c r="A529" s="27">
        <v>45204</v>
      </c>
      <c r="B529" s="28">
        <v>7100</v>
      </c>
      <c r="C529" s="29">
        <v>55399.66</v>
      </c>
      <c r="D529" s="30">
        <f t="shared" si="16"/>
        <v>0</v>
      </c>
      <c r="E529" s="30">
        <f t="shared" si="17"/>
        <v>2.0113108036717682E-2</v>
      </c>
    </row>
    <row r="530" spans="1:5" x14ac:dyDescent="0.35">
      <c r="A530" s="27">
        <v>45203</v>
      </c>
      <c r="B530" s="28">
        <v>7100</v>
      </c>
      <c r="C530" s="29">
        <v>54307.37</v>
      </c>
      <c r="D530" s="30">
        <f t="shared" si="16"/>
        <v>0</v>
      </c>
      <c r="E530" s="30">
        <f t="shared" si="17"/>
        <v>9.2276980726181627E-3</v>
      </c>
    </row>
    <row r="531" spans="1:5" x14ac:dyDescent="0.35">
      <c r="A531" s="27">
        <v>45202</v>
      </c>
      <c r="B531" s="28">
        <v>7100</v>
      </c>
      <c r="C531" s="29">
        <v>53810.82</v>
      </c>
      <c r="D531" s="30">
        <f t="shared" si="16"/>
        <v>0</v>
      </c>
      <c r="E531" s="30">
        <f t="shared" si="17"/>
        <v>-2.4141173399697367E-3</v>
      </c>
    </row>
    <row r="532" spans="1:5" x14ac:dyDescent="0.35">
      <c r="A532" s="27">
        <v>45201</v>
      </c>
      <c r="B532" s="28">
        <v>7100</v>
      </c>
      <c r="C532" s="29">
        <v>53941.04</v>
      </c>
      <c r="D532" s="30">
        <f t="shared" si="16"/>
        <v>0</v>
      </c>
      <c r="E532" s="30">
        <f t="shared" si="17"/>
        <v>1.4392282793726154E-2</v>
      </c>
    </row>
    <row r="533" spans="1:5" x14ac:dyDescent="0.35">
      <c r="A533" s="27">
        <v>45197</v>
      </c>
      <c r="B533" s="28">
        <v>7100</v>
      </c>
      <c r="C533" s="29">
        <v>53175.72</v>
      </c>
      <c r="D533" s="30">
        <f t="shared" si="16"/>
        <v>-1.3888888888888888E-2</v>
      </c>
      <c r="E533" s="30">
        <f t="shared" si="17"/>
        <v>8.9995660459308378E-3</v>
      </c>
    </row>
    <row r="534" spans="1:5" x14ac:dyDescent="0.35">
      <c r="A534" s="27">
        <v>45196</v>
      </c>
      <c r="B534" s="28">
        <v>7200</v>
      </c>
      <c r="C534" s="29">
        <v>52701.43</v>
      </c>
      <c r="D534" s="30">
        <f t="shared" si="16"/>
        <v>1.3908205841446453E-3</v>
      </c>
      <c r="E534" s="30">
        <f t="shared" si="17"/>
        <v>6.577528718672984E-3</v>
      </c>
    </row>
    <row r="535" spans="1:5" x14ac:dyDescent="0.35">
      <c r="A535" s="27">
        <v>45195</v>
      </c>
      <c r="B535" s="28">
        <v>7190</v>
      </c>
      <c r="C535" s="29">
        <v>52357.05</v>
      </c>
      <c r="D535" s="30">
        <f t="shared" si="16"/>
        <v>1.2676056338028169E-2</v>
      </c>
      <c r="E535" s="30">
        <f t="shared" si="17"/>
        <v>7.3252602964697811E-3</v>
      </c>
    </row>
    <row r="536" spans="1:5" x14ac:dyDescent="0.35">
      <c r="A536" s="27">
        <v>45191</v>
      </c>
      <c r="B536" s="28">
        <v>7100</v>
      </c>
      <c r="C536" s="29">
        <v>51976.31</v>
      </c>
      <c r="D536" s="30">
        <f t="shared" si="16"/>
        <v>1.4104372355430183E-3</v>
      </c>
      <c r="E536" s="30">
        <f t="shared" si="17"/>
        <v>9.583370643434579E-3</v>
      </c>
    </row>
    <row r="537" spans="1:5" x14ac:dyDescent="0.35">
      <c r="A537" s="27">
        <v>45190</v>
      </c>
      <c r="B537" s="28">
        <v>7090</v>
      </c>
      <c r="C537" s="29">
        <v>51482.93</v>
      </c>
      <c r="D537" s="30">
        <f t="shared" si="16"/>
        <v>-1.4084507042253522E-3</v>
      </c>
      <c r="E537" s="30">
        <f t="shared" si="17"/>
        <v>1.0292306771497233E-2</v>
      </c>
    </row>
    <row r="538" spans="1:5" x14ac:dyDescent="0.35">
      <c r="A538" s="27">
        <v>45189</v>
      </c>
      <c r="B538" s="28">
        <v>7100</v>
      </c>
      <c r="C538" s="29">
        <v>50958.45</v>
      </c>
      <c r="D538" s="30">
        <f t="shared" si="16"/>
        <v>0</v>
      </c>
      <c r="E538" s="30">
        <f t="shared" si="17"/>
        <v>-3.9084490523551233E-3</v>
      </c>
    </row>
    <row r="539" spans="1:5" x14ac:dyDescent="0.35">
      <c r="A539" s="27">
        <v>45188</v>
      </c>
      <c r="B539" s="28">
        <v>7100</v>
      </c>
      <c r="C539" s="29">
        <v>51158.400000000001</v>
      </c>
      <c r="D539" s="30">
        <f t="shared" si="16"/>
        <v>1.4285714285714285E-2</v>
      </c>
      <c r="E539" s="30">
        <f t="shared" si="17"/>
        <v>6.4703751487524665E-4</v>
      </c>
    </row>
    <row r="540" spans="1:5" x14ac:dyDescent="0.35">
      <c r="A540" s="27">
        <v>45187</v>
      </c>
      <c r="B540" s="28">
        <v>7000</v>
      </c>
      <c r="C540" s="29">
        <v>51125.32</v>
      </c>
      <c r="D540" s="30">
        <f t="shared" si="16"/>
        <v>0</v>
      </c>
      <c r="E540" s="30">
        <f t="shared" si="17"/>
        <v>1.1194844536173379E-3</v>
      </c>
    </row>
    <row r="541" spans="1:5" x14ac:dyDescent="0.35">
      <c r="A541" s="27">
        <v>45184</v>
      </c>
      <c r="B541" s="28">
        <v>7000</v>
      </c>
      <c r="C541" s="29">
        <v>51068.15</v>
      </c>
      <c r="D541" s="30">
        <f t="shared" si="16"/>
        <v>-1.3945626144527398E-2</v>
      </c>
      <c r="E541" s="30">
        <f t="shared" si="17"/>
        <v>-8.9676036507187803E-5</v>
      </c>
    </row>
    <row r="542" spans="1:5" x14ac:dyDescent="0.35">
      <c r="A542" s="27">
        <v>45183</v>
      </c>
      <c r="B542" s="28">
        <v>7099</v>
      </c>
      <c r="C542" s="29">
        <v>51072.73</v>
      </c>
      <c r="D542" s="30">
        <f t="shared" si="16"/>
        <v>-1.4084507042253522E-4</v>
      </c>
      <c r="E542" s="30">
        <f t="shared" si="17"/>
        <v>1.4878794339953745E-2</v>
      </c>
    </row>
    <row r="543" spans="1:5" x14ac:dyDescent="0.35">
      <c r="A543" s="27">
        <v>45182</v>
      </c>
      <c r="B543" s="28">
        <v>7100</v>
      </c>
      <c r="C543" s="29">
        <v>50323.97</v>
      </c>
      <c r="D543" s="30">
        <f t="shared" si="16"/>
        <v>0</v>
      </c>
      <c r="E543" s="30">
        <f t="shared" si="17"/>
        <v>1.8576214842715027E-2</v>
      </c>
    </row>
    <row r="544" spans="1:5" x14ac:dyDescent="0.35">
      <c r="A544" s="27">
        <v>45180</v>
      </c>
      <c r="B544" s="28">
        <v>7100</v>
      </c>
      <c r="C544" s="29">
        <v>49406.19</v>
      </c>
      <c r="D544" s="30">
        <f t="shared" si="16"/>
        <v>0</v>
      </c>
      <c r="E544" s="30">
        <f t="shared" si="17"/>
        <v>-2.4569999765787485E-3</v>
      </c>
    </row>
    <row r="545" spans="1:5" x14ac:dyDescent="0.35">
      <c r="A545" s="27">
        <v>45177</v>
      </c>
      <c r="B545" s="28">
        <v>7100</v>
      </c>
      <c r="C545" s="29">
        <v>49527.88</v>
      </c>
      <c r="D545" s="30">
        <f t="shared" si="16"/>
        <v>1.4285714285714285E-2</v>
      </c>
      <c r="E545" s="30">
        <f t="shared" si="17"/>
        <v>-3.8614340705236203E-3</v>
      </c>
    </row>
    <row r="546" spans="1:5" x14ac:dyDescent="0.35">
      <c r="A546" s="27">
        <v>45175</v>
      </c>
      <c r="B546" s="28">
        <v>7000</v>
      </c>
      <c r="C546" s="29">
        <v>49719.87</v>
      </c>
      <c r="D546" s="30">
        <f t="shared" si="16"/>
        <v>0</v>
      </c>
      <c r="E546" s="30">
        <f t="shared" si="17"/>
        <v>4.5743408170815557E-3</v>
      </c>
    </row>
    <row r="547" spans="1:5" x14ac:dyDescent="0.35">
      <c r="A547" s="27">
        <v>45174</v>
      </c>
      <c r="B547" s="28">
        <v>7000</v>
      </c>
      <c r="C547" s="29">
        <v>49493.47</v>
      </c>
      <c r="D547" s="30">
        <f t="shared" si="16"/>
        <v>0</v>
      </c>
      <c r="E547" s="30">
        <f t="shared" si="17"/>
        <v>1.4798742959801943E-2</v>
      </c>
    </row>
    <row r="548" spans="1:5" x14ac:dyDescent="0.35">
      <c r="A548" s="27">
        <v>45173</v>
      </c>
      <c r="B548" s="28">
        <v>7000</v>
      </c>
      <c r="C548" s="29">
        <v>48771.71</v>
      </c>
      <c r="D548" s="30">
        <f t="shared" si="16"/>
        <v>-1.4084507042253521E-2</v>
      </c>
      <c r="E548" s="30">
        <f t="shared" si="17"/>
        <v>5.5649481050187048E-3</v>
      </c>
    </row>
    <row r="549" spans="1:5" x14ac:dyDescent="0.35">
      <c r="A549" s="27">
        <v>45170</v>
      </c>
      <c r="B549" s="28">
        <v>7100</v>
      </c>
      <c r="C549" s="29">
        <v>48501.8</v>
      </c>
      <c r="D549" s="30">
        <f t="shared" si="16"/>
        <v>2.7347706554767762E-2</v>
      </c>
      <c r="E549" s="30">
        <f t="shared" si="17"/>
        <v>7.4423338560761663E-3</v>
      </c>
    </row>
    <row r="550" spans="1:5" x14ac:dyDescent="0.35">
      <c r="A550" s="27">
        <v>45169</v>
      </c>
      <c r="B550" s="28">
        <v>6911</v>
      </c>
      <c r="C550" s="29">
        <v>48143.5</v>
      </c>
      <c r="D550" s="30">
        <f t="shared" si="16"/>
        <v>-1.2855306384802171E-2</v>
      </c>
      <c r="E550" s="30">
        <f t="shared" si="17"/>
        <v>8.5236467357024184E-3</v>
      </c>
    </row>
    <row r="551" spans="1:5" x14ac:dyDescent="0.35">
      <c r="A551" s="27">
        <v>45168</v>
      </c>
      <c r="B551" s="28">
        <v>7001</v>
      </c>
      <c r="C551" s="29">
        <v>47736.61</v>
      </c>
      <c r="D551" s="30">
        <f t="shared" si="16"/>
        <v>-1.3943661971830987E-2</v>
      </c>
      <c r="E551" s="30">
        <f t="shared" si="17"/>
        <v>4.7978611061939291E-3</v>
      </c>
    </row>
    <row r="552" spans="1:5" x14ac:dyDescent="0.35">
      <c r="A552" s="27">
        <v>45167</v>
      </c>
      <c r="B552" s="28">
        <v>7100</v>
      </c>
      <c r="C552" s="29">
        <v>47508.67</v>
      </c>
      <c r="D552" s="30">
        <f t="shared" si="16"/>
        <v>0</v>
      </c>
      <c r="E552" s="30">
        <f t="shared" si="17"/>
        <v>5.0774399088884012E-4</v>
      </c>
    </row>
    <row r="553" spans="1:5" x14ac:dyDescent="0.35">
      <c r="A553" s="27">
        <v>45163</v>
      </c>
      <c r="B553" s="28">
        <v>7100</v>
      </c>
      <c r="C553" s="29">
        <v>47484.56</v>
      </c>
      <c r="D553" s="30">
        <f t="shared" si="16"/>
        <v>-1.4064697609001407E-3</v>
      </c>
      <c r="E553" s="30">
        <f t="shared" si="17"/>
        <v>8.5966750517152656E-3</v>
      </c>
    </row>
    <row r="554" spans="1:5" x14ac:dyDescent="0.35">
      <c r="A554" s="27">
        <v>45162</v>
      </c>
      <c r="B554" s="28">
        <v>7110</v>
      </c>
      <c r="C554" s="29">
        <v>47079.83</v>
      </c>
      <c r="D554" s="30">
        <f t="shared" si="16"/>
        <v>-1.2500000000000001E-2</v>
      </c>
      <c r="E554" s="30">
        <f t="shared" si="17"/>
        <v>6.9087277144714524E-3</v>
      </c>
    </row>
    <row r="555" spans="1:5" x14ac:dyDescent="0.35">
      <c r="A555" s="27">
        <v>45160</v>
      </c>
      <c r="B555" s="28">
        <v>7200</v>
      </c>
      <c r="C555" s="29">
        <v>46756.800000000003</v>
      </c>
      <c r="D555" s="30">
        <f t="shared" si="16"/>
        <v>0</v>
      </c>
      <c r="E555" s="30">
        <f t="shared" si="17"/>
        <v>2.7820742795817617E-3</v>
      </c>
    </row>
    <row r="556" spans="1:5" x14ac:dyDescent="0.35">
      <c r="A556" s="27">
        <v>45159</v>
      </c>
      <c r="B556" s="28">
        <v>7200</v>
      </c>
      <c r="C556" s="29">
        <v>46627.08</v>
      </c>
      <c r="D556" s="30">
        <f t="shared" si="16"/>
        <v>-2.7027027027027029E-2</v>
      </c>
      <c r="E556" s="30">
        <f t="shared" si="17"/>
        <v>8.532725508131932E-3</v>
      </c>
    </row>
    <row r="557" spans="1:5" x14ac:dyDescent="0.35">
      <c r="A557" s="27">
        <v>45156</v>
      </c>
      <c r="B557" s="28">
        <v>7400</v>
      </c>
      <c r="C557" s="29">
        <v>46232.59</v>
      </c>
      <c r="D557" s="30">
        <f t="shared" si="16"/>
        <v>1.3698630136986301E-2</v>
      </c>
      <c r="E557" s="30">
        <f t="shared" si="17"/>
        <v>-1.6400862562284272E-3</v>
      </c>
    </row>
    <row r="558" spans="1:5" x14ac:dyDescent="0.35">
      <c r="A558" s="27">
        <v>45155</v>
      </c>
      <c r="B558" s="28">
        <v>7300</v>
      </c>
      <c r="C558" s="29">
        <v>46308.54</v>
      </c>
      <c r="D558" s="30">
        <f t="shared" si="16"/>
        <v>0</v>
      </c>
      <c r="E558" s="30">
        <f t="shared" si="17"/>
        <v>-1.8489332314817598E-3</v>
      </c>
    </row>
    <row r="559" spans="1:5" x14ac:dyDescent="0.35">
      <c r="A559" s="27">
        <v>45154</v>
      </c>
      <c r="B559" s="28">
        <v>7300</v>
      </c>
      <c r="C559" s="29">
        <v>46394.32</v>
      </c>
      <c r="D559" s="30">
        <f t="shared" si="16"/>
        <v>0</v>
      </c>
      <c r="E559" s="30">
        <f t="shared" si="17"/>
        <v>-9.0640081780662594E-4</v>
      </c>
    </row>
    <row r="560" spans="1:5" x14ac:dyDescent="0.35">
      <c r="A560" s="27">
        <v>45153</v>
      </c>
      <c r="B560" s="28">
        <v>7300</v>
      </c>
      <c r="C560" s="29">
        <v>46436.41</v>
      </c>
      <c r="D560" s="30">
        <f t="shared" si="16"/>
        <v>1.6571508146497702E-2</v>
      </c>
      <c r="E560" s="30">
        <f t="shared" si="17"/>
        <v>2.8437699561146405E-3</v>
      </c>
    </row>
    <row r="561" spans="1:5" x14ac:dyDescent="0.35">
      <c r="A561" s="27">
        <v>45149</v>
      </c>
      <c r="B561" s="28">
        <v>7181</v>
      </c>
      <c r="C561" s="29">
        <v>46304.73</v>
      </c>
      <c r="D561" s="30">
        <f t="shared" si="16"/>
        <v>1.1408450704225352E-2</v>
      </c>
      <c r="E561" s="30">
        <f t="shared" si="17"/>
        <v>8.103409087940449E-3</v>
      </c>
    </row>
    <row r="562" spans="1:5" x14ac:dyDescent="0.35">
      <c r="A562" s="27">
        <v>45148</v>
      </c>
      <c r="B562" s="28">
        <v>7100</v>
      </c>
      <c r="C562" s="29">
        <v>45932.52</v>
      </c>
      <c r="D562" s="30">
        <f t="shared" si="16"/>
        <v>1.4213270480679951E-2</v>
      </c>
      <c r="E562" s="30">
        <f t="shared" si="17"/>
        <v>3.9944086990111787E-4</v>
      </c>
    </row>
    <row r="563" spans="1:5" x14ac:dyDescent="0.35">
      <c r="A563" s="27">
        <v>45147</v>
      </c>
      <c r="B563" s="28">
        <v>7000.5</v>
      </c>
      <c r="C563" s="29">
        <v>45914.18</v>
      </c>
      <c r="D563" s="30">
        <f t="shared" si="16"/>
        <v>7.1428571428571434E-5</v>
      </c>
      <c r="E563" s="30">
        <f t="shared" si="17"/>
        <v>3.5116431504380375E-3</v>
      </c>
    </row>
    <row r="564" spans="1:5" x14ac:dyDescent="0.35">
      <c r="A564" s="27">
        <v>45146</v>
      </c>
      <c r="B564" s="28">
        <v>7000</v>
      </c>
      <c r="C564" s="29">
        <v>45753.51</v>
      </c>
      <c r="D564" s="30">
        <f t="shared" si="16"/>
        <v>0</v>
      </c>
      <c r="E564" s="30">
        <f t="shared" si="17"/>
        <v>2.2663721069308604E-3</v>
      </c>
    </row>
    <row r="565" spans="1:5" x14ac:dyDescent="0.35">
      <c r="A565" s="27">
        <v>45145</v>
      </c>
      <c r="B565" s="28">
        <v>7000</v>
      </c>
      <c r="C565" s="29">
        <v>45650.05</v>
      </c>
      <c r="D565" s="30">
        <f t="shared" si="16"/>
        <v>-1.4084507042253521E-2</v>
      </c>
      <c r="E565" s="30">
        <f t="shared" si="17"/>
        <v>1.2969687823804533E-3</v>
      </c>
    </row>
    <row r="566" spans="1:5" x14ac:dyDescent="0.35">
      <c r="A566" s="27">
        <v>45142</v>
      </c>
      <c r="B566" s="28">
        <v>7100</v>
      </c>
      <c r="C566" s="29">
        <v>45590.92</v>
      </c>
      <c r="D566" s="30">
        <f t="shared" si="16"/>
        <v>4.2432814710042432E-3</v>
      </c>
      <c r="E566" s="30">
        <f t="shared" si="17"/>
        <v>1.8135117502508622E-3</v>
      </c>
    </row>
    <row r="567" spans="1:5" x14ac:dyDescent="0.35">
      <c r="A567" s="27">
        <v>45141</v>
      </c>
      <c r="B567" s="28">
        <v>7070</v>
      </c>
      <c r="C567" s="29">
        <v>45508.39</v>
      </c>
      <c r="D567" s="30">
        <f t="shared" si="16"/>
        <v>-1.1188811188811189E-2</v>
      </c>
      <c r="E567" s="30">
        <f t="shared" si="17"/>
        <v>-7.7910021272964312E-3</v>
      </c>
    </row>
    <row r="568" spans="1:5" x14ac:dyDescent="0.35">
      <c r="A568" s="27">
        <v>45140</v>
      </c>
      <c r="B568" s="28">
        <v>7150</v>
      </c>
      <c r="C568" s="29">
        <v>45865.73</v>
      </c>
      <c r="D568" s="30">
        <f t="shared" si="16"/>
        <v>2.1428571428571429E-2</v>
      </c>
      <c r="E568" s="30">
        <f t="shared" si="17"/>
        <v>-3.2110155545722685E-3</v>
      </c>
    </row>
    <row r="569" spans="1:5" x14ac:dyDescent="0.35">
      <c r="A569" s="27">
        <v>45139</v>
      </c>
      <c r="B569" s="28">
        <v>7000</v>
      </c>
      <c r="C569" s="29">
        <v>46013.48</v>
      </c>
      <c r="D569" s="30">
        <f t="shared" si="16"/>
        <v>7.1942446043165471E-3</v>
      </c>
      <c r="E569" s="30">
        <f t="shared" si="17"/>
        <v>5.6002078797164944E-3</v>
      </c>
    </row>
    <row r="570" spans="1:5" x14ac:dyDescent="0.35">
      <c r="A570" s="27">
        <v>45138</v>
      </c>
      <c r="B570" s="28">
        <v>6950</v>
      </c>
      <c r="C570" s="29">
        <v>45757.23</v>
      </c>
      <c r="D570" s="30">
        <f t="shared" si="16"/>
        <v>8.708272859216255E-3</v>
      </c>
      <c r="E570" s="30">
        <f t="shared" si="17"/>
        <v>-1.0989449997019381E-3</v>
      </c>
    </row>
    <row r="571" spans="1:5" x14ac:dyDescent="0.35">
      <c r="A571" s="27">
        <v>45134</v>
      </c>
      <c r="B571" s="28">
        <v>6890</v>
      </c>
      <c r="C571" s="29">
        <v>45807.57</v>
      </c>
      <c r="D571" s="30">
        <f t="shared" si="16"/>
        <v>1.3235294117647059E-2</v>
      </c>
      <c r="E571" s="30">
        <f t="shared" si="17"/>
        <v>6.9483340616747682E-3</v>
      </c>
    </row>
    <row r="572" spans="1:5" x14ac:dyDescent="0.35">
      <c r="A572" s="27">
        <v>45133</v>
      </c>
      <c r="B572" s="28">
        <v>6800</v>
      </c>
      <c r="C572" s="29">
        <v>45491.48</v>
      </c>
      <c r="D572" s="30">
        <f t="shared" si="16"/>
        <v>-7.2992700729927005E-3</v>
      </c>
      <c r="E572" s="30">
        <f t="shared" si="17"/>
        <v>-4.724397045381145E-3</v>
      </c>
    </row>
    <row r="573" spans="1:5" x14ac:dyDescent="0.35">
      <c r="A573" s="27">
        <v>45132</v>
      </c>
      <c r="B573" s="28">
        <v>6850</v>
      </c>
      <c r="C573" s="29">
        <v>45707.42</v>
      </c>
      <c r="D573" s="30">
        <f t="shared" si="16"/>
        <v>7.3529411764705881E-3</v>
      </c>
      <c r="E573" s="30">
        <f t="shared" si="17"/>
        <v>8.7121366770647225E-3</v>
      </c>
    </row>
    <row r="574" spans="1:5" x14ac:dyDescent="0.35">
      <c r="A574" s="27">
        <v>45131</v>
      </c>
      <c r="B574" s="28">
        <v>6800</v>
      </c>
      <c r="C574" s="29">
        <v>45312.65</v>
      </c>
      <c r="D574" s="30">
        <f t="shared" si="16"/>
        <v>3.7296926245137668E-2</v>
      </c>
      <c r="E574" s="30">
        <f t="shared" si="17"/>
        <v>6.8938530180938738E-3</v>
      </c>
    </row>
    <row r="575" spans="1:5" x14ac:dyDescent="0.35">
      <c r="A575" s="27">
        <v>45128</v>
      </c>
      <c r="B575" s="28">
        <v>6555.5</v>
      </c>
      <c r="C575" s="29">
        <v>45002.41</v>
      </c>
      <c r="D575" s="30">
        <f t="shared" si="16"/>
        <v>-2.1567164179104478E-2</v>
      </c>
      <c r="E575" s="30">
        <f t="shared" si="17"/>
        <v>-2.6860246234421122E-2</v>
      </c>
    </row>
    <row r="576" spans="1:5" x14ac:dyDescent="0.35">
      <c r="A576" s="27">
        <v>45127</v>
      </c>
      <c r="B576" s="28">
        <v>6700</v>
      </c>
      <c r="C576" s="29">
        <v>46244.55</v>
      </c>
      <c r="D576" s="30">
        <f t="shared" si="16"/>
        <v>-1.4705882352941176E-2</v>
      </c>
      <c r="E576" s="30">
        <f t="shared" si="17"/>
        <v>-1.1243433615399149E-2</v>
      </c>
    </row>
    <row r="577" spans="1:5" x14ac:dyDescent="0.35">
      <c r="A577" s="27">
        <v>45126</v>
      </c>
      <c r="B577" s="28">
        <v>6800</v>
      </c>
      <c r="C577" s="29">
        <v>46770.41</v>
      </c>
      <c r="D577" s="30">
        <f t="shared" si="16"/>
        <v>1.4925373134328358E-2</v>
      </c>
      <c r="E577" s="30">
        <f t="shared" si="17"/>
        <v>-1.4916190680392646E-2</v>
      </c>
    </row>
    <row r="578" spans="1:5" x14ac:dyDescent="0.35">
      <c r="A578" s="27">
        <v>45125</v>
      </c>
      <c r="B578" s="28">
        <v>6700</v>
      </c>
      <c r="C578" s="29">
        <v>47478.61</v>
      </c>
      <c r="D578" s="30">
        <f t="shared" si="16"/>
        <v>3.7955073586367155E-2</v>
      </c>
      <c r="E578" s="30">
        <f t="shared" si="17"/>
        <v>-4.0401743526123747E-3</v>
      </c>
    </row>
    <row r="579" spans="1:5" x14ac:dyDescent="0.35">
      <c r="A579" s="27">
        <v>45121</v>
      </c>
      <c r="B579" s="28">
        <v>6455</v>
      </c>
      <c r="C579" s="29">
        <v>47671.21</v>
      </c>
      <c r="D579" s="30">
        <f t="shared" si="16"/>
        <v>-3.656716417910448E-2</v>
      </c>
      <c r="E579" s="30">
        <f t="shared" si="17"/>
        <v>-1.6659420708697182E-3</v>
      </c>
    </row>
    <row r="580" spans="1:5" x14ac:dyDescent="0.35">
      <c r="A580" s="27">
        <v>45120</v>
      </c>
      <c r="B580" s="28">
        <v>6700</v>
      </c>
      <c r="C580" s="29">
        <v>47750.76</v>
      </c>
      <c r="D580" s="30">
        <f t="shared" si="16"/>
        <v>-7.4074074074074077E-3</v>
      </c>
      <c r="E580" s="30">
        <f t="shared" si="17"/>
        <v>7.0042091051556038E-3</v>
      </c>
    </row>
    <row r="581" spans="1:5" x14ac:dyDescent="0.35">
      <c r="A581" s="27">
        <v>45119</v>
      </c>
      <c r="B581" s="28">
        <v>6750</v>
      </c>
      <c r="C581" s="29">
        <v>47418.63</v>
      </c>
      <c r="D581" s="30">
        <f t="shared" ref="D581:D644" si="18">(B581-B582)/B582</f>
        <v>2.9717682020802376E-3</v>
      </c>
      <c r="E581" s="30">
        <f t="shared" ref="E581:E644" si="19">(C581-C582)/C582</f>
        <v>1.5395030146757352E-5</v>
      </c>
    </row>
    <row r="582" spans="1:5" x14ac:dyDescent="0.35">
      <c r="A582" s="27">
        <v>45118</v>
      </c>
      <c r="B582" s="28">
        <v>6730</v>
      </c>
      <c r="C582" s="29">
        <v>47417.9</v>
      </c>
      <c r="D582" s="30">
        <f t="shared" si="18"/>
        <v>5.9790732436472349E-3</v>
      </c>
      <c r="E582" s="30">
        <f t="shared" si="19"/>
        <v>-6.3332557044078056E-4</v>
      </c>
    </row>
    <row r="583" spans="1:5" x14ac:dyDescent="0.35">
      <c r="A583" s="27">
        <v>45117</v>
      </c>
      <c r="B583" s="28">
        <v>6690</v>
      </c>
      <c r="C583" s="29">
        <v>47447.95</v>
      </c>
      <c r="D583" s="30">
        <f t="shared" si="18"/>
        <v>1.3636363636363636E-2</v>
      </c>
      <c r="E583" s="30">
        <f t="shared" si="19"/>
        <v>-1.5980176898944803E-2</v>
      </c>
    </row>
    <row r="584" spans="1:5" x14ac:dyDescent="0.35">
      <c r="A584" s="27">
        <v>45114</v>
      </c>
      <c r="B584" s="28">
        <v>6600</v>
      </c>
      <c r="C584" s="29">
        <v>48218.49</v>
      </c>
      <c r="D584" s="30">
        <f t="shared" si="18"/>
        <v>2.2463206816421378E-2</v>
      </c>
      <c r="E584" s="30">
        <f t="shared" si="19"/>
        <v>-2.2213788730831899E-3</v>
      </c>
    </row>
    <row r="585" spans="1:5" x14ac:dyDescent="0.35">
      <c r="A585" s="27">
        <v>45113</v>
      </c>
      <c r="B585" s="28">
        <v>6455</v>
      </c>
      <c r="C585" s="29">
        <v>48325.84</v>
      </c>
      <c r="D585" s="30">
        <f t="shared" si="18"/>
        <v>-5.0735294117647059E-2</v>
      </c>
      <c r="E585" s="30">
        <f t="shared" si="19"/>
        <v>3.7263406653410486E-3</v>
      </c>
    </row>
    <row r="586" spans="1:5" x14ac:dyDescent="0.35">
      <c r="A586" s="27">
        <v>45112</v>
      </c>
      <c r="B586" s="28">
        <v>6800</v>
      </c>
      <c r="C586" s="29">
        <v>48146.43</v>
      </c>
      <c r="D586" s="30">
        <f t="shared" si="18"/>
        <v>5.4263565891472867E-2</v>
      </c>
      <c r="E586" s="30">
        <f t="shared" si="19"/>
        <v>-8.6340682476848344E-3</v>
      </c>
    </row>
    <row r="587" spans="1:5" x14ac:dyDescent="0.35">
      <c r="A587" s="27">
        <v>45111</v>
      </c>
      <c r="B587" s="28">
        <v>6450</v>
      </c>
      <c r="C587" s="29">
        <v>48565.75</v>
      </c>
      <c r="D587" s="30">
        <f t="shared" si="18"/>
        <v>-2.2727272727272728E-2</v>
      </c>
      <c r="E587" s="30">
        <f t="shared" si="19"/>
        <v>2.9189829920453023E-3</v>
      </c>
    </row>
    <row r="588" spans="1:5" x14ac:dyDescent="0.35">
      <c r="A588" s="27">
        <v>45110</v>
      </c>
      <c r="B588" s="28">
        <v>6600</v>
      </c>
      <c r="C588" s="29">
        <v>48424.4</v>
      </c>
      <c r="D588" s="30">
        <f t="shared" si="18"/>
        <v>-4.0697674418604654E-2</v>
      </c>
      <c r="E588" s="30">
        <f t="shared" si="19"/>
        <v>1.288603620205188E-2</v>
      </c>
    </row>
    <row r="589" spans="1:5" x14ac:dyDescent="0.35">
      <c r="A589" s="27">
        <v>45104</v>
      </c>
      <c r="B589" s="28">
        <v>6880</v>
      </c>
      <c r="C589" s="29">
        <v>47808.34</v>
      </c>
      <c r="D589" s="30">
        <f t="shared" si="18"/>
        <v>7.0817120622568092E-2</v>
      </c>
      <c r="E589" s="30">
        <f t="shared" si="19"/>
        <v>-8.6933623070607289E-3</v>
      </c>
    </row>
    <row r="590" spans="1:5" x14ac:dyDescent="0.35">
      <c r="A590" s="27">
        <v>45103</v>
      </c>
      <c r="B590" s="28">
        <v>6425</v>
      </c>
      <c r="C590" s="29">
        <v>48227.6</v>
      </c>
      <c r="D590" s="30">
        <f t="shared" si="18"/>
        <v>-7.5539568345323743E-2</v>
      </c>
      <c r="E590" s="30">
        <f t="shared" si="19"/>
        <v>1.6820219853248417E-2</v>
      </c>
    </row>
    <row r="591" spans="1:5" x14ac:dyDescent="0.35">
      <c r="A591" s="27">
        <v>45100</v>
      </c>
      <c r="B591" s="28">
        <v>6950</v>
      </c>
      <c r="C591" s="29">
        <v>47429.82</v>
      </c>
      <c r="D591" s="30">
        <f t="shared" si="18"/>
        <v>4.6686746987951805E-2</v>
      </c>
      <c r="E591" s="30">
        <f t="shared" si="19"/>
        <v>-1.9766565914903517E-2</v>
      </c>
    </row>
    <row r="592" spans="1:5" x14ac:dyDescent="0.35">
      <c r="A592" s="27">
        <v>45099</v>
      </c>
      <c r="B592" s="28">
        <v>6640</v>
      </c>
      <c r="C592" s="29">
        <v>48386.25</v>
      </c>
      <c r="D592" s="30">
        <f t="shared" si="18"/>
        <v>-3.7681159420289857E-2</v>
      </c>
      <c r="E592" s="30">
        <f t="shared" si="19"/>
        <v>-4.1053223262559942E-3</v>
      </c>
    </row>
    <row r="593" spans="1:5" x14ac:dyDescent="0.35">
      <c r="A593" s="27">
        <v>45098</v>
      </c>
      <c r="B593" s="28">
        <v>6900</v>
      </c>
      <c r="C593" s="29">
        <v>48585.71</v>
      </c>
      <c r="D593" s="30">
        <f t="shared" si="18"/>
        <v>3.7593984962406013E-2</v>
      </c>
      <c r="E593" s="30">
        <f t="shared" si="19"/>
        <v>-5.2395354319728844E-4</v>
      </c>
    </row>
    <row r="594" spans="1:5" x14ac:dyDescent="0.35">
      <c r="A594" s="27">
        <v>45097</v>
      </c>
      <c r="B594" s="28">
        <v>6650</v>
      </c>
      <c r="C594" s="29">
        <v>48611.18</v>
      </c>
      <c r="D594" s="30">
        <f t="shared" si="18"/>
        <v>3.90625E-2</v>
      </c>
      <c r="E594" s="30">
        <f t="shared" si="19"/>
        <v>-3.1451125869100117E-3</v>
      </c>
    </row>
    <row r="595" spans="1:5" x14ac:dyDescent="0.35">
      <c r="A595" s="27">
        <v>45096</v>
      </c>
      <c r="B595" s="28">
        <v>6400</v>
      </c>
      <c r="C595" s="29">
        <v>48764.55</v>
      </c>
      <c r="D595" s="30">
        <f t="shared" si="18"/>
        <v>0</v>
      </c>
      <c r="E595" s="30">
        <f t="shared" si="19"/>
        <v>1.1072868827816483E-2</v>
      </c>
    </row>
    <row r="596" spans="1:5" x14ac:dyDescent="0.35">
      <c r="A596" s="27">
        <v>45093</v>
      </c>
      <c r="B596" s="28">
        <v>6400</v>
      </c>
      <c r="C596" s="29">
        <v>48230.5</v>
      </c>
      <c r="D596" s="30">
        <f t="shared" si="18"/>
        <v>7.0810385523210071E-3</v>
      </c>
      <c r="E596" s="30">
        <f t="shared" si="19"/>
        <v>4.0785192503985882E-3</v>
      </c>
    </row>
    <row r="597" spans="1:5" x14ac:dyDescent="0.35">
      <c r="A597" s="27">
        <v>45092</v>
      </c>
      <c r="B597" s="28">
        <v>6355</v>
      </c>
      <c r="C597" s="29">
        <v>48034.59</v>
      </c>
      <c r="D597" s="30">
        <f t="shared" si="18"/>
        <v>-2.9770992366412213E-2</v>
      </c>
      <c r="E597" s="30">
        <f t="shared" si="19"/>
        <v>1.8997621081116148E-2</v>
      </c>
    </row>
    <row r="598" spans="1:5" x14ac:dyDescent="0.35">
      <c r="A598" s="27">
        <v>45091</v>
      </c>
      <c r="B598" s="28">
        <v>6550</v>
      </c>
      <c r="C598" s="29">
        <v>47139.06</v>
      </c>
      <c r="D598" s="30">
        <f t="shared" si="18"/>
        <v>2.1681484947746063E-2</v>
      </c>
      <c r="E598" s="30">
        <f t="shared" si="19"/>
        <v>8.8707057398909935E-3</v>
      </c>
    </row>
    <row r="599" spans="1:5" x14ac:dyDescent="0.35">
      <c r="A599" s="27">
        <v>45090</v>
      </c>
      <c r="B599" s="28">
        <v>6411</v>
      </c>
      <c r="C599" s="29">
        <v>46724.58</v>
      </c>
      <c r="D599" s="30">
        <f t="shared" si="18"/>
        <v>-6.95210449927431E-2</v>
      </c>
      <c r="E599" s="30">
        <f t="shared" si="19"/>
        <v>7.012186842796077E-3</v>
      </c>
    </row>
    <row r="600" spans="1:5" x14ac:dyDescent="0.35">
      <c r="A600" s="27">
        <v>45089</v>
      </c>
      <c r="B600" s="28">
        <v>6890</v>
      </c>
      <c r="C600" s="29">
        <v>46399.22</v>
      </c>
      <c r="D600" s="30">
        <f t="shared" si="18"/>
        <v>6.8217054263565891E-2</v>
      </c>
      <c r="E600" s="30">
        <f t="shared" si="19"/>
        <v>7.2433738444455395E-3</v>
      </c>
    </row>
    <row r="601" spans="1:5" x14ac:dyDescent="0.35">
      <c r="A601" s="27">
        <v>45086</v>
      </c>
      <c r="B601" s="28">
        <v>6450</v>
      </c>
      <c r="C601" s="29">
        <v>46065.55</v>
      </c>
      <c r="D601" s="30">
        <f t="shared" si="18"/>
        <v>-2.2727272727272728E-2</v>
      </c>
      <c r="E601" s="30">
        <f t="shared" si="19"/>
        <v>3.863515417668939E-3</v>
      </c>
    </row>
    <row r="602" spans="1:5" x14ac:dyDescent="0.35">
      <c r="A602" s="27">
        <v>45085</v>
      </c>
      <c r="B602" s="28">
        <v>6600</v>
      </c>
      <c r="C602" s="29">
        <v>45888.26</v>
      </c>
      <c r="D602" s="30">
        <f t="shared" si="18"/>
        <v>1.5384615384615385E-2</v>
      </c>
      <c r="E602" s="30">
        <f t="shared" si="19"/>
        <v>1.0163212815052339E-2</v>
      </c>
    </row>
    <row r="603" spans="1:5" x14ac:dyDescent="0.35">
      <c r="A603" s="27">
        <v>45084</v>
      </c>
      <c r="B603" s="28">
        <v>6500</v>
      </c>
      <c r="C603" s="29">
        <v>45426.58</v>
      </c>
      <c r="D603" s="30">
        <f t="shared" si="18"/>
        <v>2.3622047244094488E-2</v>
      </c>
      <c r="E603" s="30">
        <f t="shared" si="19"/>
        <v>7.5466333143549271E-3</v>
      </c>
    </row>
    <row r="604" spans="1:5" x14ac:dyDescent="0.35">
      <c r="A604" s="27">
        <v>45083</v>
      </c>
      <c r="B604" s="28">
        <v>6350</v>
      </c>
      <c r="C604" s="29">
        <v>45086.33</v>
      </c>
      <c r="D604" s="30">
        <f t="shared" si="18"/>
        <v>-2.1571648690292759E-2</v>
      </c>
      <c r="E604" s="30">
        <f t="shared" si="19"/>
        <v>1.482465744357184E-3</v>
      </c>
    </row>
    <row r="605" spans="1:5" x14ac:dyDescent="0.35">
      <c r="A605" s="27">
        <v>45082</v>
      </c>
      <c r="B605" s="28">
        <v>6490</v>
      </c>
      <c r="C605" s="29">
        <v>45019.59</v>
      </c>
      <c r="D605" s="30">
        <f t="shared" si="18"/>
        <v>-7.6452599388379203E-3</v>
      </c>
      <c r="E605" s="30">
        <f t="shared" si="19"/>
        <v>-6.1624046697535009E-4</v>
      </c>
    </row>
    <row r="606" spans="1:5" x14ac:dyDescent="0.35">
      <c r="A606" s="27">
        <v>45079</v>
      </c>
      <c r="B606" s="28">
        <v>6540</v>
      </c>
      <c r="C606" s="29">
        <v>45047.35</v>
      </c>
      <c r="D606" s="30">
        <f t="shared" si="18"/>
        <v>0</v>
      </c>
      <c r="E606" s="30">
        <f t="shared" si="19"/>
        <v>-5.455722562641808E-4</v>
      </c>
    </row>
    <row r="607" spans="1:5" x14ac:dyDescent="0.35">
      <c r="A607" s="27">
        <v>45078</v>
      </c>
      <c r="B607" s="28">
        <v>6540</v>
      </c>
      <c r="C607" s="29">
        <v>45071.94</v>
      </c>
      <c r="D607" s="30">
        <f t="shared" si="18"/>
        <v>-3.6818851251840944E-2</v>
      </c>
      <c r="E607" s="30">
        <f t="shared" si="19"/>
        <v>-4.9579967732619303E-3</v>
      </c>
    </row>
    <row r="608" spans="1:5" x14ac:dyDescent="0.35">
      <c r="A608" s="27">
        <v>45077</v>
      </c>
      <c r="B608" s="28">
        <v>6790</v>
      </c>
      <c r="C608" s="29">
        <v>45296.52</v>
      </c>
      <c r="D608" s="30">
        <f t="shared" si="18"/>
        <v>-1.4513788098693759E-2</v>
      </c>
      <c r="E608" s="30">
        <f t="shared" si="19"/>
        <v>-6.2440312471410998E-3</v>
      </c>
    </row>
    <row r="609" spans="1:5" x14ac:dyDescent="0.35">
      <c r="A609" s="27">
        <v>45076</v>
      </c>
      <c r="B609" s="28">
        <v>6890</v>
      </c>
      <c r="C609" s="29">
        <v>45581.13</v>
      </c>
      <c r="D609" s="30">
        <f t="shared" si="18"/>
        <v>5.0304878048780491E-2</v>
      </c>
      <c r="E609" s="30">
        <f t="shared" si="19"/>
        <v>8.895680603675498E-3</v>
      </c>
    </row>
    <row r="610" spans="1:5" x14ac:dyDescent="0.35">
      <c r="A610" s="27">
        <v>45075</v>
      </c>
      <c r="B610" s="28">
        <v>6560</v>
      </c>
      <c r="C610" s="29">
        <v>45179.23</v>
      </c>
      <c r="D610" s="30">
        <f t="shared" si="18"/>
        <v>-2.1187705162638019E-2</v>
      </c>
      <c r="E610" s="30">
        <f t="shared" si="19"/>
        <v>1.3855134283115085E-2</v>
      </c>
    </row>
    <row r="611" spans="1:5" x14ac:dyDescent="0.35">
      <c r="A611" s="27">
        <v>45072</v>
      </c>
      <c r="B611" s="28">
        <v>6702</v>
      </c>
      <c r="C611" s="29">
        <v>44561.82</v>
      </c>
      <c r="D611" s="30">
        <f t="shared" si="18"/>
        <v>2.9850746268656717E-4</v>
      </c>
      <c r="E611" s="30">
        <f t="shared" si="19"/>
        <v>6.2526927902320124E-3</v>
      </c>
    </row>
    <row r="612" spans="1:5" x14ac:dyDescent="0.35">
      <c r="A612" s="27">
        <v>45071</v>
      </c>
      <c r="B612" s="28">
        <v>6700</v>
      </c>
      <c r="C612" s="29">
        <v>44284.92</v>
      </c>
      <c r="D612" s="30">
        <f t="shared" si="18"/>
        <v>0</v>
      </c>
      <c r="E612" s="30">
        <f t="shared" si="19"/>
        <v>1.6556695826354887E-3</v>
      </c>
    </row>
    <row r="613" spans="1:5" x14ac:dyDescent="0.35">
      <c r="A613" s="27">
        <v>45070</v>
      </c>
      <c r="B613" s="28">
        <v>6700</v>
      </c>
      <c r="C613" s="29">
        <v>44211.72</v>
      </c>
      <c r="D613" s="30">
        <f t="shared" si="18"/>
        <v>3.0769230769230771E-2</v>
      </c>
      <c r="E613" s="30">
        <f t="shared" si="19"/>
        <v>1.5105681913935968E-2</v>
      </c>
    </row>
    <row r="614" spans="1:5" x14ac:dyDescent="0.35">
      <c r="A614" s="27">
        <v>45069</v>
      </c>
      <c r="B614" s="28">
        <v>6500</v>
      </c>
      <c r="C614" s="29">
        <v>43553.81</v>
      </c>
      <c r="D614" s="30">
        <f t="shared" si="18"/>
        <v>-8.3905415713196041E-3</v>
      </c>
      <c r="E614" s="30">
        <f t="shared" si="19"/>
        <v>1.17049694859349E-3</v>
      </c>
    </row>
    <row r="615" spans="1:5" x14ac:dyDescent="0.35">
      <c r="A615" s="27">
        <v>45068</v>
      </c>
      <c r="B615" s="28">
        <v>6555</v>
      </c>
      <c r="C615" s="29">
        <v>43502.89</v>
      </c>
      <c r="D615" s="30">
        <f t="shared" si="18"/>
        <v>1.627906976744186E-2</v>
      </c>
      <c r="E615" s="30">
        <f t="shared" si="19"/>
        <v>-9.1200454453413734E-3</v>
      </c>
    </row>
    <row r="616" spans="1:5" x14ac:dyDescent="0.35">
      <c r="A616" s="27">
        <v>45065</v>
      </c>
      <c r="B616" s="28">
        <v>6450</v>
      </c>
      <c r="C616" s="29">
        <v>43903.29</v>
      </c>
      <c r="D616" s="30">
        <f t="shared" si="18"/>
        <v>3.2000000000000001E-2</v>
      </c>
      <c r="E616" s="30">
        <f t="shared" si="19"/>
        <v>5.9118252426622372E-2</v>
      </c>
    </row>
    <row r="617" spans="1:5" x14ac:dyDescent="0.35">
      <c r="A617" s="27">
        <v>45064</v>
      </c>
      <c r="B617" s="28">
        <v>6250</v>
      </c>
      <c r="C617" s="29">
        <v>41452.68</v>
      </c>
      <c r="D617" s="30">
        <f t="shared" si="18"/>
        <v>5.0420168067226892E-2</v>
      </c>
      <c r="E617" s="30">
        <f t="shared" si="19"/>
        <v>1.597378086659527E-3</v>
      </c>
    </row>
    <row r="618" spans="1:5" x14ac:dyDescent="0.35">
      <c r="A618" s="27">
        <v>45063</v>
      </c>
      <c r="B618" s="28">
        <v>5950</v>
      </c>
      <c r="C618" s="29">
        <v>41386.57</v>
      </c>
      <c r="D618" s="30">
        <f t="shared" si="18"/>
        <v>2.5862068965517241E-2</v>
      </c>
      <c r="E618" s="30">
        <f t="shared" si="19"/>
        <v>3.2332211534144346E-2</v>
      </c>
    </row>
    <row r="619" spans="1:5" x14ac:dyDescent="0.35">
      <c r="A619" s="27">
        <v>45062</v>
      </c>
      <c r="B619" s="28">
        <v>5800</v>
      </c>
      <c r="C619" s="29">
        <v>40090.36</v>
      </c>
      <c r="D619" s="30">
        <f t="shared" si="18"/>
        <v>0</v>
      </c>
      <c r="E619" s="30">
        <f t="shared" si="19"/>
        <v>-2.276650347520072E-3</v>
      </c>
    </row>
    <row r="620" spans="1:5" x14ac:dyDescent="0.35">
      <c r="A620" s="27">
        <v>45061</v>
      </c>
      <c r="B620" s="28">
        <v>5800</v>
      </c>
      <c r="C620" s="29">
        <v>40181.839999999997</v>
      </c>
      <c r="D620" s="30">
        <f t="shared" si="18"/>
        <v>0</v>
      </c>
      <c r="E620" s="30">
        <f t="shared" si="19"/>
        <v>-1.1911579885141132E-3</v>
      </c>
    </row>
    <row r="621" spans="1:5" x14ac:dyDescent="0.35">
      <c r="A621" s="27">
        <v>45058</v>
      </c>
      <c r="B621" s="28">
        <v>5800</v>
      </c>
      <c r="C621" s="29">
        <v>40229.760000000002</v>
      </c>
      <c r="D621" s="30">
        <f t="shared" si="18"/>
        <v>1.7543859649122806E-2</v>
      </c>
      <c r="E621" s="30">
        <f t="shared" si="19"/>
        <v>-1.0276651836719056E-2</v>
      </c>
    </row>
    <row r="622" spans="1:5" x14ac:dyDescent="0.35">
      <c r="A622" s="27">
        <v>45057</v>
      </c>
      <c r="B622" s="28">
        <v>5700</v>
      </c>
      <c r="C622" s="29">
        <v>40647.480000000003</v>
      </c>
      <c r="D622" s="30">
        <f t="shared" si="18"/>
        <v>-1.7241379310344827E-2</v>
      </c>
      <c r="E622" s="30">
        <f t="shared" si="19"/>
        <v>-7.3061921823593299E-5</v>
      </c>
    </row>
    <row r="623" spans="1:5" x14ac:dyDescent="0.35">
      <c r="A623" s="27">
        <v>45056</v>
      </c>
      <c r="B623" s="28">
        <v>5800</v>
      </c>
      <c r="C623" s="29">
        <v>40650.449999999997</v>
      </c>
      <c r="D623" s="30">
        <f t="shared" si="18"/>
        <v>-1.5280135823429542E-2</v>
      </c>
      <c r="E623" s="30">
        <f t="shared" si="19"/>
        <v>-1.6573635320510025E-2</v>
      </c>
    </row>
    <row r="624" spans="1:5" x14ac:dyDescent="0.35">
      <c r="A624" s="27">
        <v>45054</v>
      </c>
      <c r="B624" s="28">
        <v>5890</v>
      </c>
      <c r="C624" s="29">
        <v>41335.53</v>
      </c>
      <c r="D624" s="30">
        <f t="shared" si="18"/>
        <v>0</v>
      </c>
      <c r="E624" s="30">
        <f t="shared" si="19"/>
        <v>-1.6657609680107515E-3</v>
      </c>
    </row>
    <row r="625" spans="1:5" x14ac:dyDescent="0.35">
      <c r="A625" s="27">
        <v>45051</v>
      </c>
      <c r="B625" s="28">
        <v>5890</v>
      </c>
      <c r="C625" s="29">
        <v>41404.5</v>
      </c>
      <c r="D625" s="30">
        <f t="shared" si="18"/>
        <v>3.6716302319850805E-2</v>
      </c>
      <c r="E625" s="30">
        <f t="shared" si="19"/>
        <v>-3.1868072871163045E-3</v>
      </c>
    </row>
    <row r="626" spans="1:5" x14ac:dyDescent="0.35">
      <c r="A626" s="27">
        <v>45050</v>
      </c>
      <c r="B626" s="28">
        <v>5681.4</v>
      </c>
      <c r="C626" s="29">
        <v>41536.870000000003</v>
      </c>
      <c r="D626" s="30">
        <f t="shared" si="18"/>
        <v>7.5004730368968708E-2</v>
      </c>
      <c r="E626" s="30">
        <f t="shared" si="19"/>
        <v>1.7093539701289834E-5</v>
      </c>
    </row>
    <row r="627" spans="1:5" x14ac:dyDescent="0.35">
      <c r="A627" s="27">
        <v>45049</v>
      </c>
      <c r="B627" s="28">
        <v>5285</v>
      </c>
      <c r="C627" s="29">
        <v>41536.160000000003</v>
      </c>
      <c r="D627" s="30">
        <f t="shared" si="18"/>
        <v>4.7528517110266158E-3</v>
      </c>
      <c r="E627" s="30">
        <f t="shared" si="19"/>
        <v>-5.6537425611642503E-3</v>
      </c>
    </row>
    <row r="628" spans="1:5" x14ac:dyDescent="0.35">
      <c r="A628" s="27">
        <v>45048</v>
      </c>
      <c r="B628" s="28">
        <v>5260</v>
      </c>
      <c r="C628" s="29">
        <v>41772.33</v>
      </c>
      <c r="D628" s="30">
        <f t="shared" si="18"/>
        <v>-2.0868905331056726E-3</v>
      </c>
      <c r="E628" s="30">
        <f t="shared" si="19"/>
        <v>-3.162640323819214E-3</v>
      </c>
    </row>
    <row r="629" spans="1:5" x14ac:dyDescent="0.35">
      <c r="A629" s="27">
        <v>45044</v>
      </c>
      <c r="B629" s="28">
        <v>5271</v>
      </c>
      <c r="C629" s="29">
        <v>41904.86</v>
      </c>
      <c r="D629" s="30">
        <f t="shared" si="18"/>
        <v>-2.388888888888889E-2</v>
      </c>
      <c r="E629" s="30">
        <f t="shared" si="19"/>
        <v>5.6827686043534262E-3</v>
      </c>
    </row>
    <row r="630" spans="1:5" x14ac:dyDescent="0.35">
      <c r="A630" s="27">
        <v>45043</v>
      </c>
      <c r="B630" s="28">
        <v>5400</v>
      </c>
      <c r="C630" s="29">
        <v>41668.07</v>
      </c>
      <c r="D630" s="30">
        <f t="shared" si="18"/>
        <v>3.8461538461538464E-2</v>
      </c>
      <c r="E630" s="30">
        <f t="shared" si="19"/>
        <v>-1.0711261984433744E-2</v>
      </c>
    </row>
    <row r="631" spans="1:5" x14ac:dyDescent="0.35">
      <c r="A631" s="27">
        <v>45036</v>
      </c>
      <c r="B631" s="28">
        <v>5200</v>
      </c>
      <c r="C631" s="29">
        <v>42119.22</v>
      </c>
      <c r="D631" s="30">
        <f t="shared" si="18"/>
        <v>0</v>
      </c>
      <c r="E631" s="30">
        <f t="shared" si="19"/>
        <v>4.9230689945430565E-3</v>
      </c>
    </row>
    <row r="632" spans="1:5" x14ac:dyDescent="0.35">
      <c r="A632" s="27">
        <v>45035</v>
      </c>
      <c r="B632" s="28">
        <v>5200</v>
      </c>
      <c r="C632" s="29">
        <v>41912.879999999997</v>
      </c>
      <c r="D632" s="30">
        <f t="shared" si="18"/>
        <v>-2.8037383177570093E-2</v>
      </c>
      <c r="E632" s="30">
        <f t="shared" si="19"/>
        <v>6.5888493181675374E-3</v>
      </c>
    </row>
    <row r="633" spans="1:5" x14ac:dyDescent="0.35">
      <c r="A633" s="27">
        <v>45034</v>
      </c>
      <c r="B633" s="28">
        <v>5350</v>
      </c>
      <c r="C633" s="29">
        <v>41638.53</v>
      </c>
      <c r="D633" s="30">
        <f t="shared" si="18"/>
        <v>1.9047619047619049E-2</v>
      </c>
      <c r="E633" s="30">
        <f t="shared" si="19"/>
        <v>6.8258139521388036E-3</v>
      </c>
    </row>
    <row r="634" spans="1:5" x14ac:dyDescent="0.35">
      <c r="A634" s="27">
        <v>45033</v>
      </c>
      <c r="B634" s="28">
        <v>5250</v>
      </c>
      <c r="C634" s="29">
        <v>41356.239999999998</v>
      </c>
      <c r="D634" s="30">
        <f t="shared" si="18"/>
        <v>1.3513513513513514E-2</v>
      </c>
      <c r="E634" s="30">
        <f t="shared" si="19"/>
        <v>1.9993351701760053E-3</v>
      </c>
    </row>
    <row r="635" spans="1:5" x14ac:dyDescent="0.35">
      <c r="A635" s="27">
        <v>45029</v>
      </c>
      <c r="B635" s="28">
        <v>5180</v>
      </c>
      <c r="C635" s="29">
        <v>41273.72</v>
      </c>
      <c r="D635" s="30">
        <f t="shared" si="18"/>
        <v>2.2684645910248491E-2</v>
      </c>
      <c r="E635" s="30">
        <f t="shared" si="19"/>
        <v>-1.5506381323446314E-3</v>
      </c>
    </row>
    <row r="636" spans="1:5" x14ac:dyDescent="0.35">
      <c r="A636" s="27">
        <v>45028</v>
      </c>
      <c r="B636" s="28">
        <v>5065.1000000000004</v>
      </c>
      <c r="C636" s="29">
        <v>41337.82</v>
      </c>
      <c r="D636" s="30">
        <f t="shared" si="18"/>
        <v>-6.8626105370482929E-3</v>
      </c>
      <c r="E636" s="30">
        <f t="shared" si="19"/>
        <v>-7.8728743083364156E-3</v>
      </c>
    </row>
    <row r="637" spans="1:5" x14ac:dyDescent="0.35">
      <c r="A637" s="27">
        <v>45027</v>
      </c>
      <c r="B637" s="28">
        <v>5100.1000000000004</v>
      </c>
      <c r="C637" s="29">
        <v>41665.85</v>
      </c>
      <c r="D637" s="30">
        <f t="shared" si="18"/>
        <v>1.5147292993630646E-2</v>
      </c>
      <c r="E637" s="30">
        <f t="shared" si="19"/>
        <v>7.6323601429253403E-3</v>
      </c>
    </row>
    <row r="638" spans="1:5" x14ac:dyDescent="0.35">
      <c r="A638" s="27">
        <v>45026</v>
      </c>
      <c r="B638" s="28">
        <v>5024</v>
      </c>
      <c r="C638" s="29">
        <v>41350.25</v>
      </c>
      <c r="D638" s="30">
        <f t="shared" si="18"/>
        <v>2.7944111776447107E-3</v>
      </c>
      <c r="E638" s="30">
        <f t="shared" si="19"/>
        <v>8.4787306170828556E-3</v>
      </c>
    </row>
    <row r="639" spans="1:5" x14ac:dyDescent="0.35">
      <c r="A639" s="27">
        <v>45023</v>
      </c>
      <c r="B639" s="28">
        <v>5010</v>
      </c>
      <c r="C639" s="29">
        <v>41002.6</v>
      </c>
      <c r="D639" s="30">
        <f t="shared" si="18"/>
        <v>-3.653846153846154E-2</v>
      </c>
      <c r="E639" s="30">
        <f t="shared" si="19"/>
        <v>-1.648393121063259E-3</v>
      </c>
    </row>
    <row r="640" spans="1:5" x14ac:dyDescent="0.35">
      <c r="A640" s="27">
        <v>45022</v>
      </c>
      <c r="B640" s="28">
        <v>5200</v>
      </c>
      <c r="C640" s="29">
        <v>41070.300000000003</v>
      </c>
      <c r="D640" s="30">
        <f t="shared" si="18"/>
        <v>1.4634146341463415E-2</v>
      </c>
      <c r="E640" s="30">
        <f t="shared" si="19"/>
        <v>-6.8567012697307267E-4</v>
      </c>
    </row>
    <row r="641" spans="1:5" x14ac:dyDescent="0.35">
      <c r="A641" s="27">
        <v>45021</v>
      </c>
      <c r="B641" s="28">
        <v>5125</v>
      </c>
      <c r="C641" s="29">
        <v>41098.480000000003</v>
      </c>
      <c r="D641" s="30">
        <f t="shared" si="18"/>
        <v>1.9550342130987292E-3</v>
      </c>
      <c r="E641" s="30">
        <f t="shared" si="19"/>
        <v>-4.4142722786362065E-4</v>
      </c>
    </row>
    <row r="642" spans="1:5" x14ac:dyDescent="0.35">
      <c r="A642" s="27">
        <v>45020</v>
      </c>
      <c r="B642" s="28">
        <v>5115</v>
      </c>
      <c r="C642" s="29">
        <v>41116.629999999997</v>
      </c>
      <c r="D642" s="30">
        <f t="shared" si="18"/>
        <v>1.8924302788844622E-2</v>
      </c>
      <c r="E642" s="30">
        <f t="shared" si="19"/>
        <v>-2.1083160411130759E-3</v>
      </c>
    </row>
    <row r="643" spans="1:5" x14ac:dyDescent="0.35">
      <c r="A643" s="27">
        <v>45016</v>
      </c>
      <c r="B643" s="28">
        <v>5020</v>
      </c>
      <c r="C643" s="29">
        <v>41203.5</v>
      </c>
      <c r="D643" s="30">
        <f t="shared" si="18"/>
        <v>1.7960486928756735E-3</v>
      </c>
      <c r="E643" s="30">
        <f t="shared" si="19"/>
        <v>-9.8851684506043782E-3</v>
      </c>
    </row>
    <row r="644" spans="1:5" x14ac:dyDescent="0.35">
      <c r="A644" s="27">
        <v>45015</v>
      </c>
      <c r="B644" s="28">
        <v>5011</v>
      </c>
      <c r="C644" s="29">
        <v>41614.870000000003</v>
      </c>
      <c r="D644" s="30">
        <f t="shared" si="18"/>
        <v>-1.8413320274240939E-2</v>
      </c>
      <c r="E644" s="30">
        <f t="shared" si="19"/>
        <v>3.440135801814361E-3</v>
      </c>
    </row>
    <row r="645" spans="1:5" x14ac:dyDescent="0.35">
      <c r="A645" s="27">
        <v>45014</v>
      </c>
      <c r="B645" s="28">
        <v>5105</v>
      </c>
      <c r="C645" s="29">
        <v>41472.199999999997</v>
      </c>
      <c r="D645" s="30">
        <f t="shared" ref="D645:D708" si="20">(B645-B646)/B646</f>
        <v>-1.8288109844041528E-2</v>
      </c>
      <c r="E645" s="30">
        <f t="shared" ref="E645:E708" si="21">(C645-C646)/C646</f>
        <v>-8.685671068901479E-3</v>
      </c>
    </row>
    <row r="646" spans="1:5" x14ac:dyDescent="0.35">
      <c r="A646" s="27">
        <v>45013</v>
      </c>
      <c r="B646" s="28">
        <v>5200.1000000000004</v>
      </c>
      <c r="C646" s="29">
        <v>41835.57</v>
      </c>
      <c r="D646" s="30">
        <f t="shared" si="20"/>
        <v>1.7612179800786675E-2</v>
      </c>
      <c r="E646" s="30">
        <f t="shared" si="21"/>
        <v>-3.44353388138621E-3</v>
      </c>
    </row>
    <row r="647" spans="1:5" x14ac:dyDescent="0.35">
      <c r="A647" s="27">
        <v>45012</v>
      </c>
      <c r="B647" s="28">
        <v>5110.1000000000004</v>
      </c>
      <c r="C647" s="29">
        <v>41980.13</v>
      </c>
      <c r="D647" s="30">
        <f t="shared" si="20"/>
        <v>1.9607458677280837E-3</v>
      </c>
      <c r="E647" s="30">
        <f t="shared" si="21"/>
        <v>6.3253513138520883E-3</v>
      </c>
    </row>
    <row r="648" spans="1:5" x14ac:dyDescent="0.35">
      <c r="A648" s="27">
        <v>45009</v>
      </c>
      <c r="B648" s="28">
        <v>5100.1000000000004</v>
      </c>
      <c r="C648" s="29">
        <v>41716.26</v>
      </c>
      <c r="D648" s="30">
        <f t="shared" si="20"/>
        <v>1.999960000799984E-2</v>
      </c>
      <c r="E648" s="30">
        <f t="shared" si="21"/>
        <v>5.5120110645161821E-3</v>
      </c>
    </row>
    <row r="649" spans="1:5" x14ac:dyDescent="0.35">
      <c r="A649" s="27">
        <v>45007</v>
      </c>
      <c r="B649" s="28">
        <v>5000.1000000000004</v>
      </c>
      <c r="C649" s="29">
        <v>41487.58</v>
      </c>
      <c r="D649" s="30">
        <f t="shared" si="20"/>
        <v>-3.4916039374638032E-2</v>
      </c>
      <c r="E649" s="30">
        <f t="shared" si="21"/>
        <v>1.0045782161633907E-2</v>
      </c>
    </row>
    <row r="650" spans="1:5" x14ac:dyDescent="0.35">
      <c r="A650" s="27">
        <v>45006</v>
      </c>
      <c r="B650" s="28">
        <v>5181</v>
      </c>
      <c r="C650" s="29">
        <v>41074.949999999997</v>
      </c>
      <c r="D650" s="30">
        <f t="shared" si="20"/>
        <v>1.2903225806451613E-2</v>
      </c>
      <c r="E650" s="30">
        <f t="shared" si="21"/>
        <v>-7.2234101717971004E-3</v>
      </c>
    </row>
    <row r="651" spans="1:5" x14ac:dyDescent="0.35">
      <c r="A651" s="27">
        <v>45001</v>
      </c>
      <c r="B651" s="28">
        <v>5115</v>
      </c>
      <c r="C651" s="29">
        <v>41373.81</v>
      </c>
      <c r="D651" s="30">
        <f t="shared" si="20"/>
        <v>-3.3081285444234401E-2</v>
      </c>
      <c r="E651" s="30">
        <f t="shared" si="21"/>
        <v>-1.0893749840124761E-2</v>
      </c>
    </row>
    <row r="652" spans="1:5" x14ac:dyDescent="0.35">
      <c r="A652" s="27">
        <v>44999</v>
      </c>
      <c r="B652" s="28">
        <v>5290</v>
      </c>
      <c r="C652" s="29">
        <v>41829.49</v>
      </c>
      <c r="D652" s="30">
        <f t="shared" si="20"/>
        <v>-1.2138188608776844E-2</v>
      </c>
      <c r="E652" s="30">
        <f t="shared" si="21"/>
        <v>-9.7649305264574538E-3</v>
      </c>
    </row>
    <row r="653" spans="1:5" x14ac:dyDescent="0.35">
      <c r="A653" s="27">
        <v>44998</v>
      </c>
      <c r="B653" s="28">
        <v>5355</v>
      </c>
      <c r="C653" s="29">
        <v>42241.98</v>
      </c>
      <c r="D653" s="30">
        <f t="shared" si="20"/>
        <v>-2.5477707006369428E-2</v>
      </c>
      <c r="E653" s="30">
        <f t="shared" si="21"/>
        <v>3.520233383538675E-3</v>
      </c>
    </row>
    <row r="654" spans="1:5" x14ac:dyDescent="0.35">
      <c r="A654" s="27">
        <v>44993</v>
      </c>
      <c r="B654" s="28">
        <v>5495</v>
      </c>
      <c r="C654" s="29">
        <v>42093.8</v>
      </c>
      <c r="D654" s="30">
        <f t="shared" si="20"/>
        <v>4.3684710351377019E-2</v>
      </c>
      <c r="E654" s="30">
        <f t="shared" si="21"/>
        <v>1.3946991453375396E-4</v>
      </c>
    </row>
    <row r="655" spans="1:5" x14ac:dyDescent="0.35">
      <c r="A655" s="27">
        <v>44992</v>
      </c>
      <c r="B655" s="28">
        <v>5265</v>
      </c>
      <c r="C655" s="29">
        <v>42087.93</v>
      </c>
      <c r="D655" s="30">
        <f t="shared" si="20"/>
        <v>-1.8989745537409798E-4</v>
      </c>
      <c r="E655" s="30">
        <f t="shared" si="21"/>
        <v>3.8230150802668807E-3</v>
      </c>
    </row>
    <row r="656" spans="1:5" x14ac:dyDescent="0.35">
      <c r="A656" s="27">
        <v>44991</v>
      </c>
      <c r="B656" s="28">
        <v>5266</v>
      </c>
      <c r="C656" s="29">
        <v>41927.64</v>
      </c>
      <c r="D656" s="30">
        <f t="shared" si="20"/>
        <v>-2.4814814814814814E-2</v>
      </c>
      <c r="E656" s="30">
        <f t="shared" si="21"/>
        <v>8.3401373468796544E-3</v>
      </c>
    </row>
    <row r="657" spans="1:5" x14ac:dyDescent="0.35">
      <c r="A657" s="27">
        <v>44988</v>
      </c>
      <c r="B657" s="28">
        <v>5400</v>
      </c>
      <c r="C657" s="29">
        <v>41580.85</v>
      </c>
      <c r="D657" s="30">
        <f t="shared" si="20"/>
        <v>1.9060200037742971E-2</v>
      </c>
      <c r="E657" s="30">
        <f t="shared" si="21"/>
        <v>2.8202839529604187E-3</v>
      </c>
    </row>
    <row r="658" spans="1:5" x14ac:dyDescent="0.35">
      <c r="A658" s="27">
        <v>44987</v>
      </c>
      <c r="B658" s="28">
        <v>5299</v>
      </c>
      <c r="C658" s="29">
        <v>41463.910000000003</v>
      </c>
      <c r="D658" s="30">
        <f t="shared" si="20"/>
        <v>-3.0907095830285298E-2</v>
      </c>
      <c r="E658" s="30">
        <f t="shared" si="21"/>
        <v>8.8645674724656971E-3</v>
      </c>
    </row>
    <row r="659" spans="1:5" x14ac:dyDescent="0.35">
      <c r="A659" s="27">
        <v>44986</v>
      </c>
      <c r="B659" s="28">
        <v>5468</v>
      </c>
      <c r="C659" s="29">
        <v>41099.58</v>
      </c>
      <c r="D659" s="30">
        <f t="shared" si="20"/>
        <v>4.351145038167939E-2</v>
      </c>
      <c r="E659" s="30">
        <f t="shared" si="21"/>
        <v>2.2376219950244135E-3</v>
      </c>
    </row>
    <row r="660" spans="1:5" x14ac:dyDescent="0.35">
      <c r="A660" s="27">
        <v>44985</v>
      </c>
      <c r="B660" s="28">
        <v>5240</v>
      </c>
      <c r="C660" s="29">
        <v>41007.82</v>
      </c>
      <c r="D660" s="30">
        <f t="shared" si="20"/>
        <v>-1.1320754716981131E-2</v>
      </c>
      <c r="E660" s="30">
        <f t="shared" si="21"/>
        <v>1.3839233288131239E-2</v>
      </c>
    </row>
    <row r="661" spans="1:5" x14ac:dyDescent="0.35">
      <c r="A661" s="27">
        <v>44984</v>
      </c>
      <c r="B661" s="28">
        <v>5300</v>
      </c>
      <c r="C661" s="29">
        <v>40448.050000000003</v>
      </c>
      <c r="D661" s="30">
        <f t="shared" si="20"/>
        <v>0</v>
      </c>
      <c r="E661" s="30">
        <f t="shared" si="21"/>
        <v>6.0317558227050809E-3</v>
      </c>
    </row>
    <row r="662" spans="1:5" x14ac:dyDescent="0.35">
      <c r="A662" s="27">
        <v>44980</v>
      </c>
      <c r="B662" s="28">
        <v>5300</v>
      </c>
      <c r="C662" s="29">
        <v>40205.54</v>
      </c>
      <c r="D662" s="30">
        <f t="shared" si="20"/>
        <v>-2.6345502446368085E-3</v>
      </c>
      <c r="E662" s="30">
        <f t="shared" si="21"/>
        <v>1.9810073505864135E-3</v>
      </c>
    </row>
    <row r="663" spans="1:5" x14ac:dyDescent="0.35">
      <c r="A663" s="27">
        <v>44979</v>
      </c>
      <c r="B663" s="28">
        <v>5314</v>
      </c>
      <c r="C663" s="29">
        <v>40126.050000000003</v>
      </c>
      <c r="D663" s="30">
        <f t="shared" si="20"/>
        <v>-1.5743656232635673E-2</v>
      </c>
      <c r="E663" s="30">
        <f t="shared" si="21"/>
        <v>8.0729139842999429E-3</v>
      </c>
    </row>
    <row r="664" spans="1:5" x14ac:dyDescent="0.35">
      <c r="A664" s="27">
        <v>44977</v>
      </c>
      <c r="B664" s="28">
        <v>5399</v>
      </c>
      <c r="C664" s="29">
        <v>39804.71</v>
      </c>
      <c r="D664" s="30">
        <f t="shared" si="20"/>
        <v>3.345103140680171E-3</v>
      </c>
      <c r="E664" s="30">
        <f t="shared" si="21"/>
        <v>-7.8296210202361005E-4</v>
      </c>
    </row>
    <row r="665" spans="1:5" x14ac:dyDescent="0.35">
      <c r="A665" s="27">
        <v>44973</v>
      </c>
      <c r="B665" s="28">
        <v>5381</v>
      </c>
      <c r="C665" s="29">
        <v>39835.9</v>
      </c>
      <c r="D665" s="30">
        <f t="shared" si="20"/>
        <v>5.9824266217984668E-3</v>
      </c>
      <c r="E665" s="30">
        <f t="shared" si="21"/>
        <v>-5.337125293229778E-3</v>
      </c>
    </row>
    <row r="666" spans="1:5" x14ac:dyDescent="0.35">
      <c r="A666" s="27">
        <v>44972</v>
      </c>
      <c r="B666" s="28">
        <v>5349</v>
      </c>
      <c r="C666" s="29">
        <v>40049.65</v>
      </c>
      <c r="D666" s="30">
        <f t="shared" si="20"/>
        <v>-9.2609742544915719E-3</v>
      </c>
      <c r="E666" s="30">
        <f t="shared" si="21"/>
        <v>-7.4655106739900398E-3</v>
      </c>
    </row>
    <row r="667" spans="1:5" x14ac:dyDescent="0.35">
      <c r="A667" s="27">
        <v>44971</v>
      </c>
      <c r="B667" s="28">
        <v>5399</v>
      </c>
      <c r="C667" s="29">
        <v>40350.89</v>
      </c>
      <c r="D667" s="30">
        <f t="shared" si="20"/>
        <v>-9.3577981651376142E-3</v>
      </c>
      <c r="E667" s="30">
        <f t="shared" si="21"/>
        <v>1.5956331207047786E-2</v>
      </c>
    </row>
    <row r="668" spans="1:5" x14ac:dyDescent="0.35">
      <c r="A668" s="27">
        <v>44970</v>
      </c>
      <c r="B668" s="28">
        <v>5450</v>
      </c>
      <c r="C668" s="29">
        <v>39717.15</v>
      </c>
      <c r="D668" s="30">
        <f t="shared" si="20"/>
        <v>-1.3574660633484163E-2</v>
      </c>
      <c r="E668" s="30">
        <f t="shared" si="21"/>
        <v>7.5313841267952021E-4</v>
      </c>
    </row>
    <row r="669" spans="1:5" x14ac:dyDescent="0.35">
      <c r="A669" s="27">
        <v>44967</v>
      </c>
      <c r="B669" s="28">
        <v>5525</v>
      </c>
      <c r="C669" s="29">
        <v>39687.26</v>
      </c>
      <c r="D669" s="30">
        <f t="shared" si="20"/>
        <v>-1.8066847335140017E-3</v>
      </c>
      <c r="E669" s="30">
        <f t="shared" si="21"/>
        <v>-5.0799826522503044E-3</v>
      </c>
    </row>
    <row r="670" spans="1:5" x14ac:dyDescent="0.35">
      <c r="A670" s="27">
        <v>44966</v>
      </c>
      <c r="B670" s="28">
        <v>5535</v>
      </c>
      <c r="C670" s="29">
        <v>39889.9</v>
      </c>
      <c r="D670" s="30">
        <f t="shared" si="20"/>
        <v>4.1392285983066796E-2</v>
      </c>
      <c r="E670" s="30">
        <f t="shared" si="21"/>
        <v>-2.7731924562565398E-3</v>
      </c>
    </row>
    <row r="671" spans="1:5" x14ac:dyDescent="0.35">
      <c r="A671" s="27">
        <v>44965</v>
      </c>
      <c r="B671" s="28">
        <v>5315</v>
      </c>
      <c r="C671" s="29">
        <v>40000.83</v>
      </c>
      <c r="D671" s="30">
        <f t="shared" si="20"/>
        <v>-4.4952238246862711E-3</v>
      </c>
      <c r="E671" s="30">
        <f t="shared" si="21"/>
        <v>3.0326061581414173E-3</v>
      </c>
    </row>
    <row r="672" spans="1:5" x14ac:dyDescent="0.35">
      <c r="A672" s="27">
        <v>44964</v>
      </c>
      <c r="B672" s="28">
        <v>5339</v>
      </c>
      <c r="C672" s="29">
        <v>39879.89</v>
      </c>
      <c r="D672" s="30">
        <f t="shared" si="20"/>
        <v>7.3584905660377354E-3</v>
      </c>
      <c r="E672" s="30">
        <f t="shared" si="21"/>
        <v>-5.0515974978526269E-3</v>
      </c>
    </row>
    <row r="673" spans="1:5" x14ac:dyDescent="0.35">
      <c r="A673" s="27">
        <v>44963</v>
      </c>
      <c r="B673" s="28">
        <v>5300</v>
      </c>
      <c r="C673" s="29">
        <v>40082.370000000003</v>
      </c>
      <c r="D673" s="30">
        <f t="shared" si="20"/>
        <v>-1.1931394481730051E-2</v>
      </c>
      <c r="E673" s="30">
        <f t="shared" si="21"/>
        <v>2.0499810376754012E-3</v>
      </c>
    </row>
    <row r="674" spans="1:5" x14ac:dyDescent="0.35">
      <c r="A674" s="27">
        <v>44960</v>
      </c>
      <c r="B674" s="28">
        <v>5364</v>
      </c>
      <c r="C674" s="29">
        <v>40000.370000000003</v>
      </c>
      <c r="D674" s="30">
        <f t="shared" si="20"/>
        <v>1.2075471698113207E-2</v>
      </c>
      <c r="E674" s="30">
        <f t="shared" si="21"/>
        <v>1.4601153421018628E-3</v>
      </c>
    </row>
    <row r="675" spans="1:5" x14ac:dyDescent="0.35">
      <c r="A675" s="27">
        <v>44959</v>
      </c>
      <c r="B675" s="28">
        <v>5300</v>
      </c>
      <c r="C675" s="29">
        <v>39942.050000000003</v>
      </c>
      <c r="D675" s="30">
        <f t="shared" si="20"/>
        <v>1.8251681075888569E-2</v>
      </c>
      <c r="E675" s="30">
        <f t="shared" si="21"/>
        <v>-1.0750171512354974E-2</v>
      </c>
    </row>
    <row r="676" spans="1:5" x14ac:dyDescent="0.35">
      <c r="A676" s="27">
        <v>44958</v>
      </c>
      <c r="B676" s="28">
        <v>5205</v>
      </c>
      <c r="C676" s="29">
        <v>40376.1</v>
      </c>
      <c r="D676" s="30">
        <f t="shared" si="20"/>
        <v>-1.7924528301886792E-2</v>
      </c>
      <c r="E676" s="30">
        <f t="shared" si="21"/>
        <v>-2.3078905249098985E-2</v>
      </c>
    </row>
    <row r="677" spans="1:5" x14ac:dyDescent="0.35">
      <c r="A677" s="27">
        <v>44957</v>
      </c>
      <c r="B677" s="28">
        <v>5300</v>
      </c>
      <c r="C677" s="29">
        <v>41329.949999999997</v>
      </c>
      <c r="D677" s="30">
        <f t="shared" si="20"/>
        <v>2.7131782945736434E-2</v>
      </c>
      <c r="E677" s="30">
        <f t="shared" si="21"/>
        <v>-8.7336118860010959E-3</v>
      </c>
    </row>
    <row r="678" spans="1:5" x14ac:dyDescent="0.35">
      <c r="A678" s="27">
        <v>44956</v>
      </c>
      <c r="B678" s="28">
        <v>5160</v>
      </c>
      <c r="C678" s="29">
        <v>41694.089999999997</v>
      </c>
      <c r="D678" s="30">
        <f t="shared" si="20"/>
        <v>-2.2727272727272728E-2</v>
      </c>
      <c r="E678" s="30">
        <f t="shared" si="21"/>
        <v>-2.9256442981862342E-3</v>
      </c>
    </row>
    <row r="679" spans="1:5" x14ac:dyDescent="0.35">
      <c r="A679" s="27">
        <v>44953</v>
      </c>
      <c r="B679" s="28">
        <v>5280</v>
      </c>
      <c r="C679" s="29">
        <v>41816.43</v>
      </c>
      <c r="D679" s="30">
        <f t="shared" si="20"/>
        <v>-8.4507042253521118E-3</v>
      </c>
      <c r="E679" s="30">
        <f t="shared" si="21"/>
        <v>-9.6567228542038534E-4</v>
      </c>
    </row>
    <row r="680" spans="1:5" x14ac:dyDescent="0.35">
      <c r="A680" s="27">
        <v>44952</v>
      </c>
      <c r="B680" s="28">
        <v>5325</v>
      </c>
      <c r="C680" s="29">
        <v>41856.85</v>
      </c>
      <c r="D680" s="30">
        <f t="shared" si="20"/>
        <v>2.3841568929052107E-2</v>
      </c>
      <c r="E680" s="30">
        <f t="shared" si="21"/>
        <v>1.5069195554275284E-3</v>
      </c>
    </row>
    <row r="681" spans="1:5" x14ac:dyDescent="0.35">
      <c r="A681" s="27">
        <v>44951</v>
      </c>
      <c r="B681" s="28">
        <v>5201</v>
      </c>
      <c r="C681" s="29">
        <v>41793.870000000003</v>
      </c>
      <c r="D681" s="30">
        <f t="shared" si="20"/>
        <v>2.1194605009633911E-3</v>
      </c>
      <c r="E681" s="30">
        <f t="shared" si="21"/>
        <v>5.009674035734578E-3</v>
      </c>
    </row>
    <row r="682" spans="1:5" x14ac:dyDescent="0.35">
      <c r="A682" s="27">
        <v>44950</v>
      </c>
      <c r="B682" s="28">
        <v>5190</v>
      </c>
      <c r="C682" s="29">
        <v>41585.54</v>
      </c>
      <c r="D682" s="30">
        <f t="shared" si="20"/>
        <v>0</v>
      </c>
      <c r="E682" s="30">
        <f t="shared" si="21"/>
        <v>5.4791069304742793E-3</v>
      </c>
    </row>
    <row r="683" spans="1:5" x14ac:dyDescent="0.35">
      <c r="A683" s="27">
        <v>44949</v>
      </c>
      <c r="B683" s="28">
        <v>5190</v>
      </c>
      <c r="C683" s="29">
        <v>41358.93</v>
      </c>
      <c r="D683" s="30">
        <f t="shared" si="20"/>
        <v>-2.2598870056497175E-2</v>
      </c>
      <c r="E683" s="30">
        <f t="shared" si="21"/>
        <v>5.8643236467959383E-4</v>
      </c>
    </row>
    <row r="684" spans="1:5" x14ac:dyDescent="0.35">
      <c r="A684" s="27">
        <v>44946</v>
      </c>
      <c r="B684" s="28">
        <v>5310</v>
      </c>
      <c r="C684" s="29">
        <v>41334.69</v>
      </c>
      <c r="D684" s="30">
        <f t="shared" si="20"/>
        <v>1.1428571428571429E-2</v>
      </c>
      <c r="E684" s="30">
        <f t="shared" si="21"/>
        <v>-2.4047691853590829E-3</v>
      </c>
    </row>
    <row r="685" spans="1:5" x14ac:dyDescent="0.35">
      <c r="A685" s="27">
        <v>44945</v>
      </c>
      <c r="B685" s="28">
        <v>5250</v>
      </c>
      <c r="C685" s="29">
        <v>41434.33</v>
      </c>
      <c r="D685" s="30">
        <f t="shared" si="20"/>
        <v>-2.7597703278384886E-2</v>
      </c>
      <c r="E685" s="30">
        <f t="shared" si="21"/>
        <v>2.3545491932167729E-3</v>
      </c>
    </row>
    <row r="686" spans="1:5" x14ac:dyDescent="0.35">
      <c r="A686" s="27">
        <v>44944</v>
      </c>
      <c r="B686" s="28">
        <v>5399</v>
      </c>
      <c r="C686" s="29">
        <v>41337</v>
      </c>
      <c r="D686" s="30">
        <f t="shared" si="20"/>
        <v>-3.5031277926720283E-2</v>
      </c>
      <c r="E686" s="30">
        <f t="shared" si="21"/>
        <v>1.6378303100400154E-2</v>
      </c>
    </row>
    <row r="687" spans="1:5" x14ac:dyDescent="0.35">
      <c r="A687" s="27">
        <v>44943</v>
      </c>
      <c r="B687" s="28">
        <v>5595</v>
      </c>
      <c r="C687" s="29">
        <v>40670.879999999997</v>
      </c>
      <c r="D687" s="30">
        <f t="shared" si="20"/>
        <v>3.6303019077606961E-2</v>
      </c>
      <c r="E687" s="30">
        <f t="shared" si="21"/>
        <v>6.3868425747604183E-3</v>
      </c>
    </row>
    <row r="688" spans="1:5" x14ac:dyDescent="0.35">
      <c r="A688" s="27">
        <v>44942</v>
      </c>
      <c r="B688" s="28">
        <v>5399</v>
      </c>
      <c r="C688" s="29">
        <v>40412.769999999997</v>
      </c>
      <c r="D688" s="30">
        <f t="shared" si="20"/>
        <v>-4.4424778761061948E-2</v>
      </c>
      <c r="E688" s="30">
        <f t="shared" si="21"/>
        <v>-2.4092596537628715E-3</v>
      </c>
    </row>
    <row r="689" spans="1:5" x14ac:dyDescent="0.35">
      <c r="A689" s="27">
        <v>44939</v>
      </c>
      <c r="B689" s="28">
        <v>5650</v>
      </c>
      <c r="C689" s="29">
        <v>40510.370000000003</v>
      </c>
      <c r="D689" s="30">
        <f t="shared" si="20"/>
        <v>-3.4188034188034191E-2</v>
      </c>
      <c r="E689" s="30">
        <f t="shared" si="21"/>
        <v>-6.7124148535225537E-3</v>
      </c>
    </row>
    <row r="690" spans="1:5" x14ac:dyDescent="0.35">
      <c r="A690" s="27">
        <v>44938</v>
      </c>
      <c r="B690" s="28">
        <v>5850</v>
      </c>
      <c r="C690" s="29">
        <v>40784.129999999997</v>
      </c>
      <c r="D690" s="30">
        <f t="shared" si="20"/>
        <v>4.4624203139229587E-2</v>
      </c>
      <c r="E690" s="30">
        <f t="shared" si="21"/>
        <v>1.8760550813897729E-3</v>
      </c>
    </row>
    <row r="691" spans="1:5" x14ac:dyDescent="0.35">
      <c r="A691" s="27">
        <v>44936</v>
      </c>
      <c r="B691" s="28">
        <v>5600.1</v>
      </c>
      <c r="C691" s="29">
        <v>40707.760000000002</v>
      </c>
      <c r="D691" s="30">
        <f t="shared" si="20"/>
        <v>1.7857142857207823E-5</v>
      </c>
      <c r="E691" s="30">
        <f t="shared" si="21"/>
        <v>-3.201634927425119E-3</v>
      </c>
    </row>
    <row r="692" spans="1:5" x14ac:dyDescent="0.35">
      <c r="A692" s="27">
        <v>44935</v>
      </c>
      <c r="B692" s="28">
        <v>5600</v>
      </c>
      <c r="C692" s="29">
        <v>40838.51</v>
      </c>
      <c r="D692" s="30">
        <f t="shared" si="20"/>
        <v>3.7017833003092464E-2</v>
      </c>
      <c r="E692" s="30">
        <f t="shared" si="21"/>
        <v>-7.993907830429671E-3</v>
      </c>
    </row>
    <row r="693" spans="1:5" x14ac:dyDescent="0.35">
      <c r="A693" s="27">
        <v>44932</v>
      </c>
      <c r="B693" s="28">
        <v>5400.1</v>
      </c>
      <c r="C693" s="29">
        <v>41167.599999999999</v>
      </c>
      <c r="D693" s="30">
        <f t="shared" si="20"/>
        <v>-3.7415329768270882E-2</v>
      </c>
      <c r="E693" s="30">
        <f t="shared" si="21"/>
        <v>5.3177252951416183E-3</v>
      </c>
    </row>
    <row r="694" spans="1:5" x14ac:dyDescent="0.35">
      <c r="A694" s="27">
        <v>44931</v>
      </c>
      <c r="B694" s="28">
        <v>5610</v>
      </c>
      <c r="C694" s="29">
        <v>40949.839999999997</v>
      </c>
      <c r="D694" s="30">
        <f t="shared" si="20"/>
        <v>-2.4347826086956521E-2</v>
      </c>
      <c r="E694" s="30">
        <f t="shared" si="21"/>
        <v>6.7906388511084102E-3</v>
      </c>
    </row>
    <row r="695" spans="1:5" x14ac:dyDescent="0.35">
      <c r="A695" s="27">
        <v>44930</v>
      </c>
      <c r="B695" s="28">
        <v>5750</v>
      </c>
      <c r="C695" s="29">
        <v>40673.64</v>
      </c>
      <c r="D695" s="30">
        <f t="shared" si="20"/>
        <v>-1.7094017094017096E-2</v>
      </c>
      <c r="E695" s="30">
        <f t="shared" si="21"/>
        <v>-1.0821620672488715E-2</v>
      </c>
    </row>
    <row r="696" spans="1:5" x14ac:dyDescent="0.35">
      <c r="A696" s="27">
        <v>44928</v>
      </c>
      <c r="B696" s="28">
        <v>5850</v>
      </c>
      <c r="C696" s="29">
        <v>41118.61</v>
      </c>
      <c r="D696" s="30">
        <f t="shared" si="20"/>
        <v>-1.680672268907563E-2</v>
      </c>
      <c r="E696" s="30">
        <f t="shared" si="21"/>
        <v>9.7276809242755361E-4</v>
      </c>
    </row>
    <row r="697" spans="1:5" x14ac:dyDescent="0.35">
      <c r="A697" s="27">
        <v>44925</v>
      </c>
      <c r="B697" s="28">
        <v>5950</v>
      </c>
      <c r="C697" s="29">
        <v>41078.65</v>
      </c>
      <c r="D697" s="30">
        <f t="shared" si="20"/>
        <v>2.5862068965517241E-2</v>
      </c>
      <c r="E697" s="30">
        <f t="shared" si="21"/>
        <v>-6.005780745447502E-3</v>
      </c>
    </row>
    <row r="698" spans="1:5" x14ac:dyDescent="0.35">
      <c r="A698" s="27">
        <v>44924</v>
      </c>
      <c r="B698" s="28">
        <v>5800</v>
      </c>
      <c r="C698" s="29">
        <v>41326.85</v>
      </c>
      <c r="D698" s="30">
        <f t="shared" si="20"/>
        <v>7.1098799630655588E-2</v>
      </c>
      <c r="E698" s="30">
        <f t="shared" si="21"/>
        <v>4.2937864640136278E-3</v>
      </c>
    </row>
    <row r="699" spans="1:5" x14ac:dyDescent="0.35">
      <c r="A699" s="27">
        <v>44923</v>
      </c>
      <c r="B699" s="28">
        <v>5415</v>
      </c>
      <c r="C699" s="29">
        <v>41150.160000000003</v>
      </c>
      <c r="D699" s="30">
        <f t="shared" si="20"/>
        <v>-2.7827648114901255E-2</v>
      </c>
      <c r="E699" s="30">
        <f t="shared" si="21"/>
        <v>-1.3586563734884588E-2</v>
      </c>
    </row>
    <row r="700" spans="1:5" x14ac:dyDescent="0.35">
      <c r="A700" s="27">
        <v>44922</v>
      </c>
      <c r="B700" s="28">
        <v>5570</v>
      </c>
      <c r="C700" s="29">
        <v>41716.949999999997</v>
      </c>
      <c r="D700" s="30">
        <f t="shared" si="20"/>
        <v>6.5029924090326846E-2</v>
      </c>
      <c r="E700" s="30">
        <f t="shared" si="21"/>
        <v>-5.9484765623319725E-4</v>
      </c>
    </row>
    <row r="701" spans="1:5" x14ac:dyDescent="0.35">
      <c r="A701" s="27">
        <v>44921</v>
      </c>
      <c r="B701" s="28">
        <v>5229.8999999999996</v>
      </c>
      <c r="C701" s="29">
        <v>41741.78</v>
      </c>
      <c r="D701" s="30">
        <f t="shared" si="20"/>
        <v>7.5005138746145866E-2</v>
      </c>
      <c r="E701" s="30">
        <f t="shared" si="21"/>
        <v>-1.7067770216539584E-2</v>
      </c>
    </row>
    <row r="702" spans="1:5" x14ac:dyDescent="0.35">
      <c r="A702" s="27">
        <v>44918</v>
      </c>
      <c r="B702" s="28">
        <v>4865</v>
      </c>
      <c r="C702" s="29">
        <v>42466.59</v>
      </c>
      <c r="D702" s="30">
        <f t="shared" si="20"/>
        <v>-7.3350983790785002E-2</v>
      </c>
      <c r="E702" s="30">
        <f t="shared" si="21"/>
        <v>1.7814258309261987E-2</v>
      </c>
    </row>
    <row r="703" spans="1:5" x14ac:dyDescent="0.35">
      <c r="A703" s="27">
        <v>44917</v>
      </c>
      <c r="B703" s="28">
        <v>5250.1</v>
      </c>
      <c r="C703" s="29">
        <v>41723.32</v>
      </c>
      <c r="D703" s="30">
        <f t="shared" si="20"/>
        <v>-1.8672897196261615E-2</v>
      </c>
      <c r="E703" s="30">
        <f t="shared" si="21"/>
        <v>4.8301220824434037E-3</v>
      </c>
    </row>
    <row r="704" spans="1:5" x14ac:dyDescent="0.35">
      <c r="A704" s="27">
        <v>44916</v>
      </c>
      <c r="B704" s="28">
        <v>5350</v>
      </c>
      <c r="C704" s="29">
        <v>41522.76</v>
      </c>
      <c r="D704" s="30">
        <f t="shared" si="20"/>
        <v>1.9047619047619049E-2</v>
      </c>
      <c r="E704" s="30">
        <f t="shared" si="21"/>
        <v>8.0598153421265317E-3</v>
      </c>
    </row>
    <row r="705" spans="1:5" x14ac:dyDescent="0.35">
      <c r="A705" s="27">
        <v>44915</v>
      </c>
      <c r="B705" s="28">
        <v>5250</v>
      </c>
      <c r="C705" s="29">
        <v>41190.769999999997</v>
      </c>
      <c r="D705" s="30">
        <f t="shared" si="20"/>
        <v>-1.9607843137254902E-2</v>
      </c>
      <c r="E705" s="30">
        <f t="shared" si="21"/>
        <v>1.7780809840884058E-2</v>
      </c>
    </row>
    <row r="706" spans="1:5" x14ac:dyDescent="0.35">
      <c r="A706" s="27">
        <v>44914</v>
      </c>
      <c r="B706" s="28">
        <v>5355</v>
      </c>
      <c r="C706" s="29">
        <v>40471.160000000003</v>
      </c>
      <c r="D706" s="30">
        <f t="shared" si="20"/>
        <v>-2.2988505747126436E-2</v>
      </c>
      <c r="E706" s="30">
        <f t="shared" si="21"/>
        <v>-6.4406430970470885E-3</v>
      </c>
    </row>
    <row r="707" spans="1:5" x14ac:dyDescent="0.35">
      <c r="A707" s="27">
        <v>44910</v>
      </c>
      <c r="B707" s="28">
        <v>5481</v>
      </c>
      <c r="C707" s="29">
        <v>40733.51</v>
      </c>
      <c r="D707" s="30">
        <f t="shared" si="20"/>
        <v>-3.4545454545454545E-3</v>
      </c>
      <c r="E707" s="30">
        <f t="shared" si="21"/>
        <v>2.7959174730440199E-3</v>
      </c>
    </row>
    <row r="708" spans="1:5" x14ac:dyDescent="0.35">
      <c r="A708" s="27">
        <v>44909</v>
      </c>
      <c r="B708" s="28">
        <v>5500</v>
      </c>
      <c r="C708" s="29">
        <v>40619.94</v>
      </c>
      <c r="D708" s="30">
        <f t="shared" si="20"/>
        <v>-2.6548672566371681E-2</v>
      </c>
      <c r="E708" s="30">
        <f t="shared" si="21"/>
        <v>-1.3060241840666855E-3</v>
      </c>
    </row>
    <row r="709" spans="1:5" x14ac:dyDescent="0.35">
      <c r="A709" s="27">
        <v>44907</v>
      </c>
      <c r="B709" s="28">
        <v>5650</v>
      </c>
      <c r="C709" s="29">
        <v>40673.06</v>
      </c>
      <c r="D709" s="30">
        <f t="shared" ref="D709:D772" si="22">(B709-B710)/B710</f>
        <v>-2.266043937035115E-2</v>
      </c>
      <c r="E709" s="30">
        <f t="shared" ref="E709:E772" si="23">(C709-C710)/C710</f>
        <v>2.0109467293116093E-2</v>
      </c>
    </row>
    <row r="710" spans="1:5" x14ac:dyDescent="0.35">
      <c r="A710" s="27">
        <v>44904</v>
      </c>
      <c r="B710" s="28">
        <v>5781</v>
      </c>
      <c r="C710" s="29">
        <v>39871.269999999997</v>
      </c>
      <c r="D710" s="30">
        <f t="shared" si="22"/>
        <v>0</v>
      </c>
      <c r="E710" s="30">
        <f t="shared" si="23"/>
        <v>-1.4320207918165771E-2</v>
      </c>
    </row>
    <row r="711" spans="1:5" x14ac:dyDescent="0.35">
      <c r="A711" s="27">
        <v>44903</v>
      </c>
      <c r="B711" s="28">
        <v>5781</v>
      </c>
      <c r="C711" s="29">
        <v>40450.53</v>
      </c>
      <c r="D711" s="30">
        <f t="shared" si="22"/>
        <v>0</v>
      </c>
      <c r="E711" s="30">
        <f t="shared" si="23"/>
        <v>-9.6948259742014806E-3</v>
      </c>
    </row>
    <row r="712" spans="1:5" x14ac:dyDescent="0.35">
      <c r="A712" s="27">
        <v>44901</v>
      </c>
      <c r="B712" s="28">
        <v>5781</v>
      </c>
      <c r="C712" s="29">
        <v>40846.53</v>
      </c>
      <c r="D712" s="30">
        <f t="shared" si="22"/>
        <v>-2.8240040342914774E-2</v>
      </c>
      <c r="E712" s="30">
        <f t="shared" si="23"/>
        <v>2.668424452493276E-2</v>
      </c>
    </row>
    <row r="713" spans="1:5" x14ac:dyDescent="0.35">
      <c r="A713" s="27">
        <v>44897</v>
      </c>
      <c r="B713" s="28">
        <v>5949</v>
      </c>
      <c r="C713" s="29">
        <v>39784.9</v>
      </c>
      <c r="D713" s="30">
        <f t="shared" si="22"/>
        <v>3.2812500000000001E-2</v>
      </c>
      <c r="E713" s="30">
        <f t="shared" si="23"/>
        <v>1.8672074334955376E-2</v>
      </c>
    </row>
    <row r="714" spans="1:5" x14ac:dyDescent="0.35">
      <c r="A714" s="27">
        <v>44896</v>
      </c>
      <c r="B714" s="28">
        <v>5760</v>
      </c>
      <c r="C714" s="29">
        <v>39055.65</v>
      </c>
      <c r="D714" s="30">
        <f t="shared" si="22"/>
        <v>-8.6058519793459545E-3</v>
      </c>
      <c r="E714" s="30">
        <f t="shared" si="23"/>
        <v>1.5920989689048422E-2</v>
      </c>
    </row>
    <row r="715" spans="1:5" x14ac:dyDescent="0.35">
      <c r="A715" s="27">
        <v>44895</v>
      </c>
      <c r="B715" s="28">
        <v>5810</v>
      </c>
      <c r="C715" s="29">
        <v>38443.589999999997</v>
      </c>
      <c r="D715" s="30">
        <f t="shared" si="22"/>
        <v>-1.5254237288135594E-2</v>
      </c>
      <c r="E715" s="30">
        <f t="shared" si="23"/>
        <v>9.2715107641675777E-4</v>
      </c>
    </row>
    <row r="716" spans="1:5" x14ac:dyDescent="0.35">
      <c r="A716" s="27">
        <v>44894</v>
      </c>
      <c r="B716" s="28">
        <v>5900</v>
      </c>
      <c r="C716" s="29">
        <v>38407.980000000003</v>
      </c>
      <c r="D716" s="30">
        <f t="shared" si="22"/>
        <v>8.5470085470085479E-3</v>
      </c>
      <c r="E716" s="30">
        <f t="shared" si="23"/>
        <v>-9.8762370430940036E-3</v>
      </c>
    </row>
    <row r="717" spans="1:5" x14ac:dyDescent="0.35">
      <c r="A717" s="27">
        <v>44893</v>
      </c>
      <c r="B717" s="28">
        <v>5850</v>
      </c>
      <c r="C717" s="29">
        <v>38791.089999999997</v>
      </c>
      <c r="D717" s="30">
        <f t="shared" si="22"/>
        <v>8.6206896551724137E-3</v>
      </c>
      <c r="E717" s="30">
        <f t="shared" si="23"/>
        <v>1.1707202062687503E-2</v>
      </c>
    </row>
    <row r="718" spans="1:5" x14ac:dyDescent="0.35">
      <c r="A718" s="27">
        <v>44890</v>
      </c>
      <c r="B718" s="28">
        <v>5800</v>
      </c>
      <c r="C718" s="29">
        <v>38342.21</v>
      </c>
      <c r="D718" s="30">
        <f t="shared" si="22"/>
        <v>8.6956521739130436E-3</v>
      </c>
      <c r="E718" s="30">
        <f t="shared" si="23"/>
        <v>-3.4705789795006409E-2</v>
      </c>
    </row>
    <row r="719" spans="1:5" x14ac:dyDescent="0.35">
      <c r="A719" s="27">
        <v>44889</v>
      </c>
      <c r="B719" s="28">
        <v>5750</v>
      </c>
      <c r="C719" s="29">
        <v>39720.75</v>
      </c>
      <c r="D719" s="30">
        <f t="shared" si="22"/>
        <v>-8.6206896551724137E-3</v>
      </c>
      <c r="E719" s="30">
        <f t="shared" si="23"/>
        <v>-1.4946637750490028E-2</v>
      </c>
    </row>
    <row r="720" spans="1:5" x14ac:dyDescent="0.35">
      <c r="A720" s="27">
        <v>44887</v>
      </c>
      <c r="B720" s="28">
        <v>5800</v>
      </c>
      <c r="C720" s="29">
        <v>40323.449999999997</v>
      </c>
      <c r="D720" s="30">
        <f t="shared" si="22"/>
        <v>0</v>
      </c>
      <c r="E720" s="30">
        <f t="shared" si="23"/>
        <v>-1.1774367590933177E-2</v>
      </c>
    </row>
    <row r="721" spans="1:5" x14ac:dyDescent="0.35">
      <c r="A721" s="27">
        <v>44886</v>
      </c>
      <c r="B721" s="28">
        <v>5800</v>
      </c>
      <c r="C721" s="29">
        <v>40803.89</v>
      </c>
      <c r="D721" s="30">
        <f t="shared" si="22"/>
        <v>7.819287576020852E-3</v>
      </c>
      <c r="E721" s="30">
        <f t="shared" si="23"/>
        <v>5.8576277832908545E-5</v>
      </c>
    </row>
    <row r="722" spans="1:5" x14ac:dyDescent="0.35">
      <c r="A722" s="27">
        <v>44882</v>
      </c>
      <c r="B722" s="28">
        <v>5755</v>
      </c>
      <c r="C722" s="29">
        <v>40801.5</v>
      </c>
      <c r="D722" s="30">
        <f t="shared" si="22"/>
        <v>-3.7625418060200672E-2</v>
      </c>
      <c r="E722" s="30">
        <f t="shared" si="23"/>
        <v>7.3260525429603325E-3</v>
      </c>
    </row>
    <row r="723" spans="1:5" x14ac:dyDescent="0.35">
      <c r="A723" s="27">
        <v>44881</v>
      </c>
      <c r="B723" s="28">
        <v>5980</v>
      </c>
      <c r="C723" s="29">
        <v>40504.76</v>
      </c>
      <c r="D723" s="30">
        <f t="shared" si="22"/>
        <v>1.3559322033898305E-2</v>
      </c>
      <c r="E723" s="30">
        <f t="shared" si="23"/>
        <v>-1.2260190326066896E-2</v>
      </c>
    </row>
    <row r="724" spans="1:5" x14ac:dyDescent="0.35">
      <c r="A724" s="27">
        <v>44880</v>
      </c>
      <c r="B724" s="28">
        <v>5900</v>
      </c>
      <c r="C724" s="29">
        <v>41007.519999999997</v>
      </c>
      <c r="D724" s="30">
        <f t="shared" si="22"/>
        <v>0</v>
      </c>
      <c r="E724" s="30">
        <f t="shared" si="23"/>
        <v>7.1415344155744999E-3</v>
      </c>
    </row>
    <row r="725" spans="1:5" x14ac:dyDescent="0.35">
      <c r="A725" s="27">
        <v>44876</v>
      </c>
      <c r="B725" s="28">
        <v>5900</v>
      </c>
      <c r="C725" s="29">
        <v>40716.74</v>
      </c>
      <c r="D725" s="30">
        <f t="shared" si="22"/>
        <v>4.4062997699522211E-2</v>
      </c>
      <c r="E725" s="30">
        <f t="shared" si="23"/>
        <v>4.3769872691436472E-3</v>
      </c>
    </row>
    <row r="726" spans="1:5" x14ac:dyDescent="0.35">
      <c r="A726" s="27">
        <v>44872</v>
      </c>
      <c r="B726" s="28">
        <v>5651</v>
      </c>
      <c r="C726" s="29">
        <v>40539.300000000003</v>
      </c>
      <c r="D726" s="30">
        <f t="shared" si="22"/>
        <v>-3.4017094017094018E-2</v>
      </c>
      <c r="E726" s="30">
        <f t="shared" si="23"/>
        <v>-2.248057131268336E-3</v>
      </c>
    </row>
    <row r="727" spans="1:5" x14ac:dyDescent="0.35">
      <c r="A727" s="27">
        <v>44868</v>
      </c>
      <c r="B727" s="28">
        <v>5850</v>
      </c>
      <c r="C727" s="29">
        <v>40630.639999999999</v>
      </c>
      <c r="D727" s="30">
        <f t="shared" si="22"/>
        <v>1.3864818024263431E-2</v>
      </c>
      <c r="E727" s="30">
        <f t="shared" si="23"/>
        <v>-4.5389174316872111E-3</v>
      </c>
    </row>
    <row r="728" spans="1:5" x14ac:dyDescent="0.35">
      <c r="A728" s="27">
        <v>44867</v>
      </c>
      <c r="B728" s="28">
        <v>5770</v>
      </c>
      <c r="C728" s="29">
        <v>40815.9</v>
      </c>
      <c r="D728" s="30">
        <f t="shared" si="22"/>
        <v>-5.1724137931034482E-3</v>
      </c>
      <c r="E728" s="30">
        <f t="shared" si="23"/>
        <v>9.783414088660675E-3</v>
      </c>
    </row>
    <row r="729" spans="1:5" x14ac:dyDescent="0.35">
      <c r="A729" s="27">
        <v>44866</v>
      </c>
      <c r="B729" s="28">
        <v>5800</v>
      </c>
      <c r="C729" s="29">
        <v>40420.449999999997</v>
      </c>
      <c r="D729" s="30">
        <f t="shared" si="22"/>
        <v>1.7543859649122806E-2</v>
      </c>
      <c r="E729" s="30">
        <f t="shared" si="23"/>
        <v>1.6934462297486463E-2</v>
      </c>
    </row>
    <row r="730" spans="1:5" x14ac:dyDescent="0.35">
      <c r="A730" s="27">
        <v>44865</v>
      </c>
      <c r="B730" s="28">
        <v>5700</v>
      </c>
      <c r="C730" s="29">
        <v>39747.35</v>
      </c>
      <c r="D730" s="30">
        <f t="shared" si="22"/>
        <v>-4.6822742474916385E-2</v>
      </c>
      <c r="E730" s="30">
        <f t="shared" si="23"/>
        <v>1.1912596491344152E-2</v>
      </c>
    </row>
    <row r="731" spans="1:5" x14ac:dyDescent="0.35">
      <c r="A731" s="27">
        <v>44862</v>
      </c>
      <c r="B731" s="28">
        <v>5980</v>
      </c>
      <c r="C731" s="29">
        <v>39279.43</v>
      </c>
      <c r="D731" s="30">
        <f t="shared" si="22"/>
        <v>0</v>
      </c>
      <c r="E731" s="30">
        <f t="shared" si="23"/>
        <v>-1.3151802217476138E-2</v>
      </c>
    </row>
    <row r="732" spans="1:5" x14ac:dyDescent="0.35">
      <c r="A732" s="27">
        <v>44861</v>
      </c>
      <c r="B732" s="28">
        <v>5980</v>
      </c>
      <c r="C732" s="29">
        <v>39802.910000000003</v>
      </c>
      <c r="D732" s="30">
        <f t="shared" si="22"/>
        <v>-4.9916805324459234E-3</v>
      </c>
      <c r="E732" s="30">
        <f t="shared" si="23"/>
        <v>-8.7722225487334628E-3</v>
      </c>
    </row>
    <row r="733" spans="1:5" x14ac:dyDescent="0.35">
      <c r="A733" s="27">
        <v>44859</v>
      </c>
      <c r="B733" s="28">
        <v>6010</v>
      </c>
      <c r="C733" s="29">
        <v>40155.160000000003</v>
      </c>
      <c r="D733" s="30">
        <f t="shared" si="22"/>
        <v>8.3263946711074107E-4</v>
      </c>
      <c r="E733" s="30">
        <f t="shared" si="23"/>
        <v>1.2250310064231355E-2</v>
      </c>
    </row>
    <row r="734" spans="1:5" x14ac:dyDescent="0.35">
      <c r="A734" s="27">
        <v>44858</v>
      </c>
      <c r="B734" s="28">
        <v>6005</v>
      </c>
      <c r="C734" s="29">
        <v>39669.199999999997</v>
      </c>
      <c r="D734" s="30">
        <f t="shared" si="22"/>
        <v>8.3333333333333339E-4</v>
      </c>
      <c r="E734" s="30">
        <f t="shared" si="23"/>
        <v>-4.245408881346298E-3</v>
      </c>
    </row>
    <row r="735" spans="1:5" x14ac:dyDescent="0.35">
      <c r="A735" s="27">
        <v>44855</v>
      </c>
      <c r="B735" s="28">
        <v>6000</v>
      </c>
      <c r="C735" s="29">
        <v>39838.33</v>
      </c>
      <c r="D735" s="30">
        <f t="shared" si="22"/>
        <v>0</v>
      </c>
      <c r="E735" s="30">
        <f t="shared" si="23"/>
        <v>1.2592872562234302E-2</v>
      </c>
    </row>
    <row r="736" spans="1:5" x14ac:dyDescent="0.35">
      <c r="A736" s="27">
        <v>44854</v>
      </c>
      <c r="B736" s="28">
        <v>6000</v>
      </c>
      <c r="C736" s="29">
        <v>39342.89</v>
      </c>
      <c r="D736" s="30">
        <f t="shared" si="22"/>
        <v>0</v>
      </c>
      <c r="E736" s="30">
        <f t="shared" si="23"/>
        <v>-1.2290481755453097E-2</v>
      </c>
    </row>
    <row r="737" spans="1:5" x14ac:dyDescent="0.35">
      <c r="A737" s="27">
        <v>44853</v>
      </c>
      <c r="B737" s="28">
        <v>6000</v>
      </c>
      <c r="C737" s="29">
        <v>39832.449999999997</v>
      </c>
      <c r="D737" s="30">
        <f t="shared" si="22"/>
        <v>2.564102564102564E-2</v>
      </c>
      <c r="E737" s="30">
        <f t="shared" si="23"/>
        <v>-2.7784896665480521E-2</v>
      </c>
    </row>
    <row r="738" spans="1:5" x14ac:dyDescent="0.35">
      <c r="A738" s="27">
        <v>44852</v>
      </c>
      <c r="B738" s="28">
        <v>5850</v>
      </c>
      <c r="C738" s="29">
        <v>40970.82</v>
      </c>
      <c r="D738" s="30">
        <f t="shared" si="22"/>
        <v>-2.5000000000000001E-2</v>
      </c>
      <c r="E738" s="30">
        <f t="shared" si="23"/>
        <v>-8.0060085013903496E-3</v>
      </c>
    </row>
    <row r="739" spans="1:5" x14ac:dyDescent="0.35">
      <c r="A739" s="27">
        <v>44851</v>
      </c>
      <c r="B739" s="28">
        <v>6000</v>
      </c>
      <c r="C739" s="29">
        <v>41301.480000000003</v>
      </c>
      <c r="D739" s="30">
        <f t="shared" si="22"/>
        <v>0</v>
      </c>
      <c r="E739" s="30">
        <f t="shared" si="23"/>
        <v>-9.8963664738470902E-3</v>
      </c>
    </row>
    <row r="740" spans="1:5" x14ac:dyDescent="0.35">
      <c r="A740" s="27">
        <v>44848</v>
      </c>
      <c r="B740" s="28">
        <v>6000</v>
      </c>
      <c r="C740" s="29">
        <v>41714.300000000003</v>
      </c>
      <c r="D740" s="30">
        <f t="shared" si="22"/>
        <v>3.3444816053511705E-3</v>
      </c>
      <c r="E740" s="30">
        <f t="shared" si="23"/>
        <v>4.1826600755165734E-3</v>
      </c>
    </row>
    <row r="741" spans="1:5" x14ac:dyDescent="0.35">
      <c r="A741" s="27">
        <v>44846</v>
      </c>
      <c r="B741" s="28">
        <v>5980</v>
      </c>
      <c r="C741" s="29">
        <v>41540.550000000003</v>
      </c>
      <c r="D741" s="30">
        <f t="shared" si="22"/>
        <v>3.4602076124567477E-2</v>
      </c>
      <c r="E741" s="30">
        <f t="shared" si="23"/>
        <v>-3.7826500277708319E-3</v>
      </c>
    </row>
    <row r="742" spans="1:5" x14ac:dyDescent="0.35">
      <c r="A742" s="27">
        <v>44845</v>
      </c>
      <c r="B742" s="28">
        <v>5780</v>
      </c>
      <c r="C742" s="29">
        <v>41698.28</v>
      </c>
      <c r="D742" s="30">
        <f t="shared" si="22"/>
        <v>-1.1965811965811967E-2</v>
      </c>
      <c r="E742" s="30">
        <f t="shared" si="23"/>
        <v>1.1204848984228521E-3</v>
      </c>
    </row>
    <row r="743" spans="1:5" x14ac:dyDescent="0.35">
      <c r="A743" s="27">
        <v>44844</v>
      </c>
      <c r="B743" s="28">
        <v>5850</v>
      </c>
      <c r="C743" s="29">
        <v>41651.61</v>
      </c>
      <c r="D743" s="30">
        <f t="shared" si="22"/>
        <v>1.7391304347826087E-2</v>
      </c>
      <c r="E743" s="30">
        <f t="shared" si="23"/>
        <v>-4.0096328751635978E-3</v>
      </c>
    </row>
    <row r="744" spans="1:5" x14ac:dyDescent="0.35">
      <c r="A744" s="27">
        <v>44840</v>
      </c>
      <c r="B744" s="28">
        <v>5750</v>
      </c>
      <c r="C744" s="29">
        <v>41819.29</v>
      </c>
      <c r="D744" s="30">
        <f t="shared" si="22"/>
        <v>8.771929824561403E-3</v>
      </c>
      <c r="E744" s="30">
        <f t="shared" si="23"/>
        <v>6.7248532376310254E-3</v>
      </c>
    </row>
    <row r="745" spans="1:5" x14ac:dyDescent="0.35">
      <c r="A745" s="27">
        <v>44838</v>
      </c>
      <c r="B745" s="28">
        <v>5700</v>
      </c>
      <c r="C745" s="29">
        <v>41539.94</v>
      </c>
      <c r="D745" s="30">
        <f t="shared" si="22"/>
        <v>0</v>
      </c>
      <c r="E745" s="30">
        <f t="shared" si="23"/>
        <v>-1.7477849895235257E-3</v>
      </c>
    </row>
    <row r="746" spans="1:5" x14ac:dyDescent="0.35">
      <c r="A746" s="27">
        <v>44831</v>
      </c>
      <c r="B746" s="28">
        <v>5700</v>
      </c>
      <c r="C746" s="29">
        <v>41612.67</v>
      </c>
      <c r="D746" s="30">
        <f t="shared" si="22"/>
        <v>1.7857142857142856E-2</v>
      </c>
      <c r="E746" s="30">
        <f t="shared" si="23"/>
        <v>-1.2750384933843581E-2</v>
      </c>
    </row>
    <row r="747" spans="1:5" x14ac:dyDescent="0.35">
      <c r="A747" s="27">
        <v>44830</v>
      </c>
      <c r="B747" s="28">
        <v>5600</v>
      </c>
      <c r="C747" s="29">
        <v>42150.1</v>
      </c>
      <c r="D747" s="30">
        <f t="shared" si="22"/>
        <v>-1.8404907975460124E-2</v>
      </c>
      <c r="E747" s="30">
        <f t="shared" si="23"/>
        <v>-5.7419152738436979E-3</v>
      </c>
    </row>
    <row r="748" spans="1:5" x14ac:dyDescent="0.35">
      <c r="A748" s="27">
        <v>44827</v>
      </c>
      <c r="B748" s="28">
        <v>5705</v>
      </c>
      <c r="C748" s="29">
        <v>42393.52</v>
      </c>
      <c r="D748" s="30">
        <f t="shared" si="22"/>
        <v>9.7345132743362831E-3</v>
      </c>
      <c r="E748" s="30">
        <f t="shared" si="23"/>
        <v>1.0600106780313653E-3</v>
      </c>
    </row>
    <row r="749" spans="1:5" x14ac:dyDescent="0.35">
      <c r="A749" s="27">
        <v>44826</v>
      </c>
      <c r="B749" s="28">
        <v>5650</v>
      </c>
      <c r="C749" s="29">
        <v>42348.63</v>
      </c>
      <c r="D749" s="30">
        <f t="shared" si="22"/>
        <v>0</v>
      </c>
      <c r="E749" s="30">
        <f t="shared" si="23"/>
        <v>6.5909476617574073E-3</v>
      </c>
    </row>
    <row r="750" spans="1:5" x14ac:dyDescent="0.35">
      <c r="A750" s="27">
        <v>44824</v>
      </c>
      <c r="B750" s="28">
        <v>5650</v>
      </c>
      <c r="C750" s="29">
        <v>42071.34</v>
      </c>
      <c r="D750" s="30">
        <f t="shared" si="22"/>
        <v>-1.7667844522968198E-3</v>
      </c>
      <c r="E750" s="30">
        <f t="shared" si="23"/>
        <v>-2.0155004817553796E-2</v>
      </c>
    </row>
    <row r="751" spans="1:5" x14ac:dyDescent="0.35">
      <c r="A751" s="27">
        <v>44819</v>
      </c>
      <c r="B751" s="28">
        <v>5660</v>
      </c>
      <c r="C751" s="29">
        <v>42936.73</v>
      </c>
      <c r="D751" s="30">
        <f t="shared" si="22"/>
        <v>-7.0175438596491229E-3</v>
      </c>
      <c r="E751" s="30">
        <f t="shared" si="23"/>
        <v>1.3157554131489613E-3</v>
      </c>
    </row>
    <row r="752" spans="1:5" x14ac:dyDescent="0.35">
      <c r="A752" s="27">
        <v>44818</v>
      </c>
      <c r="B752" s="28">
        <v>5700</v>
      </c>
      <c r="C752" s="29">
        <v>42880.31</v>
      </c>
      <c r="D752" s="30">
        <f t="shared" si="22"/>
        <v>-1.0416666666666666E-2</v>
      </c>
      <c r="E752" s="30">
        <f t="shared" si="23"/>
        <v>-1.1253564638230846E-3</v>
      </c>
    </row>
    <row r="753" spans="1:5" x14ac:dyDescent="0.35">
      <c r="A753" s="27">
        <v>44817</v>
      </c>
      <c r="B753" s="28">
        <v>5760</v>
      </c>
      <c r="C753" s="29">
        <v>42928.62</v>
      </c>
      <c r="D753" s="30">
        <f t="shared" si="22"/>
        <v>0</v>
      </c>
      <c r="E753" s="30">
        <f t="shared" si="23"/>
        <v>3.9154663375832221E-3</v>
      </c>
    </row>
    <row r="754" spans="1:5" x14ac:dyDescent="0.35">
      <c r="A754" s="27">
        <v>44813</v>
      </c>
      <c r="B754" s="28">
        <v>5760</v>
      </c>
      <c r="C754" s="29">
        <v>42761.19</v>
      </c>
      <c r="D754" s="30">
        <f t="shared" si="22"/>
        <v>0</v>
      </c>
      <c r="E754" s="30">
        <f t="shared" si="23"/>
        <v>7.2431140101259363E-4</v>
      </c>
    </row>
    <row r="755" spans="1:5" x14ac:dyDescent="0.35">
      <c r="A755" s="27">
        <v>44812</v>
      </c>
      <c r="B755" s="28">
        <v>5760</v>
      </c>
      <c r="C755" s="29">
        <v>42730.239999999998</v>
      </c>
      <c r="D755" s="30">
        <f t="shared" si="22"/>
        <v>0</v>
      </c>
      <c r="E755" s="30">
        <f t="shared" si="23"/>
        <v>-2.0896913851842841E-3</v>
      </c>
    </row>
    <row r="756" spans="1:5" x14ac:dyDescent="0.35">
      <c r="A756" s="27">
        <v>44811</v>
      </c>
      <c r="B756" s="28">
        <v>5760</v>
      </c>
      <c r="C756" s="29">
        <v>42819.72</v>
      </c>
      <c r="D756" s="30">
        <f t="shared" si="22"/>
        <v>-8.6730268863833475E-4</v>
      </c>
      <c r="E756" s="30">
        <f t="shared" si="23"/>
        <v>-3.8160932910692724E-3</v>
      </c>
    </row>
    <row r="757" spans="1:5" x14ac:dyDescent="0.35">
      <c r="A757" s="27">
        <v>44806</v>
      </c>
      <c r="B757" s="28">
        <v>5765</v>
      </c>
      <c r="C757" s="29">
        <v>42983.75</v>
      </c>
      <c r="D757" s="30">
        <f t="shared" si="22"/>
        <v>9.4554368762038172E-3</v>
      </c>
      <c r="E757" s="30">
        <f t="shared" si="23"/>
        <v>4.3671438435305748E-3</v>
      </c>
    </row>
    <row r="758" spans="1:5" x14ac:dyDescent="0.35">
      <c r="A758" s="27">
        <v>44805</v>
      </c>
      <c r="B758" s="28">
        <v>5711</v>
      </c>
      <c r="C758" s="29">
        <v>42796.85</v>
      </c>
      <c r="D758" s="30">
        <f t="shared" si="22"/>
        <v>-1.5344827586206897E-2</v>
      </c>
      <c r="E758" s="30">
        <f t="shared" si="23"/>
        <v>-1.259718889925894E-3</v>
      </c>
    </row>
    <row r="759" spans="1:5" x14ac:dyDescent="0.35">
      <c r="A759" s="27">
        <v>44804</v>
      </c>
      <c r="B759" s="28">
        <v>5800</v>
      </c>
      <c r="C759" s="29">
        <v>42850.83</v>
      </c>
      <c r="D759" s="30">
        <f t="shared" si="22"/>
        <v>0</v>
      </c>
      <c r="E759" s="30">
        <f t="shared" si="23"/>
        <v>-5.6185524546357437E-3</v>
      </c>
    </row>
    <row r="760" spans="1:5" x14ac:dyDescent="0.35">
      <c r="A760" s="27">
        <v>44803</v>
      </c>
      <c r="B760" s="28">
        <v>5800</v>
      </c>
      <c r="C760" s="29">
        <v>43092.95</v>
      </c>
      <c r="D760" s="30">
        <f t="shared" si="22"/>
        <v>5.1993067590987872E-3</v>
      </c>
      <c r="E760" s="30">
        <f t="shared" si="23"/>
        <v>4.4679330005848381E-3</v>
      </c>
    </row>
    <row r="761" spans="1:5" x14ac:dyDescent="0.35">
      <c r="A761" s="27">
        <v>44802</v>
      </c>
      <c r="B761" s="28">
        <v>5770</v>
      </c>
      <c r="C761" s="29">
        <v>42901.27</v>
      </c>
      <c r="D761" s="30">
        <f t="shared" si="22"/>
        <v>-5.4098360655737705E-2</v>
      </c>
      <c r="E761" s="30">
        <f t="shared" si="23"/>
        <v>1.5045654408243446E-2</v>
      </c>
    </row>
    <row r="762" spans="1:5" x14ac:dyDescent="0.35">
      <c r="A762" s="27">
        <v>44799</v>
      </c>
      <c r="B762" s="28">
        <v>6100</v>
      </c>
      <c r="C762" s="29">
        <v>42265.36</v>
      </c>
      <c r="D762" s="30">
        <f t="shared" si="22"/>
        <v>4.9423393739703456E-3</v>
      </c>
      <c r="E762" s="30">
        <f t="shared" si="23"/>
        <v>5.1846299030426646E-3</v>
      </c>
    </row>
    <row r="763" spans="1:5" x14ac:dyDescent="0.35">
      <c r="A763" s="27">
        <v>44797</v>
      </c>
      <c r="B763" s="28">
        <v>6070</v>
      </c>
      <c r="C763" s="29">
        <v>42047.360000000001</v>
      </c>
      <c r="D763" s="30">
        <f t="shared" si="22"/>
        <v>-2.049378731644344E-2</v>
      </c>
      <c r="E763" s="30">
        <f t="shared" si="23"/>
        <v>4.5644252921483745E-3</v>
      </c>
    </row>
    <row r="764" spans="1:5" x14ac:dyDescent="0.35">
      <c r="A764" s="27">
        <v>44796</v>
      </c>
      <c r="B764" s="28">
        <v>6197</v>
      </c>
      <c r="C764" s="29">
        <v>41856.31</v>
      </c>
      <c r="D764" s="30">
        <f t="shared" si="22"/>
        <v>4.0638119227539883E-2</v>
      </c>
      <c r="E764" s="30">
        <f t="shared" si="23"/>
        <v>-5.5689248292557069E-3</v>
      </c>
    </row>
    <row r="765" spans="1:5" x14ac:dyDescent="0.35">
      <c r="A765" s="27">
        <v>44795</v>
      </c>
      <c r="B765" s="28">
        <v>5955</v>
      </c>
      <c r="C765" s="29">
        <v>42090.71</v>
      </c>
      <c r="D765" s="30">
        <f t="shared" si="22"/>
        <v>-7.4999999999999997E-3</v>
      </c>
      <c r="E765" s="30">
        <f t="shared" si="23"/>
        <v>3.4836435402039365E-3</v>
      </c>
    </row>
    <row r="766" spans="1:5" x14ac:dyDescent="0.35">
      <c r="A766" s="27">
        <v>44792</v>
      </c>
      <c r="B766" s="28">
        <v>6000</v>
      </c>
      <c r="C766" s="29">
        <v>41944.59</v>
      </c>
      <c r="D766" s="30">
        <f t="shared" si="22"/>
        <v>0</v>
      </c>
      <c r="E766" s="30">
        <f t="shared" si="23"/>
        <v>3.2505204061642249E-3</v>
      </c>
    </row>
    <row r="767" spans="1:5" x14ac:dyDescent="0.35">
      <c r="A767" s="27">
        <v>44790</v>
      </c>
      <c r="B767" s="28">
        <v>6000</v>
      </c>
      <c r="C767" s="29">
        <v>41808.69</v>
      </c>
      <c r="D767" s="30">
        <f t="shared" si="22"/>
        <v>-2.4390243902439025E-2</v>
      </c>
      <c r="E767" s="30">
        <f t="shared" si="23"/>
        <v>1.3183920575136177E-2</v>
      </c>
    </row>
    <row r="768" spans="1:5" x14ac:dyDescent="0.35">
      <c r="A768" s="27">
        <v>44788</v>
      </c>
      <c r="B768" s="28">
        <v>6150</v>
      </c>
      <c r="C768" s="29">
        <v>41264.660000000003</v>
      </c>
      <c r="D768" s="30">
        <f t="shared" si="22"/>
        <v>4.2372881355932202E-2</v>
      </c>
      <c r="E768" s="30">
        <f t="shared" si="23"/>
        <v>3.0220953502317978E-3</v>
      </c>
    </row>
    <row r="769" spans="1:5" x14ac:dyDescent="0.35">
      <c r="A769" s="27">
        <v>44785</v>
      </c>
      <c r="B769" s="28">
        <v>5900</v>
      </c>
      <c r="C769" s="29">
        <v>41140.33</v>
      </c>
      <c r="D769" s="30">
        <f t="shared" si="22"/>
        <v>-3.2786885245901641E-2</v>
      </c>
      <c r="E769" s="30">
        <f t="shared" si="23"/>
        <v>-1.1117507574601183E-2</v>
      </c>
    </row>
    <row r="770" spans="1:5" x14ac:dyDescent="0.35">
      <c r="A770" s="27">
        <v>44784</v>
      </c>
      <c r="B770" s="28">
        <v>6100</v>
      </c>
      <c r="C770" s="29">
        <v>41602.85</v>
      </c>
      <c r="D770" s="30">
        <f t="shared" si="22"/>
        <v>7.4318744838976049E-3</v>
      </c>
      <c r="E770" s="30">
        <f t="shared" si="23"/>
        <v>1.512276230903052E-3</v>
      </c>
    </row>
    <row r="771" spans="1:5" x14ac:dyDescent="0.35">
      <c r="A771" s="27">
        <v>44783</v>
      </c>
      <c r="B771" s="28">
        <v>6055</v>
      </c>
      <c r="C771" s="29">
        <v>41540.03</v>
      </c>
      <c r="D771" s="30">
        <f t="shared" si="22"/>
        <v>-3.888888888888889E-2</v>
      </c>
      <c r="E771" s="30">
        <f t="shared" si="23"/>
        <v>-1.5406250103697462E-2</v>
      </c>
    </row>
    <row r="772" spans="1:5" x14ac:dyDescent="0.35">
      <c r="A772" s="27">
        <v>44778</v>
      </c>
      <c r="B772" s="28">
        <v>6300</v>
      </c>
      <c r="C772" s="29">
        <v>42190.02</v>
      </c>
      <c r="D772" s="30">
        <f t="shared" si="22"/>
        <v>2.4406900925218356E-2</v>
      </c>
      <c r="E772" s="30">
        <f t="shared" si="23"/>
        <v>-3.7124033850621727E-3</v>
      </c>
    </row>
    <row r="773" spans="1:5" x14ac:dyDescent="0.35">
      <c r="A773" s="27">
        <v>44777</v>
      </c>
      <c r="B773" s="28">
        <v>6149.9</v>
      </c>
      <c r="C773" s="29">
        <v>42347.23</v>
      </c>
      <c r="D773" s="30">
        <f t="shared" ref="D773:D836" si="24">(B773-B774)/B774</f>
        <v>-3.2576985413290704E-3</v>
      </c>
      <c r="E773" s="30">
        <f t="shared" ref="E773:E836" si="25">(C773-C774)/C774</f>
        <v>3.1684191874254385E-3</v>
      </c>
    </row>
    <row r="774" spans="1:5" x14ac:dyDescent="0.35">
      <c r="A774" s="27">
        <v>44776</v>
      </c>
      <c r="B774" s="28">
        <v>6170</v>
      </c>
      <c r="C774" s="29">
        <v>42213.48</v>
      </c>
      <c r="D774" s="30">
        <f t="shared" si="24"/>
        <v>2.8333333333333332E-2</v>
      </c>
      <c r="E774" s="30">
        <f t="shared" si="25"/>
        <v>1.8140809131349123E-3</v>
      </c>
    </row>
    <row r="775" spans="1:5" x14ac:dyDescent="0.35">
      <c r="A775" s="27">
        <v>44775</v>
      </c>
      <c r="B775" s="28">
        <v>6000</v>
      </c>
      <c r="C775" s="29">
        <v>42137.04</v>
      </c>
      <c r="D775" s="30">
        <f t="shared" si="24"/>
        <v>-4.6104928457869634E-2</v>
      </c>
      <c r="E775" s="30">
        <f t="shared" si="25"/>
        <v>-2.1079404775014958E-3</v>
      </c>
    </row>
    <row r="776" spans="1:5" x14ac:dyDescent="0.35">
      <c r="A776" s="27">
        <v>44774</v>
      </c>
      <c r="B776" s="28">
        <v>6290</v>
      </c>
      <c r="C776" s="29">
        <v>42226.05</v>
      </c>
      <c r="D776" s="30">
        <f t="shared" si="24"/>
        <v>6.7911714770797965E-2</v>
      </c>
      <c r="E776" s="30">
        <f t="shared" si="25"/>
        <v>9.2446663731624527E-3</v>
      </c>
    </row>
    <row r="777" spans="1:5" x14ac:dyDescent="0.35">
      <c r="A777" s="27">
        <v>44769</v>
      </c>
      <c r="B777" s="28">
        <v>5890</v>
      </c>
      <c r="C777" s="29">
        <v>41839.26</v>
      </c>
      <c r="D777" s="30">
        <f t="shared" si="24"/>
        <v>-1.8333333333333333E-2</v>
      </c>
      <c r="E777" s="30">
        <f t="shared" si="25"/>
        <v>2.0071631367882506E-3</v>
      </c>
    </row>
    <row r="778" spans="1:5" x14ac:dyDescent="0.35">
      <c r="A778" s="27">
        <v>44768</v>
      </c>
      <c r="B778" s="28">
        <v>6000</v>
      </c>
      <c r="C778" s="29">
        <v>41755.449999999997</v>
      </c>
      <c r="D778" s="30">
        <f t="shared" si="24"/>
        <v>1.6604540833615723E-2</v>
      </c>
      <c r="E778" s="30">
        <f t="shared" si="25"/>
        <v>-4.6020715877803237E-3</v>
      </c>
    </row>
    <row r="779" spans="1:5" x14ac:dyDescent="0.35">
      <c r="A779" s="27">
        <v>44763</v>
      </c>
      <c r="B779" s="28">
        <v>5902</v>
      </c>
      <c r="C779" s="29">
        <v>41948.5</v>
      </c>
      <c r="D779" s="30">
        <f t="shared" si="24"/>
        <v>-1.3043478260869565E-2</v>
      </c>
      <c r="E779" s="30">
        <f t="shared" si="25"/>
        <v>-3.260488355670312E-3</v>
      </c>
    </row>
    <row r="780" spans="1:5" x14ac:dyDescent="0.35">
      <c r="A780" s="27">
        <v>44761</v>
      </c>
      <c r="B780" s="28">
        <v>5980</v>
      </c>
      <c r="C780" s="29">
        <v>42085.72</v>
      </c>
      <c r="D780" s="30">
        <f t="shared" si="24"/>
        <v>5.0420168067226894E-3</v>
      </c>
      <c r="E780" s="30">
        <f t="shared" si="25"/>
        <v>1.8706343731089939E-3</v>
      </c>
    </row>
    <row r="781" spans="1:5" x14ac:dyDescent="0.35">
      <c r="A781" s="27">
        <v>44757</v>
      </c>
      <c r="B781" s="28">
        <v>5950</v>
      </c>
      <c r="C781" s="29">
        <v>42007.14</v>
      </c>
      <c r="D781" s="30">
        <f t="shared" si="24"/>
        <v>-8.3333333333333332E-3</v>
      </c>
      <c r="E781" s="30">
        <f t="shared" si="25"/>
        <v>-3.5188782099030485E-3</v>
      </c>
    </row>
    <row r="782" spans="1:5" x14ac:dyDescent="0.35">
      <c r="A782" s="27">
        <v>44756</v>
      </c>
      <c r="B782" s="28">
        <v>6000</v>
      </c>
      <c r="C782" s="29">
        <v>42155.48</v>
      </c>
      <c r="D782" s="30">
        <f t="shared" si="24"/>
        <v>2.564102564102564E-2</v>
      </c>
      <c r="E782" s="30">
        <f t="shared" si="25"/>
        <v>1.6687556804344326E-3</v>
      </c>
    </row>
    <row r="783" spans="1:5" x14ac:dyDescent="0.35">
      <c r="A783" s="27">
        <v>44749</v>
      </c>
      <c r="B783" s="28">
        <v>5850</v>
      </c>
      <c r="C783" s="29">
        <v>42085.25</v>
      </c>
      <c r="D783" s="30">
        <f t="shared" si="24"/>
        <v>3.3568904593639579E-2</v>
      </c>
      <c r="E783" s="30">
        <f t="shared" si="25"/>
        <v>-1.7865033608416515E-3</v>
      </c>
    </row>
    <row r="784" spans="1:5" x14ac:dyDescent="0.35">
      <c r="A784" s="27">
        <v>44747</v>
      </c>
      <c r="B784" s="28">
        <v>5660</v>
      </c>
      <c r="C784" s="29">
        <v>42160.57</v>
      </c>
      <c r="D784" s="30">
        <f t="shared" si="24"/>
        <v>-2.4137931034482758E-2</v>
      </c>
      <c r="E784" s="30">
        <f t="shared" si="25"/>
        <v>1.3197098296573428E-2</v>
      </c>
    </row>
    <row r="785" spans="1:5" x14ac:dyDescent="0.35">
      <c r="A785" s="27">
        <v>44746</v>
      </c>
      <c r="B785" s="28">
        <v>5800</v>
      </c>
      <c r="C785" s="29">
        <v>41611.42</v>
      </c>
      <c r="D785" s="30">
        <f t="shared" si="24"/>
        <v>0</v>
      </c>
      <c r="E785" s="30">
        <f t="shared" si="25"/>
        <v>6.3116635062802967E-3</v>
      </c>
    </row>
    <row r="786" spans="1:5" x14ac:dyDescent="0.35">
      <c r="A786" s="27">
        <v>44741</v>
      </c>
      <c r="B786" s="28">
        <v>5800</v>
      </c>
      <c r="C786" s="29">
        <v>41350.43</v>
      </c>
      <c r="D786" s="30">
        <f t="shared" si="24"/>
        <v>-3.1719532554257093E-2</v>
      </c>
      <c r="E786" s="30">
        <f t="shared" si="25"/>
        <v>3.3662770523905398E-3</v>
      </c>
    </row>
    <row r="787" spans="1:5" x14ac:dyDescent="0.35">
      <c r="A787" s="27">
        <v>44740</v>
      </c>
      <c r="B787" s="28">
        <v>5990</v>
      </c>
      <c r="C787" s="29">
        <v>41211.699999999997</v>
      </c>
      <c r="D787" s="30">
        <f t="shared" si="24"/>
        <v>5.0877192982456139E-2</v>
      </c>
      <c r="E787" s="30">
        <f t="shared" si="25"/>
        <v>2.018786408604967E-3</v>
      </c>
    </row>
    <row r="788" spans="1:5" x14ac:dyDescent="0.35">
      <c r="A788" s="27">
        <v>44736</v>
      </c>
      <c r="B788" s="28">
        <v>5700</v>
      </c>
      <c r="C788" s="29">
        <v>41128.67</v>
      </c>
      <c r="D788" s="30">
        <f t="shared" si="24"/>
        <v>-2.5657681065280998E-2</v>
      </c>
      <c r="E788" s="30">
        <f t="shared" si="25"/>
        <v>2.7992976032979503E-3</v>
      </c>
    </row>
    <row r="789" spans="1:5" x14ac:dyDescent="0.35">
      <c r="A789" s="27">
        <v>44734</v>
      </c>
      <c r="B789" s="28">
        <v>5850.1</v>
      </c>
      <c r="C789" s="29">
        <v>41013.86</v>
      </c>
      <c r="D789" s="30">
        <f t="shared" si="24"/>
        <v>-5.0850340136053803E-3</v>
      </c>
      <c r="E789" s="30">
        <f t="shared" si="25"/>
        <v>-1.0166976669314102E-2</v>
      </c>
    </row>
    <row r="790" spans="1:5" x14ac:dyDescent="0.35">
      <c r="A790" s="27">
        <v>44728</v>
      </c>
      <c r="B790" s="28">
        <v>5880</v>
      </c>
      <c r="C790" s="29">
        <v>41435.129999999997</v>
      </c>
      <c r="D790" s="30">
        <f t="shared" si="24"/>
        <v>1.3793103448275862E-2</v>
      </c>
      <c r="E790" s="30">
        <f t="shared" si="25"/>
        <v>-2.001530412062504E-3</v>
      </c>
    </row>
    <row r="791" spans="1:5" x14ac:dyDescent="0.35">
      <c r="A791" s="27">
        <v>44722</v>
      </c>
      <c r="B791" s="28">
        <v>5800</v>
      </c>
      <c r="C791" s="29">
        <v>41518.230000000003</v>
      </c>
      <c r="D791" s="30">
        <f t="shared" si="24"/>
        <v>4.311613651711595E-3</v>
      </c>
      <c r="E791" s="30">
        <f t="shared" si="25"/>
        <v>8.9107236327000718E-3</v>
      </c>
    </row>
    <row r="792" spans="1:5" x14ac:dyDescent="0.35">
      <c r="A792" s="27">
        <v>44721</v>
      </c>
      <c r="B792" s="28">
        <v>5775.1</v>
      </c>
      <c r="C792" s="29">
        <v>41151.54</v>
      </c>
      <c r="D792" s="30">
        <f t="shared" si="24"/>
        <v>-4.2931034482757997E-3</v>
      </c>
      <c r="E792" s="30">
        <f t="shared" si="25"/>
        <v>1.3080434591549422E-2</v>
      </c>
    </row>
    <row r="793" spans="1:5" x14ac:dyDescent="0.35">
      <c r="A793" s="27">
        <v>44720</v>
      </c>
      <c r="B793" s="28">
        <v>5800</v>
      </c>
      <c r="C793" s="29">
        <v>40620.21</v>
      </c>
      <c r="D793" s="30">
        <f t="shared" si="24"/>
        <v>2.6548672566371681E-2</v>
      </c>
      <c r="E793" s="30">
        <f t="shared" si="25"/>
        <v>-7.5190670434262643E-3</v>
      </c>
    </row>
    <row r="794" spans="1:5" x14ac:dyDescent="0.35">
      <c r="A794" s="27">
        <v>44719</v>
      </c>
      <c r="B794" s="28">
        <v>5650</v>
      </c>
      <c r="C794" s="29">
        <v>40927.949999999997</v>
      </c>
      <c r="D794" s="30">
        <f t="shared" si="24"/>
        <v>-1.7667844522968198E-3</v>
      </c>
      <c r="E794" s="30">
        <f t="shared" si="25"/>
        <v>-9.1857603383144225E-4</v>
      </c>
    </row>
    <row r="795" spans="1:5" x14ac:dyDescent="0.35">
      <c r="A795" s="27">
        <v>44715</v>
      </c>
      <c r="B795" s="28">
        <v>5660</v>
      </c>
      <c r="C795" s="29">
        <v>40965.58</v>
      </c>
      <c r="D795" s="30">
        <f t="shared" si="24"/>
        <v>-2.6431718061674008E-3</v>
      </c>
      <c r="E795" s="30">
        <f t="shared" si="25"/>
        <v>-6.1941863971465387E-3</v>
      </c>
    </row>
    <row r="796" spans="1:5" x14ac:dyDescent="0.35">
      <c r="A796" s="27">
        <v>44714</v>
      </c>
      <c r="B796" s="28">
        <v>5675</v>
      </c>
      <c r="C796" s="29">
        <v>41220.910000000003</v>
      </c>
      <c r="D796" s="30">
        <f t="shared" si="24"/>
        <v>-1.8166089965397925E-2</v>
      </c>
      <c r="E796" s="30">
        <f t="shared" si="25"/>
        <v>-7.2176238343432267E-3</v>
      </c>
    </row>
    <row r="797" spans="1:5" x14ac:dyDescent="0.35">
      <c r="A797" s="27">
        <v>44713</v>
      </c>
      <c r="B797" s="28">
        <v>5780</v>
      </c>
      <c r="C797" s="29">
        <v>41520.589999999997</v>
      </c>
      <c r="D797" s="30">
        <f t="shared" si="24"/>
        <v>1.2259194395796848E-2</v>
      </c>
      <c r="E797" s="30">
        <f t="shared" si="25"/>
        <v>-3.8124266875626707E-3</v>
      </c>
    </row>
    <row r="798" spans="1:5" x14ac:dyDescent="0.35">
      <c r="A798" s="27">
        <v>44712</v>
      </c>
      <c r="B798" s="28">
        <v>5710</v>
      </c>
      <c r="C798" s="29">
        <v>41679.49</v>
      </c>
      <c r="D798" s="30">
        <f t="shared" si="24"/>
        <v>-1.4667817083692839E-2</v>
      </c>
      <c r="E798" s="30">
        <f t="shared" si="25"/>
        <v>-2.2167911636692956E-3</v>
      </c>
    </row>
    <row r="799" spans="1:5" x14ac:dyDescent="0.35">
      <c r="A799" s="27">
        <v>44711</v>
      </c>
      <c r="B799" s="28">
        <v>5795</v>
      </c>
      <c r="C799" s="29">
        <v>41772.089999999997</v>
      </c>
      <c r="D799" s="30">
        <f t="shared" si="24"/>
        <v>3.4632034632034632E-3</v>
      </c>
      <c r="E799" s="30">
        <f t="shared" si="25"/>
        <v>-3.9470527893572908E-3</v>
      </c>
    </row>
    <row r="800" spans="1:5" x14ac:dyDescent="0.35">
      <c r="A800" s="27">
        <v>44708</v>
      </c>
      <c r="B800" s="28">
        <v>5775</v>
      </c>
      <c r="C800" s="29">
        <v>41937.620000000003</v>
      </c>
      <c r="D800" s="30">
        <f t="shared" si="24"/>
        <v>0</v>
      </c>
      <c r="E800" s="30">
        <f t="shared" si="25"/>
        <v>-1.5170944546053506E-3</v>
      </c>
    </row>
    <row r="801" spans="1:5" x14ac:dyDescent="0.35">
      <c r="A801" s="27">
        <v>44707</v>
      </c>
      <c r="B801" s="28">
        <v>5775</v>
      </c>
      <c r="C801" s="29">
        <v>42001.34</v>
      </c>
      <c r="D801" s="30">
        <f t="shared" si="24"/>
        <v>-8.4776553227558201E-4</v>
      </c>
      <c r="E801" s="30">
        <f t="shared" si="25"/>
        <v>3.3216051964666919E-3</v>
      </c>
    </row>
    <row r="802" spans="1:5" x14ac:dyDescent="0.35">
      <c r="A802" s="27">
        <v>44706</v>
      </c>
      <c r="B802" s="28">
        <v>5779.9</v>
      </c>
      <c r="C802" s="29">
        <v>41862.29</v>
      </c>
      <c r="D802" s="30">
        <f t="shared" si="24"/>
        <v>-1.7301038062346676E-5</v>
      </c>
      <c r="E802" s="30">
        <f t="shared" si="25"/>
        <v>-2.0470504546564764E-3</v>
      </c>
    </row>
    <row r="803" spans="1:5" x14ac:dyDescent="0.35">
      <c r="A803" s="27">
        <v>44705</v>
      </c>
      <c r="B803" s="28">
        <v>5780</v>
      </c>
      <c r="C803" s="29">
        <v>41948.160000000003</v>
      </c>
      <c r="D803" s="30">
        <f t="shared" si="24"/>
        <v>0</v>
      </c>
      <c r="E803" s="30">
        <f t="shared" si="25"/>
        <v>2.9496860593921123E-3</v>
      </c>
    </row>
    <row r="804" spans="1:5" x14ac:dyDescent="0.35">
      <c r="A804" s="27">
        <v>44704</v>
      </c>
      <c r="B804" s="28">
        <v>5780</v>
      </c>
      <c r="C804" s="29">
        <v>41824.79</v>
      </c>
      <c r="D804" s="30">
        <f t="shared" si="24"/>
        <v>0</v>
      </c>
      <c r="E804" s="30">
        <f t="shared" si="25"/>
        <v>1.406405441740312E-3</v>
      </c>
    </row>
    <row r="805" spans="1:5" x14ac:dyDescent="0.35">
      <c r="A805" s="27">
        <v>44701</v>
      </c>
      <c r="B805" s="28">
        <v>5780</v>
      </c>
      <c r="C805" s="29">
        <v>41766.050000000003</v>
      </c>
      <c r="D805" s="30">
        <f t="shared" si="24"/>
        <v>-3.4482758620689655E-3</v>
      </c>
      <c r="E805" s="30">
        <f t="shared" si="25"/>
        <v>-2.2529667685609409E-3</v>
      </c>
    </row>
    <row r="806" spans="1:5" x14ac:dyDescent="0.35">
      <c r="A806" s="27">
        <v>44700</v>
      </c>
      <c r="B806" s="28">
        <v>5800</v>
      </c>
      <c r="C806" s="29">
        <v>41860.36</v>
      </c>
      <c r="D806" s="30">
        <f t="shared" si="24"/>
        <v>1.7271157167530224E-3</v>
      </c>
      <c r="E806" s="30">
        <f t="shared" si="25"/>
        <v>2.5322927043635981E-5</v>
      </c>
    </row>
    <row r="807" spans="1:5" x14ac:dyDescent="0.35">
      <c r="A807" s="27">
        <v>44699</v>
      </c>
      <c r="B807" s="28">
        <v>5790</v>
      </c>
      <c r="C807" s="29">
        <v>41859.300000000003</v>
      </c>
      <c r="D807" s="30">
        <f t="shared" si="24"/>
        <v>1.5611296263813365E-2</v>
      </c>
      <c r="E807" s="30">
        <f t="shared" si="25"/>
        <v>-1.0631516474820616E-2</v>
      </c>
    </row>
    <row r="808" spans="1:5" x14ac:dyDescent="0.35">
      <c r="A808" s="27">
        <v>44698</v>
      </c>
      <c r="B808" s="28">
        <v>5701</v>
      </c>
      <c r="C808" s="29">
        <v>42309.11</v>
      </c>
      <c r="D808" s="30">
        <f t="shared" si="24"/>
        <v>6.3548102383053839E-3</v>
      </c>
      <c r="E808" s="30">
        <f t="shared" si="25"/>
        <v>-3.5555750248233435E-3</v>
      </c>
    </row>
    <row r="809" spans="1:5" x14ac:dyDescent="0.35">
      <c r="A809" s="27">
        <v>44697</v>
      </c>
      <c r="B809" s="28">
        <v>5665</v>
      </c>
      <c r="C809" s="29">
        <v>42460.08</v>
      </c>
      <c r="D809" s="30">
        <f t="shared" si="24"/>
        <v>-2.1419934358265676E-2</v>
      </c>
      <c r="E809" s="30">
        <f t="shared" si="25"/>
        <v>6.2762988725034632E-3</v>
      </c>
    </row>
    <row r="810" spans="1:5" x14ac:dyDescent="0.35">
      <c r="A810" s="27">
        <v>44694</v>
      </c>
      <c r="B810" s="28">
        <v>5789</v>
      </c>
      <c r="C810" s="29">
        <v>42195.25</v>
      </c>
      <c r="D810" s="30">
        <f t="shared" si="24"/>
        <v>1.8293755496921724E-2</v>
      </c>
      <c r="E810" s="30">
        <f t="shared" si="25"/>
        <v>-7.2719632865725367E-3</v>
      </c>
    </row>
    <row r="811" spans="1:5" x14ac:dyDescent="0.35">
      <c r="A811" s="27">
        <v>44693</v>
      </c>
      <c r="B811" s="28">
        <v>5685</v>
      </c>
      <c r="C811" s="29">
        <v>42504.34</v>
      </c>
      <c r="D811" s="30">
        <f t="shared" si="24"/>
        <v>-1.1304347826086957E-2</v>
      </c>
      <c r="E811" s="30">
        <f t="shared" si="25"/>
        <v>-2.0466520205554002E-3</v>
      </c>
    </row>
    <row r="812" spans="1:5" x14ac:dyDescent="0.35">
      <c r="A812" s="27">
        <v>44692</v>
      </c>
      <c r="B812" s="28">
        <v>5750</v>
      </c>
      <c r="C812" s="29">
        <v>42591.51</v>
      </c>
      <c r="D812" s="30">
        <f t="shared" si="24"/>
        <v>-8.6206896551724137E-3</v>
      </c>
      <c r="E812" s="30">
        <f t="shared" si="25"/>
        <v>-1.0249445942921783E-2</v>
      </c>
    </row>
    <row r="813" spans="1:5" x14ac:dyDescent="0.35">
      <c r="A813" s="27">
        <v>44691</v>
      </c>
      <c r="B813" s="28">
        <v>5800</v>
      </c>
      <c r="C813" s="29">
        <v>43032.57</v>
      </c>
      <c r="D813" s="30">
        <f t="shared" si="24"/>
        <v>1.7543859649122806E-2</v>
      </c>
      <c r="E813" s="30">
        <f t="shared" si="25"/>
        <v>-7.0469382852958147E-3</v>
      </c>
    </row>
    <row r="814" spans="1:5" x14ac:dyDescent="0.35">
      <c r="A814" s="27">
        <v>44690</v>
      </c>
      <c r="B814" s="28">
        <v>5700</v>
      </c>
      <c r="C814" s="29">
        <v>43337.97</v>
      </c>
      <c r="D814" s="30">
        <f t="shared" si="24"/>
        <v>-1.7241379310344827E-2</v>
      </c>
      <c r="E814" s="30">
        <f t="shared" si="25"/>
        <v>-6.6433339067363713E-4</v>
      </c>
    </row>
    <row r="815" spans="1:5" x14ac:dyDescent="0.35">
      <c r="A815" s="27">
        <v>44687</v>
      </c>
      <c r="B815" s="28">
        <v>5800</v>
      </c>
      <c r="C815" s="29">
        <v>43366.78</v>
      </c>
      <c r="D815" s="30">
        <f t="shared" si="24"/>
        <v>-8.5470085470085479E-3</v>
      </c>
      <c r="E815" s="30">
        <f t="shared" si="25"/>
        <v>1.2611770331844588E-2</v>
      </c>
    </row>
    <row r="816" spans="1:5" x14ac:dyDescent="0.35">
      <c r="A816" s="27">
        <v>44679</v>
      </c>
      <c r="B816" s="28">
        <v>5850</v>
      </c>
      <c r="C816" s="29">
        <v>42826.66</v>
      </c>
      <c r="D816" s="30">
        <f t="shared" si="24"/>
        <v>8.6206896551724137E-3</v>
      </c>
      <c r="E816" s="30">
        <f t="shared" si="25"/>
        <v>-1.0260765669108229E-2</v>
      </c>
    </row>
    <row r="817" spans="1:5" x14ac:dyDescent="0.35">
      <c r="A817" s="27">
        <v>44678</v>
      </c>
      <c r="B817" s="28">
        <v>5800</v>
      </c>
      <c r="C817" s="29">
        <v>43270.65</v>
      </c>
      <c r="D817" s="30">
        <f t="shared" si="24"/>
        <v>-8.5470085470085479E-3</v>
      </c>
      <c r="E817" s="30">
        <f t="shared" si="25"/>
        <v>-4.8491887354391765E-3</v>
      </c>
    </row>
    <row r="818" spans="1:5" x14ac:dyDescent="0.35">
      <c r="A818" s="27">
        <v>44677</v>
      </c>
      <c r="B818" s="28">
        <v>5850</v>
      </c>
      <c r="C818" s="29">
        <v>43481.5</v>
      </c>
      <c r="D818" s="30">
        <f t="shared" si="24"/>
        <v>2.6315789473684209E-2</v>
      </c>
      <c r="E818" s="30">
        <f t="shared" si="25"/>
        <v>-4.4660110594789901E-3</v>
      </c>
    </row>
    <row r="819" spans="1:5" x14ac:dyDescent="0.35">
      <c r="A819" s="27">
        <v>44676</v>
      </c>
      <c r="B819" s="28">
        <v>5700</v>
      </c>
      <c r="C819" s="29">
        <v>43676.56</v>
      </c>
      <c r="D819" s="30">
        <f t="shared" si="24"/>
        <v>1.4234875444839857E-2</v>
      </c>
      <c r="E819" s="30">
        <f t="shared" si="25"/>
        <v>5.5271513713817154E-3</v>
      </c>
    </row>
    <row r="820" spans="1:5" x14ac:dyDescent="0.35">
      <c r="A820" s="27">
        <v>44673</v>
      </c>
      <c r="B820" s="28">
        <v>5620</v>
      </c>
      <c r="C820" s="29">
        <v>43436.480000000003</v>
      </c>
      <c r="D820" s="30">
        <f t="shared" si="24"/>
        <v>2.1632430467187783E-2</v>
      </c>
      <c r="E820" s="30">
        <f t="shared" si="25"/>
        <v>-4.2487910866625123E-3</v>
      </c>
    </row>
    <row r="821" spans="1:5" x14ac:dyDescent="0.35">
      <c r="A821" s="27">
        <v>44672</v>
      </c>
      <c r="B821" s="28">
        <v>5501</v>
      </c>
      <c r="C821" s="29">
        <v>43621.82</v>
      </c>
      <c r="D821" s="30">
        <f t="shared" si="24"/>
        <v>-1.7678571428571429E-2</v>
      </c>
      <c r="E821" s="30">
        <f t="shared" si="25"/>
        <v>1.7832322271188032E-2</v>
      </c>
    </row>
    <row r="822" spans="1:5" x14ac:dyDescent="0.35">
      <c r="A822" s="27">
        <v>44671</v>
      </c>
      <c r="B822" s="28">
        <v>5600</v>
      </c>
      <c r="C822" s="29">
        <v>42857.57</v>
      </c>
      <c r="D822" s="30">
        <f t="shared" si="24"/>
        <v>0</v>
      </c>
      <c r="E822" s="30">
        <f t="shared" si="25"/>
        <v>1.454052036143926E-2</v>
      </c>
    </row>
    <row r="823" spans="1:5" x14ac:dyDescent="0.35">
      <c r="A823" s="27">
        <v>44670</v>
      </c>
      <c r="B823" s="28">
        <v>5600</v>
      </c>
      <c r="C823" s="29">
        <v>42243.33</v>
      </c>
      <c r="D823" s="30">
        <f t="shared" si="24"/>
        <v>3.5842293906810036E-3</v>
      </c>
      <c r="E823" s="30">
        <f t="shared" si="25"/>
        <v>-5.9188348705783598E-3</v>
      </c>
    </row>
    <row r="824" spans="1:5" x14ac:dyDescent="0.35">
      <c r="A824" s="27">
        <v>44666</v>
      </c>
      <c r="B824" s="28">
        <v>5580</v>
      </c>
      <c r="C824" s="29">
        <v>42494.85</v>
      </c>
      <c r="D824" s="30">
        <f t="shared" si="24"/>
        <v>5.4054054054054057E-3</v>
      </c>
      <c r="E824" s="30">
        <f t="shared" si="25"/>
        <v>9.4690167102810269E-3</v>
      </c>
    </row>
    <row r="825" spans="1:5" x14ac:dyDescent="0.35">
      <c r="A825" s="27">
        <v>44665</v>
      </c>
      <c r="B825" s="28">
        <v>5550</v>
      </c>
      <c r="C825" s="29">
        <v>42096.24</v>
      </c>
      <c r="D825" s="30">
        <f t="shared" si="24"/>
        <v>1.928374655647383E-2</v>
      </c>
      <c r="E825" s="30">
        <f t="shared" si="25"/>
        <v>1.6194665249821435E-2</v>
      </c>
    </row>
    <row r="826" spans="1:5" x14ac:dyDescent="0.35">
      <c r="A826" s="27">
        <v>44664</v>
      </c>
      <c r="B826" s="28">
        <v>5445</v>
      </c>
      <c r="C826" s="29">
        <v>41425.370000000003</v>
      </c>
      <c r="D826" s="30">
        <f t="shared" si="24"/>
        <v>-1.9801980198019802E-2</v>
      </c>
      <c r="E826" s="30">
        <f t="shared" si="25"/>
        <v>8.6805407599478621E-3</v>
      </c>
    </row>
    <row r="827" spans="1:5" x14ac:dyDescent="0.35">
      <c r="A827" s="27">
        <v>44663</v>
      </c>
      <c r="B827" s="28">
        <v>5555</v>
      </c>
      <c r="C827" s="29">
        <v>41068.870000000003</v>
      </c>
      <c r="D827" s="30">
        <f t="shared" si="24"/>
        <v>1.1673860387186138E-2</v>
      </c>
      <c r="E827" s="30">
        <f t="shared" si="25"/>
        <v>2.1826943483975934E-2</v>
      </c>
    </row>
    <row r="828" spans="1:5" x14ac:dyDescent="0.35">
      <c r="A828" s="27">
        <v>44662</v>
      </c>
      <c r="B828" s="28">
        <v>5490.9</v>
      </c>
      <c r="C828" s="29">
        <v>40191.61</v>
      </c>
      <c r="D828" s="30">
        <f t="shared" si="24"/>
        <v>-1.6545454545455207E-3</v>
      </c>
      <c r="E828" s="30">
        <f t="shared" si="25"/>
        <v>2.885769922916418E-3</v>
      </c>
    </row>
    <row r="829" spans="1:5" x14ac:dyDescent="0.35">
      <c r="A829" s="27">
        <v>44659</v>
      </c>
      <c r="B829" s="28">
        <v>5500</v>
      </c>
      <c r="C829" s="29">
        <v>40075.96</v>
      </c>
      <c r="D829" s="30">
        <f t="shared" si="24"/>
        <v>0</v>
      </c>
      <c r="E829" s="30">
        <f t="shared" si="25"/>
        <v>-1.8530344435268189E-3</v>
      </c>
    </row>
    <row r="830" spans="1:5" x14ac:dyDescent="0.35">
      <c r="A830" s="27">
        <v>44657</v>
      </c>
      <c r="B830" s="28">
        <v>5500</v>
      </c>
      <c r="C830" s="29">
        <v>40150.36</v>
      </c>
      <c r="D830" s="30">
        <f t="shared" si="24"/>
        <v>-6.6530889341479979E-2</v>
      </c>
      <c r="E830" s="30">
        <f t="shared" si="25"/>
        <v>-3.1353161534824862E-3</v>
      </c>
    </row>
    <row r="831" spans="1:5" x14ac:dyDescent="0.35">
      <c r="A831" s="27">
        <v>44652</v>
      </c>
      <c r="B831" s="28">
        <v>5892</v>
      </c>
      <c r="C831" s="29">
        <v>40276.639999999999</v>
      </c>
      <c r="D831" s="30">
        <f t="shared" si="24"/>
        <v>1.2075510589690329E-2</v>
      </c>
      <c r="E831" s="30">
        <f t="shared" si="25"/>
        <v>7.6052019581393671E-3</v>
      </c>
    </row>
    <row r="832" spans="1:5" x14ac:dyDescent="0.35">
      <c r="A832" s="27">
        <v>44651</v>
      </c>
      <c r="B832" s="28">
        <v>5821.7</v>
      </c>
      <c r="C832" s="29">
        <v>39972.639999999999</v>
      </c>
      <c r="D832" s="30">
        <f t="shared" si="24"/>
        <v>5.8490909090909059E-2</v>
      </c>
      <c r="E832" s="30">
        <f t="shared" si="25"/>
        <v>1.9699679526144001E-3</v>
      </c>
    </row>
    <row r="833" spans="1:5" x14ac:dyDescent="0.35">
      <c r="A833" s="27">
        <v>44650</v>
      </c>
      <c r="B833" s="28">
        <v>5500</v>
      </c>
      <c r="C833" s="29">
        <v>39894.050000000003</v>
      </c>
      <c r="D833" s="30">
        <f t="shared" si="24"/>
        <v>0</v>
      </c>
      <c r="E833" s="30">
        <f t="shared" si="25"/>
        <v>1.2556463931100857E-3</v>
      </c>
    </row>
    <row r="834" spans="1:5" x14ac:dyDescent="0.35">
      <c r="A834" s="27">
        <v>44644</v>
      </c>
      <c r="B834" s="28">
        <v>5500</v>
      </c>
      <c r="C834" s="29">
        <v>39844.019999999997</v>
      </c>
      <c r="D834" s="30">
        <f t="shared" si="24"/>
        <v>-2.8283414315759597E-3</v>
      </c>
      <c r="E834" s="30">
        <f t="shared" si="25"/>
        <v>-5.8207513979236652E-3</v>
      </c>
    </row>
    <row r="835" spans="1:5" x14ac:dyDescent="0.35">
      <c r="A835" s="27">
        <v>44642</v>
      </c>
      <c r="B835" s="28">
        <v>5515.6</v>
      </c>
      <c r="C835" s="29">
        <v>40077.300000000003</v>
      </c>
      <c r="D835" s="30">
        <f t="shared" si="24"/>
        <v>-2.2056737588652418E-2</v>
      </c>
      <c r="E835" s="30">
        <f t="shared" si="25"/>
        <v>6.1646801860325727E-3</v>
      </c>
    </row>
    <row r="836" spans="1:5" x14ac:dyDescent="0.35">
      <c r="A836" s="27">
        <v>44641</v>
      </c>
      <c r="B836" s="28">
        <v>5640</v>
      </c>
      <c r="C836" s="29">
        <v>39831.75</v>
      </c>
      <c r="D836" s="30">
        <f t="shared" si="24"/>
        <v>0</v>
      </c>
      <c r="E836" s="30">
        <f t="shared" si="25"/>
        <v>-1.5520382009752844E-2</v>
      </c>
    </row>
    <row r="837" spans="1:5" x14ac:dyDescent="0.35">
      <c r="A837" s="27">
        <v>44638</v>
      </c>
      <c r="B837" s="28">
        <v>5640</v>
      </c>
      <c r="C837" s="29">
        <v>40459.699999999997</v>
      </c>
      <c r="D837" s="30">
        <f t="shared" ref="D837:D900" si="26">(B837-B838)/B838</f>
        <v>7.1428571428571426E-3</v>
      </c>
      <c r="E837" s="30">
        <f t="shared" ref="E837:E900" si="27">(C837-C838)/C838</f>
        <v>1.7487404389355185E-3</v>
      </c>
    </row>
    <row r="838" spans="1:5" x14ac:dyDescent="0.35">
      <c r="A838" s="27">
        <v>44637</v>
      </c>
      <c r="B838" s="28">
        <v>5600</v>
      </c>
      <c r="C838" s="29">
        <v>40389.07</v>
      </c>
      <c r="D838" s="30">
        <f t="shared" si="26"/>
        <v>2.399063779988294E-2</v>
      </c>
      <c r="E838" s="30">
        <f t="shared" si="27"/>
        <v>-2.3642937589790556E-2</v>
      </c>
    </row>
    <row r="839" spans="1:5" x14ac:dyDescent="0.35">
      <c r="A839" s="27">
        <v>44636</v>
      </c>
      <c r="B839" s="28">
        <v>5468.8</v>
      </c>
      <c r="C839" s="29">
        <v>41367.11</v>
      </c>
      <c r="D839" s="30">
        <f t="shared" si="26"/>
        <v>3.4495412844037033E-3</v>
      </c>
      <c r="E839" s="30">
        <f t="shared" si="27"/>
        <v>-1.682237704132945E-2</v>
      </c>
    </row>
    <row r="840" spans="1:5" x14ac:dyDescent="0.35">
      <c r="A840" s="27">
        <v>44635</v>
      </c>
      <c r="B840" s="28">
        <v>5450</v>
      </c>
      <c r="C840" s="29">
        <v>42074.91</v>
      </c>
      <c r="D840" s="30">
        <f t="shared" si="26"/>
        <v>0</v>
      </c>
      <c r="E840" s="30">
        <f t="shared" si="27"/>
        <v>-6.4700602683752662E-3</v>
      </c>
    </row>
    <row r="841" spans="1:5" x14ac:dyDescent="0.35">
      <c r="A841" s="27">
        <v>44631</v>
      </c>
      <c r="B841" s="28">
        <v>5450</v>
      </c>
      <c r="C841" s="29">
        <v>42348.91</v>
      </c>
      <c r="D841" s="30">
        <f t="shared" si="26"/>
        <v>0</v>
      </c>
      <c r="E841" s="30">
        <f t="shared" si="27"/>
        <v>1.1612705036002317E-2</v>
      </c>
    </row>
    <row r="842" spans="1:5" x14ac:dyDescent="0.35">
      <c r="A842" s="27">
        <v>44630</v>
      </c>
      <c r="B842" s="28">
        <v>5450</v>
      </c>
      <c r="C842" s="29">
        <v>41862.769999999997</v>
      </c>
      <c r="D842" s="30">
        <f t="shared" si="26"/>
        <v>1.4897579143389199E-2</v>
      </c>
      <c r="E842" s="30">
        <f t="shared" si="27"/>
        <v>1.2547404085863823E-2</v>
      </c>
    </row>
    <row r="843" spans="1:5" x14ac:dyDescent="0.35">
      <c r="A843" s="27">
        <v>44629</v>
      </c>
      <c r="B843" s="28">
        <v>5370</v>
      </c>
      <c r="C843" s="29">
        <v>41344.01</v>
      </c>
      <c r="D843" s="30">
        <f t="shared" si="26"/>
        <v>-5.5555555555555558E-3</v>
      </c>
      <c r="E843" s="30">
        <f t="shared" si="27"/>
        <v>4.4757274028852231E-3</v>
      </c>
    </row>
    <row r="844" spans="1:5" x14ac:dyDescent="0.35">
      <c r="A844" s="27">
        <v>44628</v>
      </c>
      <c r="B844" s="28">
        <v>5400</v>
      </c>
      <c r="C844" s="29">
        <v>41159.79</v>
      </c>
      <c r="D844" s="30">
        <f t="shared" si="26"/>
        <v>-2.5270758122743681E-2</v>
      </c>
      <c r="E844" s="30">
        <f t="shared" si="27"/>
        <v>1.392127061641186E-3</v>
      </c>
    </row>
    <row r="845" spans="1:5" x14ac:dyDescent="0.35">
      <c r="A845" s="27">
        <v>44623</v>
      </c>
      <c r="B845" s="28">
        <v>5540</v>
      </c>
      <c r="C845" s="29">
        <v>41102.57</v>
      </c>
      <c r="D845" s="30">
        <f t="shared" si="26"/>
        <v>-3.5683202785030461E-2</v>
      </c>
      <c r="E845" s="30">
        <f t="shared" si="27"/>
        <v>-5.9402842059108904E-3</v>
      </c>
    </row>
    <row r="846" spans="1:5" x14ac:dyDescent="0.35">
      <c r="A846" s="27">
        <v>44622</v>
      </c>
      <c r="B846" s="28">
        <v>5745</v>
      </c>
      <c r="C846" s="29">
        <v>41348.19</v>
      </c>
      <c r="D846" s="30">
        <f t="shared" si="26"/>
        <v>4.4545454545454548E-2</v>
      </c>
      <c r="E846" s="30">
        <f t="shared" si="27"/>
        <v>-6.7777474847075803E-3</v>
      </c>
    </row>
    <row r="847" spans="1:5" x14ac:dyDescent="0.35">
      <c r="A847" s="27">
        <v>44621</v>
      </c>
      <c r="B847" s="28">
        <v>5500</v>
      </c>
      <c r="C847" s="29">
        <v>41630.35</v>
      </c>
      <c r="D847" s="30">
        <f t="shared" si="26"/>
        <v>1.8518518518518517E-2</v>
      </c>
      <c r="E847" s="30">
        <f t="shared" si="27"/>
        <v>2.1549882368743427E-3</v>
      </c>
    </row>
    <row r="848" spans="1:5" x14ac:dyDescent="0.35">
      <c r="A848" s="27">
        <v>44616</v>
      </c>
      <c r="B848" s="28">
        <v>5400</v>
      </c>
      <c r="C848" s="29">
        <v>41540.83</v>
      </c>
      <c r="D848" s="30">
        <f t="shared" si="26"/>
        <v>-3.5714285714285712E-2</v>
      </c>
      <c r="E848" s="30">
        <f t="shared" si="27"/>
        <v>5.8865220921343261E-3</v>
      </c>
    </row>
    <row r="849" spans="1:5" x14ac:dyDescent="0.35">
      <c r="A849" s="27">
        <v>44615</v>
      </c>
      <c r="B849" s="28">
        <v>5600</v>
      </c>
      <c r="C849" s="29">
        <v>41297.730000000003</v>
      </c>
      <c r="D849" s="30">
        <f t="shared" si="26"/>
        <v>-2.5222371146582125E-2</v>
      </c>
      <c r="E849" s="30">
        <f t="shared" si="27"/>
        <v>-1.120275480167658E-2</v>
      </c>
    </row>
    <row r="850" spans="1:5" x14ac:dyDescent="0.35">
      <c r="A850" s="27">
        <v>44614</v>
      </c>
      <c r="B850" s="28">
        <v>5744.9</v>
      </c>
      <c r="C850" s="29">
        <v>41765.620000000003</v>
      </c>
      <c r="D850" s="30">
        <f t="shared" si="26"/>
        <v>-1.0606850982438469E-3</v>
      </c>
      <c r="E850" s="30">
        <f t="shared" si="27"/>
        <v>-2.6970834964039386E-3</v>
      </c>
    </row>
    <row r="851" spans="1:5" x14ac:dyDescent="0.35">
      <c r="A851" s="27">
        <v>44613</v>
      </c>
      <c r="B851" s="28">
        <v>5751</v>
      </c>
      <c r="C851" s="29">
        <v>41878.57</v>
      </c>
      <c r="D851" s="30">
        <f t="shared" si="26"/>
        <v>3.4788658897199514E-4</v>
      </c>
      <c r="E851" s="30">
        <f t="shared" si="27"/>
        <v>2.0139925688989417E-2</v>
      </c>
    </row>
    <row r="852" spans="1:5" x14ac:dyDescent="0.35">
      <c r="A852" s="27">
        <v>44610</v>
      </c>
      <c r="B852" s="28">
        <v>5749</v>
      </c>
      <c r="C852" s="29">
        <v>41051.79</v>
      </c>
      <c r="D852" s="30">
        <f t="shared" si="26"/>
        <v>1.7522123893805308E-2</v>
      </c>
      <c r="E852" s="30">
        <f t="shared" si="27"/>
        <v>-3.8981697437809854E-2</v>
      </c>
    </row>
    <row r="853" spans="1:5" x14ac:dyDescent="0.35">
      <c r="A853" s="27">
        <v>44609</v>
      </c>
      <c r="B853" s="28">
        <v>5650</v>
      </c>
      <c r="C853" s="29">
        <v>42716.97</v>
      </c>
      <c r="D853" s="30">
        <f t="shared" si="26"/>
        <v>-8.771929824561403E-3</v>
      </c>
      <c r="E853" s="30">
        <f t="shared" si="27"/>
        <v>6.0961219686025284E-3</v>
      </c>
    </row>
    <row r="854" spans="1:5" x14ac:dyDescent="0.35">
      <c r="A854" s="27">
        <v>44608</v>
      </c>
      <c r="B854" s="28">
        <v>5700</v>
      </c>
      <c r="C854" s="29">
        <v>42458.14</v>
      </c>
      <c r="D854" s="30">
        <f t="shared" si="26"/>
        <v>1.7838967161300626E-2</v>
      </c>
      <c r="E854" s="30">
        <f t="shared" si="27"/>
        <v>7.5314256316211994E-3</v>
      </c>
    </row>
    <row r="855" spans="1:5" x14ac:dyDescent="0.35">
      <c r="A855" s="27">
        <v>44603</v>
      </c>
      <c r="B855" s="28">
        <v>5600.1</v>
      </c>
      <c r="C855" s="29">
        <v>42140.76</v>
      </c>
      <c r="D855" s="30">
        <f t="shared" si="26"/>
        <v>1.8200000000000067E-2</v>
      </c>
      <c r="E855" s="30">
        <f t="shared" si="27"/>
        <v>9.8394063190747061E-3</v>
      </c>
    </row>
    <row r="856" spans="1:5" x14ac:dyDescent="0.35">
      <c r="A856" s="27">
        <v>44602</v>
      </c>
      <c r="B856" s="28">
        <v>5500</v>
      </c>
      <c r="C856" s="29">
        <v>41730.160000000003</v>
      </c>
      <c r="D856" s="30">
        <f t="shared" si="26"/>
        <v>-2.6548672566371681E-2</v>
      </c>
      <c r="E856" s="30">
        <f t="shared" si="27"/>
        <v>7.0313346504567971E-3</v>
      </c>
    </row>
    <row r="857" spans="1:5" x14ac:dyDescent="0.35">
      <c r="A857" s="27">
        <v>44601</v>
      </c>
      <c r="B857" s="28">
        <v>5650</v>
      </c>
      <c r="C857" s="29">
        <v>41438.79</v>
      </c>
      <c r="D857" s="30">
        <f t="shared" si="26"/>
        <v>0</v>
      </c>
      <c r="E857" s="30">
        <f t="shared" si="27"/>
        <v>1.3670767048769423E-2</v>
      </c>
    </row>
    <row r="858" spans="1:5" x14ac:dyDescent="0.35">
      <c r="A858" s="27">
        <v>44600</v>
      </c>
      <c r="B858" s="28">
        <v>5650</v>
      </c>
      <c r="C858" s="29">
        <v>40879.93</v>
      </c>
      <c r="D858" s="30">
        <f t="shared" si="26"/>
        <v>0</v>
      </c>
      <c r="E858" s="30">
        <f t="shared" si="27"/>
        <v>-2.7009574975252793E-2</v>
      </c>
    </row>
    <row r="859" spans="1:5" x14ac:dyDescent="0.35">
      <c r="A859" s="27">
        <v>44596</v>
      </c>
      <c r="B859" s="28">
        <v>5650</v>
      </c>
      <c r="C859" s="29">
        <v>42014.73</v>
      </c>
      <c r="D859" s="30">
        <f t="shared" si="26"/>
        <v>-1.0213198325245726E-2</v>
      </c>
      <c r="E859" s="30">
        <f t="shared" si="27"/>
        <v>6.6793719372935014E-3</v>
      </c>
    </row>
    <row r="860" spans="1:5" x14ac:dyDescent="0.35">
      <c r="A860" s="27">
        <v>44593</v>
      </c>
      <c r="B860" s="28">
        <v>5708.3</v>
      </c>
      <c r="C860" s="29">
        <v>41735.96</v>
      </c>
      <c r="D860" s="30">
        <f t="shared" si="26"/>
        <v>1.9339285714285746E-2</v>
      </c>
      <c r="E860" s="30">
        <f t="shared" si="27"/>
        <v>4.399184081306828E-3</v>
      </c>
    </row>
    <row r="861" spans="1:5" x14ac:dyDescent="0.35">
      <c r="A861" s="27">
        <v>44589</v>
      </c>
      <c r="B861" s="28">
        <v>5600</v>
      </c>
      <c r="C861" s="29">
        <v>41553.160000000003</v>
      </c>
      <c r="D861" s="30">
        <f t="shared" si="26"/>
        <v>2.7522935779816515E-2</v>
      </c>
      <c r="E861" s="30">
        <f t="shared" si="27"/>
        <v>-3.6686512666710125E-4</v>
      </c>
    </row>
    <row r="862" spans="1:5" x14ac:dyDescent="0.35">
      <c r="A862" s="27">
        <v>44587</v>
      </c>
      <c r="B862" s="28">
        <v>5450</v>
      </c>
      <c r="C862" s="29">
        <v>41568.410000000003</v>
      </c>
      <c r="D862" s="30">
        <f t="shared" si="26"/>
        <v>0</v>
      </c>
      <c r="E862" s="30">
        <f t="shared" si="27"/>
        <v>-2.1165441355963121E-4</v>
      </c>
    </row>
    <row r="863" spans="1:5" x14ac:dyDescent="0.35">
      <c r="A863" s="27">
        <v>44582</v>
      </c>
      <c r="B863" s="28">
        <v>5450</v>
      </c>
      <c r="C863" s="29">
        <v>41577.21</v>
      </c>
      <c r="D863" s="30">
        <f t="shared" si="26"/>
        <v>9.2592592592592587E-3</v>
      </c>
      <c r="E863" s="30">
        <f t="shared" si="27"/>
        <v>6.3495283055403223E-3</v>
      </c>
    </row>
    <row r="864" spans="1:5" x14ac:dyDescent="0.35">
      <c r="A864" s="27">
        <v>44581</v>
      </c>
      <c r="B864" s="28">
        <v>5400</v>
      </c>
      <c r="C864" s="29">
        <v>41314.879999999997</v>
      </c>
      <c r="D864" s="30">
        <f t="shared" si="26"/>
        <v>-1.8181818181818181E-2</v>
      </c>
      <c r="E864" s="30">
        <f t="shared" si="27"/>
        <v>-2.1853117258879666E-2</v>
      </c>
    </row>
    <row r="865" spans="1:5" x14ac:dyDescent="0.35">
      <c r="A865" s="27">
        <v>44579</v>
      </c>
      <c r="B865" s="28">
        <v>5500</v>
      </c>
      <c r="C865" s="29">
        <v>42237.91</v>
      </c>
      <c r="D865" s="30">
        <f t="shared" si="26"/>
        <v>1.6635859519408502E-2</v>
      </c>
      <c r="E865" s="30">
        <f t="shared" si="27"/>
        <v>-1.21182878489214E-2</v>
      </c>
    </row>
    <row r="866" spans="1:5" x14ac:dyDescent="0.35">
      <c r="A866" s="27">
        <v>44578</v>
      </c>
      <c r="B866" s="28">
        <v>5410</v>
      </c>
      <c r="C866" s="29">
        <v>42756.04</v>
      </c>
      <c r="D866" s="30">
        <f t="shared" si="26"/>
        <v>-2.0672676586655048E-2</v>
      </c>
      <c r="E866" s="30">
        <f t="shared" si="27"/>
        <v>-7.4771102002082392E-3</v>
      </c>
    </row>
    <row r="867" spans="1:5" x14ac:dyDescent="0.35">
      <c r="A867" s="27">
        <v>44575</v>
      </c>
      <c r="B867" s="28">
        <v>5524.2</v>
      </c>
      <c r="C867" s="29">
        <v>43078.14</v>
      </c>
      <c r="D867" s="30">
        <f t="shared" si="26"/>
        <v>2.2999999999999965E-2</v>
      </c>
      <c r="E867" s="30">
        <f t="shared" si="27"/>
        <v>8.8289675637672187E-4</v>
      </c>
    </row>
    <row r="868" spans="1:5" x14ac:dyDescent="0.35">
      <c r="A868" s="27">
        <v>44574</v>
      </c>
      <c r="B868" s="28">
        <v>5400</v>
      </c>
      <c r="C868" s="29">
        <v>43040.14</v>
      </c>
      <c r="D868" s="30">
        <f t="shared" si="26"/>
        <v>-1.9981488539228029E-2</v>
      </c>
      <c r="E868" s="30">
        <f t="shared" si="27"/>
        <v>4.1690143473914754E-3</v>
      </c>
    </row>
    <row r="869" spans="1:5" x14ac:dyDescent="0.35">
      <c r="A869" s="27">
        <v>44573</v>
      </c>
      <c r="B869" s="28">
        <v>5510.1</v>
      </c>
      <c r="C869" s="29">
        <v>42861.45</v>
      </c>
      <c r="D869" s="30">
        <f t="shared" si="26"/>
        <v>-3.16168717047451E-2</v>
      </c>
      <c r="E869" s="30">
        <f t="shared" si="27"/>
        <v>7.5159179073901348E-3</v>
      </c>
    </row>
    <row r="870" spans="1:5" x14ac:dyDescent="0.35">
      <c r="A870" s="27">
        <v>44572</v>
      </c>
      <c r="B870" s="28">
        <v>5690</v>
      </c>
      <c r="C870" s="29">
        <v>42541.71</v>
      </c>
      <c r="D870" s="30">
        <f t="shared" si="26"/>
        <v>2.5225225225225224E-2</v>
      </c>
      <c r="E870" s="30">
        <f t="shared" si="27"/>
        <v>1.2592632792115414E-2</v>
      </c>
    </row>
    <row r="871" spans="1:5" x14ac:dyDescent="0.35">
      <c r="A871" s="27">
        <v>44567</v>
      </c>
      <c r="B871" s="28">
        <v>5550</v>
      </c>
      <c r="C871" s="29">
        <v>42012.66</v>
      </c>
      <c r="D871" s="30">
        <f t="shared" si="26"/>
        <v>6.8757823696956938E-3</v>
      </c>
      <c r="E871" s="30">
        <f t="shared" si="27"/>
        <v>1.4860434914442556E-3</v>
      </c>
    </row>
    <row r="872" spans="1:5" x14ac:dyDescent="0.35">
      <c r="A872" s="27">
        <v>44566</v>
      </c>
      <c r="B872" s="28">
        <v>5512.1</v>
      </c>
      <c r="C872" s="29">
        <v>41950.32</v>
      </c>
      <c r="D872" s="30">
        <f t="shared" si="26"/>
        <v>-3.7271853986551327E-2</v>
      </c>
      <c r="E872" s="30">
        <f t="shared" si="27"/>
        <v>-2.6690517787414065E-2</v>
      </c>
    </row>
    <row r="873" spans="1:5" x14ac:dyDescent="0.35">
      <c r="A873" s="27">
        <v>44561</v>
      </c>
      <c r="B873" s="28">
        <v>5725.5</v>
      </c>
      <c r="C873" s="29">
        <v>43100.7</v>
      </c>
      <c r="D873" s="30">
        <f t="shared" si="26"/>
        <v>5.587828492392808E-2</v>
      </c>
      <c r="E873" s="30">
        <f t="shared" si="27"/>
        <v>8.7684190866183179E-3</v>
      </c>
    </row>
    <row r="874" spans="1:5" x14ac:dyDescent="0.35">
      <c r="A874" s="27">
        <v>44560</v>
      </c>
      <c r="B874" s="28">
        <v>5422.5</v>
      </c>
      <c r="C874" s="29">
        <v>42726.06</v>
      </c>
      <c r="D874" s="30">
        <f t="shared" si="26"/>
        <v>-5.0458715596330278E-3</v>
      </c>
      <c r="E874" s="30">
        <f t="shared" si="27"/>
        <v>1.3766976693168908E-3</v>
      </c>
    </row>
    <row r="875" spans="1:5" x14ac:dyDescent="0.35">
      <c r="A875" s="27">
        <v>44559</v>
      </c>
      <c r="B875" s="28">
        <v>5450</v>
      </c>
      <c r="C875" s="29">
        <v>42667.32</v>
      </c>
      <c r="D875" s="30">
        <f t="shared" si="26"/>
        <v>-9.0909090909090905E-3</v>
      </c>
      <c r="E875" s="30">
        <f t="shared" si="27"/>
        <v>-1.8836667781189809E-2</v>
      </c>
    </row>
    <row r="876" spans="1:5" x14ac:dyDescent="0.35">
      <c r="A876" s="27">
        <v>44558</v>
      </c>
      <c r="B876" s="28">
        <v>5500</v>
      </c>
      <c r="C876" s="29">
        <v>43486.46</v>
      </c>
      <c r="D876" s="30">
        <f t="shared" si="26"/>
        <v>1.8518518518518517E-2</v>
      </c>
      <c r="E876" s="30">
        <f t="shared" si="27"/>
        <v>1.3707258352518105E-2</v>
      </c>
    </row>
    <row r="877" spans="1:5" x14ac:dyDescent="0.35">
      <c r="A877" s="27">
        <v>44557</v>
      </c>
      <c r="B877" s="28">
        <v>5400</v>
      </c>
      <c r="C877" s="29">
        <v>42898.44</v>
      </c>
      <c r="D877" s="30">
        <f t="shared" si="26"/>
        <v>-4.7619047619047616E-2</v>
      </c>
      <c r="E877" s="30">
        <f t="shared" si="27"/>
        <v>8.2331793160327397E-4</v>
      </c>
    </row>
    <row r="878" spans="1:5" x14ac:dyDescent="0.35">
      <c r="A878" s="27">
        <v>44554</v>
      </c>
      <c r="B878" s="28">
        <v>5670</v>
      </c>
      <c r="C878" s="29">
        <v>42863.15</v>
      </c>
      <c r="D878" s="30">
        <f t="shared" si="26"/>
        <v>1.521933751119069E-2</v>
      </c>
      <c r="E878" s="30">
        <f t="shared" si="27"/>
        <v>-1.4738982483594728E-2</v>
      </c>
    </row>
    <row r="879" spans="1:5" x14ac:dyDescent="0.35">
      <c r="A879" s="27">
        <v>44552</v>
      </c>
      <c r="B879" s="28">
        <v>5585</v>
      </c>
      <c r="C879" s="29">
        <v>43504.36</v>
      </c>
      <c r="D879" s="30">
        <f t="shared" si="26"/>
        <v>3.6370384115791424E-2</v>
      </c>
      <c r="E879" s="30">
        <f t="shared" si="27"/>
        <v>2.563077942734754E-3</v>
      </c>
    </row>
    <row r="880" spans="1:5" x14ac:dyDescent="0.35">
      <c r="A880" s="27">
        <v>44551</v>
      </c>
      <c r="B880" s="28">
        <v>5389</v>
      </c>
      <c r="C880" s="29">
        <v>43393.14</v>
      </c>
      <c r="D880" s="30">
        <f t="shared" si="26"/>
        <v>-1.1192660550458715E-2</v>
      </c>
      <c r="E880" s="30">
        <f t="shared" si="27"/>
        <v>-4.1023076322984187E-2</v>
      </c>
    </row>
    <row r="881" spans="1:5" x14ac:dyDescent="0.35">
      <c r="A881" s="27">
        <v>44547</v>
      </c>
      <c r="B881" s="28">
        <v>5450</v>
      </c>
      <c r="C881" s="29">
        <v>45249.41</v>
      </c>
      <c r="D881" s="30">
        <f t="shared" si="26"/>
        <v>-5.4744525547445258E-3</v>
      </c>
      <c r="E881" s="30">
        <f t="shared" si="27"/>
        <v>-1.2402638545347129E-2</v>
      </c>
    </row>
    <row r="882" spans="1:5" x14ac:dyDescent="0.35">
      <c r="A882" s="27">
        <v>44545</v>
      </c>
      <c r="B882" s="28">
        <v>5480</v>
      </c>
      <c r="C882" s="29">
        <v>45817.67</v>
      </c>
      <c r="D882" s="30">
        <f t="shared" si="26"/>
        <v>7.3529411764705881E-3</v>
      </c>
      <c r="E882" s="30">
        <f t="shared" si="27"/>
        <v>-5.5472535581926989E-3</v>
      </c>
    </row>
    <row r="883" spans="1:5" x14ac:dyDescent="0.35">
      <c r="A883" s="27">
        <v>44544</v>
      </c>
      <c r="B883" s="28">
        <v>5440</v>
      </c>
      <c r="C883" s="29">
        <v>46073.25</v>
      </c>
      <c r="D883" s="30">
        <f t="shared" si="26"/>
        <v>1.5645420260632571E-2</v>
      </c>
      <c r="E883" s="30">
        <f t="shared" si="27"/>
        <v>1.1420318565048009E-2</v>
      </c>
    </row>
    <row r="884" spans="1:5" x14ac:dyDescent="0.35">
      <c r="A884" s="27">
        <v>44543</v>
      </c>
      <c r="B884" s="28">
        <v>5356.2</v>
      </c>
      <c r="C884" s="29">
        <v>45553.02</v>
      </c>
      <c r="D884" s="30">
        <f t="shared" si="26"/>
        <v>-5.8664323374340979E-2</v>
      </c>
      <c r="E884" s="30">
        <f t="shared" si="27"/>
        <v>-2.181692967457417E-3</v>
      </c>
    </row>
    <row r="885" spans="1:5" x14ac:dyDescent="0.35">
      <c r="A885" s="27">
        <v>44540</v>
      </c>
      <c r="B885" s="28">
        <v>5690</v>
      </c>
      <c r="C885" s="29">
        <v>45652.62</v>
      </c>
      <c r="D885" s="30">
        <f t="shared" si="26"/>
        <v>7.3584905660377356E-2</v>
      </c>
      <c r="E885" s="30">
        <f t="shared" si="27"/>
        <v>-6.32390109866193E-3</v>
      </c>
    </row>
    <row r="886" spans="1:5" x14ac:dyDescent="0.35">
      <c r="A886" s="27">
        <v>44539</v>
      </c>
      <c r="B886" s="28">
        <v>5300</v>
      </c>
      <c r="C886" s="29">
        <v>45943.16</v>
      </c>
      <c r="D886" s="30">
        <f t="shared" si="26"/>
        <v>9.5238095238095247E-3</v>
      </c>
      <c r="E886" s="30">
        <f t="shared" si="27"/>
        <v>-8.4215778868615854E-3</v>
      </c>
    </row>
    <row r="887" spans="1:5" x14ac:dyDescent="0.35">
      <c r="A887" s="27">
        <v>44538</v>
      </c>
      <c r="B887" s="28">
        <v>5250</v>
      </c>
      <c r="C887" s="29">
        <v>46333.36</v>
      </c>
      <c r="D887" s="30">
        <f t="shared" si="26"/>
        <v>-2.5974025974025976E-2</v>
      </c>
      <c r="E887" s="30">
        <f t="shared" si="27"/>
        <v>-4.4312809803437447E-3</v>
      </c>
    </row>
    <row r="888" spans="1:5" x14ac:dyDescent="0.35">
      <c r="A888" s="27">
        <v>44537</v>
      </c>
      <c r="B888" s="28">
        <v>5390</v>
      </c>
      <c r="C888" s="29">
        <v>46539.59</v>
      </c>
      <c r="D888" s="30">
        <f t="shared" si="26"/>
        <v>3.148024112525117E-2</v>
      </c>
      <c r="E888" s="30">
        <f t="shared" si="27"/>
        <v>-1.3293552101498012E-3</v>
      </c>
    </row>
    <row r="889" spans="1:5" x14ac:dyDescent="0.35">
      <c r="A889" s="27">
        <v>44536</v>
      </c>
      <c r="B889" s="28">
        <v>5225.5</v>
      </c>
      <c r="C889" s="29">
        <v>46601.54</v>
      </c>
      <c r="D889" s="30">
        <f t="shared" si="26"/>
        <v>-2.3271028037383179E-2</v>
      </c>
      <c r="E889" s="30">
        <f t="shared" si="27"/>
        <v>2.5193381956065846E-3</v>
      </c>
    </row>
    <row r="890" spans="1:5" x14ac:dyDescent="0.35">
      <c r="A890" s="27">
        <v>44532</v>
      </c>
      <c r="B890" s="28">
        <v>5350</v>
      </c>
      <c r="C890" s="29">
        <v>46484.43</v>
      </c>
      <c r="D890" s="30">
        <f t="shared" si="26"/>
        <v>-3.1060400253554287E-2</v>
      </c>
      <c r="E890" s="30">
        <f t="shared" si="27"/>
        <v>6.9084056275790428E-3</v>
      </c>
    </row>
    <row r="891" spans="1:5" x14ac:dyDescent="0.35">
      <c r="A891" s="27">
        <v>44531</v>
      </c>
      <c r="B891" s="28">
        <v>5521.5</v>
      </c>
      <c r="C891" s="29">
        <v>46165.5</v>
      </c>
      <c r="D891" s="30">
        <f t="shared" si="26"/>
        <v>2.4359021928685425E-2</v>
      </c>
      <c r="E891" s="30">
        <f t="shared" si="27"/>
        <v>4.4511903358461844E-4</v>
      </c>
    </row>
    <row r="892" spans="1:5" x14ac:dyDescent="0.35">
      <c r="A892" s="27">
        <v>44530</v>
      </c>
      <c r="B892" s="28">
        <v>5390.2</v>
      </c>
      <c r="C892" s="29">
        <v>46144.959999999999</v>
      </c>
      <c r="D892" s="30">
        <f t="shared" si="26"/>
        <v>-1.9963636363636395E-2</v>
      </c>
      <c r="E892" s="30">
        <f t="shared" si="27"/>
        <v>3.8258433311778341E-2</v>
      </c>
    </row>
    <row r="893" spans="1:5" x14ac:dyDescent="0.35">
      <c r="A893" s="27">
        <v>44529</v>
      </c>
      <c r="B893" s="28">
        <v>5500</v>
      </c>
      <c r="C893" s="29">
        <v>44444.58</v>
      </c>
      <c r="D893" s="30">
        <f t="shared" si="26"/>
        <v>-5.4542479501151188E-5</v>
      </c>
      <c r="E893" s="30">
        <f t="shared" si="27"/>
        <v>1.5021640068486346E-2</v>
      </c>
    </row>
    <row r="894" spans="1:5" x14ac:dyDescent="0.35">
      <c r="A894" s="27">
        <v>44526</v>
      </c>
      <c r="B894" s="28">
        <v>5500.3</v>
      </c>
      <c r="C894" s="29">
        <v>43786.83</v>
      </c>
      <c r="D894" s="30">
        <f t="shared" si="26"/>
        <v>-1.8154230631917141E-2</v>
      </c>
      <c r="E894" s="30">
        <f t="shared" si="27"/>
        <v>-7.3512109197004108E-3</v>
      </c>
    </row>
    <row r="895" spans="1:5" x14ac:dyDescent="0.35">
      <c r="A895" s="27">
        <v>44525</v>
      </c>
      <c r="B895" s="28">
        <v>5602</v>
      </c>
      <c r="C895" s="29">
        <v>44111.1</v>
      </c>
      <c r="D895" s="30">
        <f t="shared" si="26"/>
        <v>7.5539568345323743E-3</v>
      </c>
      <c r="E895" s="30">
        <f t="shared" si="27"/>
        <v>4.1663555520750463E-3</v>
      </c>
    </row>
    <row r="896" spans="1:5" x14ac:dyDescent="0.35">
      <c r="A896" s="27">
        <v>44523</v>
      </c>
      <c r="B896" s="28">
        <v>5560</v>
      </c>
      <c r="C896" s="29">
        <v>43928.08</v>
      </c>
      <c r="D896" s="30">
        <f t="shared" si="26"/>
        <v>-2.456140350877193E-2</v>
      </c>
      <c r="E896" s="30">
        <f t="shared" si="27"/>
        <v>5.9313872430531408E-4</v>
      </c>
    </row>
    <row r="897" spans="1:5" x14ac:dyDescent="0.35">
      <c r="A897" s="27">
        <v>44522</v>
      </c>
      <c r="B897" s="28">
        <v>5700</v>
      </c>
      <c r="C897" s="29">
        <v>43902.04</v>
      </c>
      <c r="D897" s="30">
        <f t="shared" si="26"/>
        <v>0</v>
      </c>
      <c r="E897" s="30">
        <f t="shared" si="27"/>
        <v>-2.7685749348147843E-2</v>
      </c>
    </row>
    <row r="898" spans="1:5" x14ac:dyDescent="0.35">
      <c r="A898" s="27">
        <v>44519</v>
      </c>
      <c r="B898" s="28">
        <v>5700</v>
      </c>
      <c r="C898" s="29">
        <v>45152.11</v>
      </c>
      <c r="D898" s="30">
        <f t="shared" si="26"/>
        <v>0</v>
      </c>
      <c r="E898" s="30">
        <f t="shared" si="27"/>
        <v>4.9696375356313265E-3</v>
      </c>
    </row>
    <row r="899" spans="1:5" x14ac:dyDescent="0.35">
      <c r="A899" s="27">
        <v>44516</v>
      </c>
      <c r="B899" s="28">
        <v>5700</v>
      </c>
      <c r="C899" s="29">
        <v>44928.83</v>
      </c>
      <c r="D899" s="30">
        <f t="shared" si="26"/>
        <v>0</v>
      </c>
      <c r="E899" s="30">
        <f t="shared" si="27"/>
        <v>1.3335645894812526E-2</v>
      </c>
    </row>
    <row r="900" spans="1:5" x14ac:dyDescent="0.35">
      <c r="A900" s="27">
        <v>44515</v>
      </c>
      <c r="B900" s="28">
        <v>5700</v>
      </c>
      <c r="C900" s="29">
        <v>44337.56</v>
      </c>
      <c r="D900" s="30">
        <f t="shared" si="26"/>
        <v>0</v>
      </c>
      <c r="E900" s="30">
        <f t="shared" si="27"/>
        <v>-2.2759441657834146E-3</v>
      </c>
    </row>
    <row r="901" spans="1:5" x14ac:dyDescent="0.35">
      <c r="A901" s="27">
        <v>44512</v>
      </c>
      <c r="B901" s="28">
        <v>5700</v>
      </c>
      <c r="C901" s="29">
        <v>44438.7</v>
      </c>
      <c r="D901" s="30">
        <f t="shared" ref="D901:D964" si="28">(B901-B902)/B902</f>
        <v>2.6208861761445948E-3</v>
      </c>
      <c r="E901" s="30">
        <f t="shared" ref="E901:E964" si="29">(C901-C902)/C902</f>
        <v>1.1497816247988997E-2</v>
      </c>
    </row>
    <row r="902" spans="1:5" x14ac:dyDescent="0.35">
      <c r="A902" s="27">
        <v>44511</v>
      </c>
      <c r="B902" s="28">
        <v>5685.1</v>
      </c>
      <c r="C902" s="29">
        <v>43933.56</v>
      </c>
      <c r="D902" s="30">
        <f t="shared" si="28"/>
        <v>-1.9136235955055541E-3</v>
      </c>
      <c r="E902" s="30">
        <f t="shared" si="29"/>
        <v>8.7809412107237202E-3</v>
      </c>
    </row>
    <row r="903" spans="1:5" x14ac:dyDescent="0.35">
      <c r="A903" s="27">
        <v>44510</v>
      </c>
      <c r="B903" s="28">
        <v>5696</v>
      </c>
      <c r="C903" s="29">
        <v>43551.14</v>
      </c>
      <c r="D903" s="30">
        <f t="shared" si="28"/>
        <v>-5.0655021834061136E-3</v>
      </c>
      <c r="E903" s="30">
        <f t="shared" si="29"/>
        <v>6.5690084795115415E-4</v>
      </c>
    </row>
    <row r="904" spans="1:5" x14ac:dyDescent="0.35">
      <c r="A904" s="27">
        <v>44509</v>
      </c>
      <c r="B904" s="28">
        <v>5725</v>
      </c>
      <c r="C904" s="29">
        <v>43522.55</v>
      </c>
      <c r="D904" s="30">
        <f t="shared" si="28"/>
        <v>-2.1367521367521368E-2</v>
      </c>
      <c r="E904" s="30">
        <f t="shared" si="29"/>
        <v>7.3780564158839315E-3</v>
      </c>
    </row>
    <row r="905" spans="1:5" x14ac:dyDescent="0.35">
      <c r="A905" s="27">
        <v>44508</v>
      </c>
      <c r="B905" s="28">
        <v>5850</v>
      </c>
      <c r="C905" s="29">
        <v>43203.79</v>
      </c>
      <c r="D905" s="30">
        <f t="shared" si="28"/>
        <v>-3.4071550255536627E-3</v>
      </c>
      <c r="E905" s="30">
        <f t="shared" si="29"/>
        <v>-6.1137787408901208E-4</v>
      </c>
    </row>
    <row r="906" spans="1:5" x14ac:dyDescent="0.35">
      <c r="A906" s="27">
        <v>44505</v>
      </c>
      <c r="B906" s="28">
        <v>5870</v>
      </c>
      <c r="C906" s="29">
        <v>43230.22</v>
      </c>
      <c r="D906" s="30">
        <f t="shared" si="28"/>
        <v>-2.1014009339559707E-2</v>
      </c>
      <c r="E906" s="30">
        <f t="shared" si="29"/>
        <v>4.6537332003717411E-3</v>
      </c>
    </row>
    <row r="907" spans="1:5" x14ac:dyDescent="0.35">
      <c r="A907" s="27">
        <v>44504</v>
      </c>
      <c r="B907" s="28">
        <v>5996</v>
      </c>
      <c r="C907" s="29">
        <v>43029.97</v>
      </c>
      <c r="D907" s="30">
        <f t="shared" si="28"/>
        <v>2.408198121263877E-2</v>
      </c>
      <c r="E907" s="30">
        <f t="shared" si="29"/>
        <v>-1.7742733334200816E-2</v>
      </c>
    </row>
    <row r="908" spans="1:5" x14ac:dyDescent="0.35">
      <c r="A908" s="27">
        <v>44503</v>
      </c>
      <c r="B908" s="28">
        <v>5855</v>
      </c>
      <c r="C908" s="29">
        <v>43807.23</v>
      </c>
      <c r="D908" s="30">
        <f t="shared" si="28"/>
        <v>-2.4166666666666666E-2</v>
      </c>
      <c r="E908" s="30">
        <f t="shared" si="29"/>
        <v>-3.8307528545885039E-3</v>
      </c>
    </row>
    <row r="909" spans="1:5" x14ac:dyDescent="0.35">
      <c r="A909" s="27">
        <v>44502</v>
      </c>
      <c r="B909" s="28">
        <v>6000</v>
      </c>
      <c r="C909" s="29">
        <v>43975.69</v>
      </c>
      <c r="D909" s="30">
        <f t="shared" si="28"/>
        <v>1.6949152542372881E-2</v>
      </c>
      <c r="E909" s="30">
        <f t="shared" si="29"/>
        <v>5.8524943606813257E-3</v>
      </c>
    </row>
    <row r="910" spans="1:5" x14ac:dyDescent="0.35">
      <c r="A910" s="27">
        <v>44501</v>
      </c>
      <c r="B910" s="28">
        <v>5900</v>
      </c>
      <c r="C910" s="29">
        <v>43719.82</v>
      </c>
      <c r="D910" s="30">
        <f t="shared" si="28"/>
        <v>1.7241379310344827E-2</v>
      </c>
      <c r="E910" s="30">
        <f t="shared" si="29"/>
        <v>8.1382363365231011E-3</v>
      </c>
    </row>
    <row r="911" spans="1:5" x14ac:dyDescent="0.35">
      <c r="A911" s="27">
        <v>44498</v>
      </c>
      <c r="B911" s="28">
        <v>5800</v>
      </c>
      <c r="C911" s="29">
        <v>43366.89</v>
      </c>
      <c r="D911" s="30">
        <f t="shared" si="28"/>
        <v>-1.3605442176870748E-2</v>
      </c>
      <c r="E911" s="30">
        <f t="shared" si="29"/>
        <v>-6.5616987295127847E-3</v>
      </c>
    </row>
    <row r="912" spans="1:5" x14ac:dyDescent="0.35">
      <c r="A912" s="27">
        <v>44497</v>
      </c>
      <c r="B912" s="28">
        <v>5880</v>
      </c>
      <c r="C912" s="29">
        <v>43653.33</v>
      </c>
      <c r="D912" s="30">
        <f t="shared" si="28"/>
        <v>2.7972027972027972E-2</v>
      </c>
      <c r="E912" s="30">
        <f t="shared" si="29"/>
        <v>-4.567239831056156E-3</v>
      </c>
    </row>
    <row r="913" spans="1:5" x14ac:dyDescent="0.35">
      <c r="A913" s="27">
        <v>44496</v>
      </c>
      <c r="B913" s="28">
        <v>5720</v>
      </c>
      <c r="C913" s="29">
        <v>43853.62</v>
      </c>
      <c r="D913" s="30">
        <f t="shared" si="28"/>
        <v>0</v>
      </c>
      <c r="E913" s="30">
        <f t="shared" si="29"/>
        <v>1.8833741917377512E-2</v>
      </c>
    </row>
    <row r="914" spans="1:5" x14ac:dyDescent="0.35">
      <c r="A914" s="27">
        <v>44495</v>
      </c>
      <c r="B914" s="28">
        <v>5720</v>
      </c>
      <c r="C914" s="29">
        <v>43042.96</v>
      </c>
      <c r="D914" s="30">
        <f t="shared" si="28"/>
        <v>0</v>
      </c>
      <c r="E914" s="30">
        <f t="shared" si="29"/>
        <v>3.8390003346677423E-3</v>
      </c>
    </row>
    <row r="915" spans="1:5" x14ac:dyDescent="0.35">
      <c r="A915" s="27">
        <v>44491</v>
      </c>
      <c r="B915" s="28">
        <v>5720</v>
      </c>
      <c r="C915" s="29">
        <v>42878.35</v>
      </c>
      <c r="D915" s="30">
        <f t="shared" si="28"/>
        <v>-1.3793103448275862E-2</v>
      </c>
      <c r="E915" s="30">
        <f t="shared" si="29"/>
        <v>-8.9819092947808141E-3</v>
      </c>
    </row>
    <row r="916" spans="1:5" x14ac:dyDescent="0.35">
      <c r="A916" s="27">
        <v>44490</v>
      </c>
      <c r="B916" s="28">
        <v>5800</v>
      </c>
      <c r="C916" s="29">
        <v>43266.97</v>
      </c>
      <c r="D916" s="30">
        <f t="shared" si="28"/>
        <v>4.329004329004329E-3</v>
      </c>
      <c r="E916" s="30">
        <f t="shared" si="29"/>
        <v>-2.8829204951140591E-2</v>
      </c>
    </row>
    <row r="917" spans="1:5" x14ac:dyDescent="0.35">
      <c r="A917" s="27">
        <v>44489</v>
      </c>
      <c r="B917" s="28">
        <v>5775</v>
      </c>
      <c r="C917" s="29">
        <v>44551.35</v>
      </c>
      <c r="D917" s="30">
        <f t="shared" si="28"/>
        <v>-2.1186440677966101E-2</v>
      </c>
      <c r="E917" s="30">
        <f t="shared" si="29"/>
        <v>5.7562235939132218E-4</v>
      </c>
    </row>
    <row r="918" spans="1:5" x14ac:dyDescent="0.35">
      <c r="A918" s="27">
        <v>44484</v>
      </c>
      <c r="B918" s="28">
        <v>5900</v>
      </c>
      <c r="C918" s="29">
        <v>44525.72</v>
      </c>
      <c r="D918" s="30">
        <f t="shared" si="28"/>
        <v>8.5470085470085479E-3</v>
      </c>
      <c r="E918" s="30">
        <f t="shared" si="29"/>
        <v>2.605914707512705E-4</v>
      </c>
    </row>
    <row r="919" spans="1:5" x14ac:dyDescent="0.35">
      <c r="A919" s="27">
        <v>44483</v>
      </c>
      <c r="B919" s="28">
        <v>5850</v>
      </c>
      <c r="C919" s="29">
        <v>44514.12</v>
      </c>
      <c r="D919" s="30">
        <f t="shared" si="28"/>
        <v>2.3622047244094488E-2</v>
      </c>
      <c r="E919" s="30">
        <f t="shared" si="29"/>
        <v>-6.4606444395737825E-3</v>
      </c>
    </row>
    <row r="920" spans="1:5" x14ac:dyDescent="0.35">
      <c r="A920" s="27">
        <v>44482</v>
      </c>
      <c r="B920" s="28">
        <v>5715</v>
      </c>
      <c r="C920" s="29">
        <v>44803.58</v>
      </c>
      <c r="D920" s="30">
        <f t="shared" si="28"/>
        <v>-1.124567474048443E-2</v>
      </c>
      <c r="E920" s="30">
        <f t="shared" si="29"/>
        <v>7.7049531713292091E-3</v>
      </c>
    </row>
    <row r="921" spans="1:5" x14ac:dyDescent="0.35">
      <c r="A921" s="27">
        <v>44481</v>
      </c>
      <c r="B921" s="28">
        <v>5780</v>
      </c>
      <c r="C921" s="29">
        <v>44461.01</v>
      </c>
      <c r="D921" s="30">
        <f t="shared" si="28"/>
        <v>-4.3066322136089581E-3</v>
      </c>
      <c r="E921" s="30">
        <f t="shared" si="29"/>
        <v>1.0839564353050186E-2</v>
      </c>
    </row>
    <row r="922" spans="1:5" x14ac:dyDescent="0.35">
      <c r="A922" s="27">
        <v>44480</v>
      </c>
      <c r="B922" s="28">
        <v>5805</v>
      </c>
      <c r="C922" s="29">
        <v>43984.24</v>
      </c>
      <c r="D922" s="30">
        <f t="shared" si="28"/>
        <v>-3.2741814546363407E-2</v>
      </c>
      <c r="E922" s="30">
        <f t="shared" si="29"/>
        <v>3.5073742012127151E-3</v>
      </c>
    </row>
    <row r="923" spans="1:5" x14ac:dyDescent="0.35">
      <c r="A923" s="27">
        <v>44477</v>
      </c>
      <c r="B923" s="28">
        <v>6001.5</v>
      </c>
      <c r="C923" s="29">
        <v>43830.51</v>
      </c>
      <c r="D923" s="30">
        <f t="shared" si="28"/>
        <v>1.3972426843279012E-2</v>
      </c>
      <c r="E923" s="30">
        <f t="shared" si="29"/>
        <v>-2.885720666865774E-2</v>
      </c>
    </row>
    <row r="924" spans="1:5" x14ac:dyDescent="0.35">
      <c r="A924" s="27">
        <v>44476</v>
      </c>
      <c r="B924" s="28">
        <v>5918.8</v>
      </c>
      <c r="C924" s="29">
        <v>45132.92</v>
      </c>
      <c r="D924" s="30">
        <f t="shared" si="28"/>
        <v>3.1864406779661325E-3</v>
      </c>
      <c r="E924" s="30">
        <f t="shared" si="29"/>
        <v>2.6823850788830483E-3</v>
      </c>
    </row>
    <row r="925" spans="1:5" x14ac:dyDescent="0.35">
      <c r="A925" s="27">
        <v>44475</v>
      </c>
      <c r="B925" s="28">
        <v>5900</v>
      </c>
      <c r="C925" s="29">
        <v>45012.18</v>
      </c>
      <c r="D925" s="30">
        <f t="shared" si="28"/>
        <v>-1.4048034121490415E-3</v>
      </c>
      <c r="E925" s="30">
        <f t="shared" si="29"/>
        <v>-7.730334403592329E-3</v>
      </c>
    </row>
    <row r="926" spans="1:5" x14ac:dyDescent="0.35">
      <c r="A926" s="27">
        <v>44474</v>
      </c>
      <c r="B926" s="28">
        <v>5908.3</v>
      </c>
      <c r="C926" s="29">
        <v>45362.85</v>
      </c>
      <c r="D926" s="30">
        <f t="shared" si="28"/>
        <v>-2.8764805414548529E-4</v>
      </c>
      <c r="E926" s="30">
        <f t="shared" si="29"/>
        <v>-6.853071435749424E-3</v>
      </c>
    </row>
    <row r="927" spans="1:5" x14ac:dyDescent="0.35">
      <c r="A927" s="27">
        <v>44470</v>
      </c>
      <c r="B927" s="28">
        <v>5910</v>
      </c>
      <c r="C927" s="29">
        <v>45675.87</v>
      </c>
      <c r="D927" s="30">
        <f t="shared" si="28"/>
        <v>-2.0842307564863015E-2</v>
      </c>
      <c r="E927" s="30">
        <f t="shared" si="29"/>
        <v>5.1664682413058681E-3</v>
      </c>
    </row>
    <row r="928" spans="1:5" x14ac:dyDescent="0.35">
      <c r="A928" s="27">
        <v>44469</v>
      </c>
      <c r="B928" s="28">
        <v>6035.8</v>
      </c>
      <c r="C928" s="29">
        <v>45441.1</v>
      </c>
      <c r="D928" s="30">
        <f t="shared" si="28"/>
        <v>5.3791225099079978E-2</v>
      </c>
      <c r="E928" s="30">
        <f t="shared" si="29"/>
        <v>-6.3544543500459981E-3</v>
      </c>
    </row>
    <row r="929" spans="1:5" x14ac:dyDescent="0.35">
      <c r="A929" s="27">
        <v>44468</v>
      </c>
      <c r="B929" s="28">
        <v>5727.7</v>
      </c>
      <c r="C929" s="29">
        <v>45731.7</v>
      </c>
      <c r="D929" s="30">
        <f t="shared" si="28"/>
        <v>-3.1674759393654291E-3</v>
      </c>
      <c r="E929" s="30">
        <f t="shared" si="29"/>
        <v>1.9194160733624131E-3</v>
      </c>
    </row>
    <row r="930" spans="1:5" x14ac:dyDescent="0.35">
      <c r="A930" s="27">
        <v>44467</v>
      </c>
      <c r="B930" s="28">
        <v>5745.9</v>
      </c>
      <c r="C930" s="29">
        <v>45644.09</v>
      </c>
      <c r="D930" s="30">
        <f t="shared" si="28"/>
        <v>-2.8806941431670915E-3</v>
      </c>
      <c r="E930" s="30">
        <f t="shared" si="29"/>
        <v>-9.446309704321176E-3</v>
      </c>
    </row>
    <row r="931" spans="1:5" x14ac:dyDescent="0.35">
      <c r="A931" s="27">
        <v>44466</v>
      </c>
      <c r="B931" s="28">
        <v>5762.5</v>
      </c>
      <c r="C931" s="29">
        <v>46079.37</v>
      </c>
      <c r="D931" s="30">
        <f t="shared" si="28"/>
        <v>2.1739130434782609E-3</v>
      </c>
      <c r="E931" s="30">
        <f t="shared" si="29"/>
        <v>3.032866318792969E-3</v>
      </c>
    </row>
    <row r="932" spans="1:5" x14ac:dyDescent="0.35">
      <c r="A932" s="27">
        <v>44463</v>
      </c>
      <c r="B932" s="28">
        <v>5750</v>
      </c>
      <c r="C932" s="29">
        <v>45940.04</v>
      </c>
      <c r="D932" s="30">
        <f t="shared" si="28"/>
        <v>-8.6206896551724137E-3</v>
      </c>
      <c r="E932" s="30">
        <f t="shared" si="29"/>
        <v>-8.6258539103353394E-3</v>
      </c>
    </row>
    <row r="933" spans="1:5" x14ac:dyDescent="0.35">
      <c r="A933" s="27">
        <v>44461</v>
      </c>
      <c r="B933" s="28">
        <v>5800</v>
      </c>
      <c r="C933" s="29">
        <v>46339.76</v>
      </c>
      <c r="D933" s="30">
        <f t="shared" si="28"/>
        <v>-1.8612521150592216E-2</v>
      </c>
      <c r="E933" s="30">
        <f t="shared" si="29"/>
        <v>8.5272574728579836E-3</v>
      </c>
    </row>
    <row r="934" spans="1:5" x14ac:dyDescent="0.35">
      <c r="A934" s="27">
        <v>44460</v>
      </c>
      <c r="B934" s="28">
        <v>5910</v>
      </c>
      <c r="C934" s="29">
        <v>45947.95</v>
      </c>
      <c r="D934" s="30">
        <f t="shared" si="28"/>
        <v>1.8087855297157621E-2</v>
      </c>
      <c r="E934" s="30">
        <f t="shared" si="29"/>
        <v>2.3275979603522394E-3</v>
      </c>
    </row>
    <row r="935" spans="1:5" x14ac:dyDescent="0.35">
      <c r="A935" s="27">
        <v>44459</v>
      </c>
      <c r="B935" s="28">
        <v>5805</v>
      </c>
      <c r="C935" s="29">
        <v>45841.25</v>
      </c>
      <c r="D935" s="30">
        <f t="shared" si="28"/>
        <v>-1.7766497461928935E-2</v>
      </c>
      <c r="E935" s="30">
        <f t="shared" si="29"/>
        <v>-1.4898828459812142E-3</v>
      </c>
    </row>
    <row r="936" spans="1:5" x14ac:dyDescent="0.35">
      <c r="A936" s="27">
        <v>44456</v>
      </c>
      <c r="B936" s="28">
        <v>5910</v>
      </c>
      <c r="C936" s="29">
        <v>45909.65</v>
      </c>
      <c r="D936" s="30">
        <f t="shared" si="28"/>
        <v>-1.2861199265074327E-2</v>
      </c>
      <c r="E936" s="30">
        <f t="shared" si="29"/>
        <v>1.0186876416312949E-3</v>
      </c>
    </row>
    <row r="937" spans="1:5" x14ac:dyDescent="0.35">
      <c r="A937" s="27">
        <v>44455</v>
      </c>
      <c r="B937" s="28">
        <v>5987</v>
      </c>
      <c r="C937" s="29">
        <v>45862.93</v>
      </c>
      <c r="D937" s="30">
        <f t="shared" si="28"/>
        <v>-1.8605032374395543E-2</v>
      </c>
      <c r="E937" s="30">
        <f t="shared" si="29"/>
        <v>-5.5556097629726733E-3</v>
      </c>
    </row>
    <row r="938" spans="1:5" x14ac:dyDescent="0.35">
      <c r="A938" s="27">
        <v>44454</v>
      </c>
      <c r="B938" s="28">
        <v>6100.5</v>
      </c>
      <c r="C938" s="29">
        <v>46119.15</v>
      </c>
      <c r="D938" s="30">
        <f t="shared" si="28"/>
        <v>-8.8545897644191716E-3</v>
      </c>
      <c r="E938" s="30">
        <f t="shared" si="29"/>
        <v>9.7351914087729797E-3</v>
      </c>
    </row>
    <row r="939" spans="1:5" x14ac:dyDescent="0.35">
      <c r="A939" s="27">
        <v>44453</v>
      </c>
      <c r="B939" s="28">
        <v>6155</v>
      </c>
      <c r="C939" s="29">
        <v>45674.5</v>
      </c>
      <c r="D939" s="30">
        <f t="shared" si="28"/>
        <v>-3.8281250000000003E-2</v>
      </c>
      <c r="E939" s="30">
        <f t="shared" si="29"/>
        <v>6.607649905189408E-3</v>
      </c>
    </row>
    <row r="940" spans="1:5" x14ac:dyDescent="0.35">
      <c r="A940" s="27">
        <v>44452</v>
      </c>
      <c r="B940" s="28">
        <v>6400</v>
      </c>
      <c r="C940" s="29">
        <v>45374.68</v>
      </c>
      <c r="D940" s="30">
        <f t="shared" si="28"/>
        <v>7.3663665554366594E-3</v>
      </c>
      <c r="E940" s="30">
        <f t="shared" si="29"/>
        <v>6.5834906720386279E-3</v>
      </c>
    </row>
    <row r="941" spans="1:5" x14ac:dyDescent="0.35">
      <c r="A941" s="27">
        <v>44449</v>
      </c>
      <c r="B941" s="28">
        <v>6353.2</v>
      </c>
      <c r="C941" s="29">
        <v>45077.91</v>
      </c>
      <c r="D941" s="30">
        <f t="shared" si="28"/>
        <v>9.2454328832406382E-3</v>
      </c>
      <c r="E941" s="30">
        <f t="shared" si="29"/>
        <v>-1.1379001948398733E-4</v>
      </c>
    </row>
    <row r="942" spans="1:5" x14ac:dyDescent="0.35">
      <c r="A942" s="27">
        <v>44448</v>
      </c>
      <c r="B942" s="28">
        <v>6295</v>
      </c>
      <c r="C942" s="29">
        <v>45083.040000000001</v>
      </c>
      <c r="D942" s="30">
        <f t="shared" si="28"/>
        <v>2.1169600129775326E-2</v>
      </c>
      <c r="E942" s="30">
        <f t="shared" si="29"/>
        <v>2.8470661249403117E-3</v>
      </c>
    </row>
    <row r="943" spans="1:5" x14ac:dyDescent="0.35">
      <c r="A943" s="27">
        <v>44447</v>
      </c>
      <c r="B943" s="28">
        <v>6164.5</v>
      </c>
      <c r="C943" s="29">
        <v>44955.05</v>
      </c>
      <c r="D943" s="30">
        <f t="shared" si="28"/>
        <v>1.4932990878856698E-2</v>
      </c>
      <c r="E943" s="30">
        <f t="shared" si="29"/>
        <v>1.4988492411185969E-3</v>
      </c>
    </row>
    <row r="944" spans="1:5" x14ac:dyDescent="0.35">
      <c r="A944" s="27">
        <v>44446</v>
      </c>
      <c r="B944" s="28">
        <v>6073.8</v>
      </c>
      <c r="C944" s="29">
        <v>44887.77</v>
      </c>
      <c r="D944" s="30">
        <f t="shared" si="28"/>
        <v>7.5008849557522156E-2</v>
      </c>
      <c r="E944" s="30">
        <f t="shared" si="29"/>
        <v>-8.0447138283392273E-4</v>
      </c>
    </row>
    <row r="945" spans="1:5" x14ac:dyDescent="0.35">
      <c r="A945" s="27">
        <v>44445</v>
      </c>
      <c r="B945" s="28">
        <v>5650</v>
      </c>
      <c r="C945" s="29">
        <v>44923.91</v>
      </c>
      <c r="D945" s="30">
        <f t="shared" si="28"/>
        <v>3.552397868561279E-3</v>
      </c>
      <c r="E945" s="30">
        <f t="shared" si="29"/>
        <v>-2.0962595638926084E-3</v>
      </c>
    </row>
    <row r="946" spans="1:5" x14ac:dyDescent="0.35">
      <c r="A946" s="27">
        <v>44442</v>
      </c>
      <c r="B946" s="28">
        <v>5630</v>
      </c>
      <c r="C946" s="29">
        <v>45018.28</v>
      </c>
      <c r="D946" s="30">
        <f t="shared" si="28"/>
        <v>-3.5398230088495575E-3</v>
      </c>
      <c r="E946" s="30">
        <f t="shared" si="29"/>
        <v>4.2901469839915938E-3</v>
      </c>
    </row>
    <row r="947" spans="1:5" x14ac:dyDescent="0.35">
      <c r="A947" s="27">
        <v>44441</v>
      </c>
      <c r="B947" s="28">
        <v>5650</v>
      </c>
      <c r="C947" s="29">
        <v>44825.97</v>
      </c>
      <c r="D947" s="30">
        <f t="shared" si="28"/>
        <v>0</v>
      </c>
      <c r="E947" s="30">
        <f t="shared" si="29"/>
        <v>-1.6639369327751919E-4</v>
      </c>
    </row>
    <row r="948" spans="1:5" x14ac:dyDescent="0.35">
      <c r="A948" s="27">
        <v>44440</v>
      </c>
      <c r="B948" s="28">
        <v>5650</v>
      </c>
      <c r="C948" s="29">
        <v>44833.43</v>
      </c>
      <c r="D948" s="30">
        <f t="shared" si="28"/>
        <v>1.5274034141958671E-2</v>
      </c>
      <c r="E948" s="30">
        <f t="shared" si="29"/>
        <v>-1.4810335283858236E-2</v>
      </c>
    </row>
    <row r="949" spans="1:5" x14ac:dyDescent="0.35">
      <c r="A949" s="27">
        <v>44438</v>
      </c>
      <c r="B949" s="28">
        <v>5565</v>
      </c>
      <c r="C949" s="29">
        <v>45507.41</v>
      </c>
      <c r="D949" s="30">
        <f t="shared" si="28"/>
        <v>-6.2500000000000003E-3</v>
      </c>
      <c r="E949" s="30">
        <f t="shared" si="29"/>
        <v>-2.2974116574073079E-3</v>
      </c>
    </row>
    <row r="950" spans="1:5" x14ac:dyDescent="0.35">
      <c r="A950" s="27">
        <v>44435</v>
      </c>
      <c r="B950" s="28">
        <v>5600</v>
      </c>
      <c r="C950" s="29">
        <v>45612.2</v>
      </c>
      <c r="D950" s="30">
        <f t="shared" si="28"/>
        <v>-8.8495575221238937E-3</v>
      </c>
      <c r="E950" s="30">
        <f t="shared" si="29"/>
        <v>-3.3050392835330378E-3</v>
      </c>
    </row>
    <row r="951" spans="1:5" x14ac:dyDescent="0.35">
      <c r="A951" s="27">
        <v>44434</v>
      </c>
      <c r="B951" s="28">
        <v>5650</v>
      </c>
      <c r="C951" s="29">
        <v>45763.45</v>
      </c>
      <c r="D951" s="30">
        <f t="shared" si="28"/>
        <v>-8.771929824561403E-3</v>
      </c>
      <c r="E951" s="30">
        <f t="shared" si="29"/>
        <v>5.4629046919795826E-6</v>
      </c>
    </row>
    <row r="952" spans="1:5" x14ac:dyDescent="0.35">
      <c r="A952" s="27">
        <v>44433</v>
      </c>
      <c r="B952" s="28">
        <v>5700</v>
      </c>
      <c r="C952" s="29">
        <v>45763.199999999997</v>
      </c>
      <c r="D952" s="30">
        <f t="shared" si="28"/>
        <v>0</v>
      </c>
      <c r="E952" s="30">
        <f t="shared" si="29"/>
        <v>-3.3332425884083066E-3</v>
      </c>
    </row>
    <row r="953" spans="1:5" x14ac:dyDescent="0.35">
      <c r="A953" s="27">
        <v>44432</v>
      </c>
      <c r="B953" s="28">
        <v>5700</v>
      </c>
      <c r="C953" s="29">
        <v>45916.25</v>
      </c>
      <c r="D953" s="30">
        <f t="shared" si="28"/>
        <v>0</v>
      </c>
      <c r="E953" s="30">
        <f t="shared" si="29"/>
        <v>7.6545629979040666E-4</v>
      </c>
    </row>
    <row r="954" spans="1:5" x14ac:dyDescent="0.35">
      <c r="A954" s="27">
        <v>44431</v>
      </c>
      <c r="B954" s="28">
        <v>5700</v>
      </c>
      <c r="C954" s="29">
        <v>45881.13</v>
      </c>
      <c r="D954" s="30">
        <f t="shared" si="28"/>
        <v>1.1032672318989644E-2</v>
      </c>
      <c r="E954" s="30">
        <f t="shared" si="29"/>
        <v>-1.4165037505750461E-4</v>
      </c>
    </row>
    <row r="955" spans="1:5" x14ac:dyDescent="0.35">
      <c r="A955" s="27">
        <v>44428</v>
      </c>
      <c r="B955" s="28">
        <v>5637.8</v>
      </c>
      <c r="C955" s="29">
        <v>45887.63</v>
      </c>
      <c r="D955" s="30">
        <f t="shared" si="28"/>
        <v>-2.1215277777777746E-2</v>
      </c>
      <c r="E955" s="30">
        <f t="shared" si="29"/>
        <v>1.1952193870856321E-2</v>
      </c>
    </row>
    <row r="956" spans="1:5" x14ac:dyDescent="0.35">
      <c r="A956" s="27">
        <v>44425</v>
      </c>
      <c r="B956" s="28">
        <v>5760</v>
      </c>
      <c r="C956" s="29">
        <v>45345.65</v>
      </c>
      <c r="D956" s="30">
        <f t="shared" si="28"/>
        <v>0</v>
      </c>
      <c r="E956" s="30">
        <f t="shared" si="29"/>
        <v>5.8415386970052221E-3</v>
      </c>
    </row>
    <row r="957" spans="1:5" x14ac:dyDescent="0.35">
      <c r="A957" s="27">
        <v>44424</v>
      </c>
      <c r="B957" s="28">
        <v>5760</v>
      </c>
      <c r="C957" s="29">
        <v>45082.3</v>
      </c>
      <c r="D957" s="30">
        <f t="shared" si="28"/>
        <v>-1.5552896940693898E-2</v>
      </c>
      <c r="E957" s="30">
        <f t="shared" si="29"/>
        <v>-7.1703397801570722E-3</v>
      </c>
    </row>
    <row r="958" spans="1:5" x14ac:dyDescent="0.35">
      <c r="A958" s="27">
        <v>44421</v>
      </c>
      <c r="B958" s="28">
        <v>5851</v>
      </c>
      <c r="C958" s="29">
        <v>45407.89</v>
      </c>
      <c r="D958" s="30">
        <f t="shared" si="28"/>
        <v>1.7094017094017094E-4</v>
      </c>
      <c r="E958" s="30">
        <f t="shared" si="29"/>
        <v>3.7562644797943621E-4</v>
      </c>
    </row>
    <row r="959" spans="1:5" x14ac:dyDescent="0.35">
      <c r="A959" s="27">
        <v>44420</v>
      </c>
      <c r="B959" s="28">
        <v>5850</v>
      </c>
      <c r="C959" s="29">
        <v>45390.84</v>
      </c>
      <c r="D959" s="30">
        <f t="shared" si="28"/>
        <v>0</v>
      </c>
      <c r="E959" s="30">
        <f t="shared" si="29"/>
        <v>1.1227108850713362E-2</v>
      </c>
    </row>
    <row r="960" spans="1:5" x14ac:dyDescent="0.35">
      <c r="A960" s="27">
        <v>44419</v>
      </c>
      <c r="B960" s="28">
        <v>5850</v>
      </c>
      <c r="C960" s="29">
        <v>44886.89</v>
      </c>
      <c r="D960" s="30">
        <f t="shared" si="28"/>
        <v>-2.2556390977443608E-2</v>
      </c>
      <c r="E960" s="30">
        <f t="shared" si="29"/>
        <v>6.5212024288238786E-3</v>
      </c>
    </row>
    <row r="961" spans="1:5" x14ac:dyDescent="0.35">
      <c r="A961" s="27">
        <v>44418</v>
      </c>
      <c r="B961" s="28">
        <v>5985</v>
      </c>
      <c r="C961" s="29">
        <v>44596.07</v>
      </c>
      <c r="D961" s="30">
        <f t="shared" si="28"/>
        <v>-2.5000000000000001E-3</v>
      </c>
      <c r="E961" s="30">
        <f t="shared" si="29"/>
        <v>4.0496485516546355E-3</v>
      </c>
    </row>
    <row r="962" spans="1:5" x14ac:dyDescent="0.35">
      <c r="A962" s="27">
        <v>44417</v>
      </c>
      <c r="B962" s="28">
        <v>6000</v>
      </c>
      <c r="C962" s="29">
        <v>44416.2</v>
      </c>
      <c r="D962" s="30">
        <f t="shared" si="28"/>
        <v>7.556675062972292E-3</v>
      </c>
      <c r="E962" s="30">
        <f t="shared" si="29"/>
        <v>3.5266518768253515E-3</v>
      </c>
    </row>
    <row r="963" spans="1:5" x14ac:dyDescent="0.35">
      <c r="A963" s="27">
        <v>44414</v>
      </c>
      <c r="B963" s="28">
        <v>5955</v>
      </c>
      <c r="C963" s="29">
        <v>44260.11</v>
      </c>
      <c r="D963" s="30">
        <f t="shared" si="28"/>
        <v>-4.7131969514640692E-3</v>
      </c>
      <c r="E963" s="30">
        <f t="shared" si="29"/>
        <v>4.9126164126843596E-3</v>
      </c>
    </row>
    <row r="964" spans="1:5" x14ac:dyDescent="0.35">
      <c r="A964" s="27">
        <v>44413</v>
      </c>
      <c r="B964" s="28">
        <v>5983.2</v>
      </c>
      <c r="C964" s="29">
        <v>44043.74</v>
      </c>
      <c r="D964" s="30">
        <f t="shared" si="28"/>
        <v>-1.1041322314049617E-2</v>
      </c>
      <c r="E964" s="30">
        <f t="shared" si="29"/>
        <v>2.9672009298291283E-3</v>
      </c>
    </row>
    <row r="965" spans="1:5" x14ac:dyDescent="0.35">
      <c r="A965" s="27">
        <v>44412</v>
      </c>
      <c r="B965" s="28">
        <v>6050</v>
      </c>
      <c r="C965" s="29">
        <v>43913.440000000002</v>
      </c>
      <c r="D965" s="30">
        <f t="shared" ref="D965:D1028" si="30">(B965-B966)/B966</f>
        <v>2.917410904142213E-2</v>
      </c>
      <c r="E965" s="30">
        <f t="shared" ref="E965:E1028" si="31">(C965-C966)/C966</f>
        <v>-4.6454551038693183E-3</v>
      </c>
    </row>
    <row r="966" spans="1:5" x14ac:dyDescent="0.35">
      <c r="A966" s="27">
        <v>44411</v>
      </c>
      <c r="B966" s="28">
        <v>5878.5</v>
      </c>
      <c r="C966" s="29">
        <v>44118.39</v>
      </c>
      <c r="D966" s="30">
        <f t="shared" si="30"/>
        <v>-5.3299492385786799E-3</v>
      </c>
      <c r="E966" s="30">
        <f t="shared" si="31"/>
        <v>-3.3548768944742465E-3</v>
      </c>
    </row>
    <row r="967" spans="1:5" x14ac:dyDescent="0.35">
      <c r="A967" s="27">
        <v>44410</v>
      </c>
      <c r="B967" s="28">
        <v>5910</v>
      </c>
      <c r="C967" s="29">
        <v>44266.9</v>
      </c>
      <c r="D967" s="30">
        <f t="shared" si="30"/>
        <v>1.6949152542372881E-3</v>
      </c>
      <c r="E967" s="30">
        <f t="shared" si="31"/>
        <v>2.081042726231626E-3</v>
      </c>
    </row>
    <row r="968" spans="1:5" x14ac:dyDescent="0.35">
      <c r="A968" s="27">
        <v>44407</v>
      </c>
      <c r="B968" s="28">
        <v>5900</v>
      </c>
      <c r="C968" s="29">
        <v>44174.97</v>
      </c>
      <c r="D968" s="30">
        <f t="shared" si="30"/>
        <v>-4.5554243293403074E-3</v>
      </c>
      <c r="E968" s="30">
        <f t="shared" si="31"/>
        <v>-4.7535972847419367E-5</v>
      </c>
    </row>
    <row r="969" spans="1:5" x14ac:dyDescent="0.35">
      <c r="A969" s="27">
        <v>44406</v>
      </c>
      <c r="B969" s="28">
        <v>5927</v>
      </c>
      <c r="C969" s="29">
        <v>44177.07</v>
      </c>
      <c r="D969" s="30">
        <f t="shared" si="30"/>
        <v>-3.8655462184873949E-3</v>
      </c>
      <c r="E969" s="30">
        <f t="shared" si="31"/>
        <v>-3.6734367088821118E-3</v>
      </c>
    </row>
    <row r="970" spans="1:5" x14ac:dyDescent="0.35">
      <c r="A970" s="27">
        <v>44405</v>
      </c>
      <c r="B970" s="28">
        <v>5950</v>
      </c>
      <c r="C970" s="29">
        <v>44339.95</v>
      </c>
      <c r="D970" s="30">
        <f t="shared" si="30"/>
        <v>-1.8453279651065259E-3</v>
      </c>
      <c r="E970" s="30">
        <f t="shared" si="31"/>
        <v>1.0005995351324782E-2</v>
      </c>
    </row>
    <row r="971" spans="1:5" x14ac:dyDescent="0.35">
      <c r="A971" s="27">
        <v>44404</v>
      </c>
      <c r="B971" s="28">
        <v>5961</v>
      </c>
      <c r="C971" s="29">
        <v>43900.68</v>
      </c>
      <c r="D971" s="30">
        <f t="shared" si="30"/>
        <v>2.5564263850112378E-3</v>
      </c>
      <c r="E971" s="30">
        <f t="shared" si="31"/>
        <v>3.8754939265330749E-3</v>
      </c>
    </row>
    <row r="972" spans="1:5" x14ac:dyDescent="0.35">
      <c r="A972" s="27">
        <v>44403</v>
      </c>
      <c r="B972" s="28">
        <v>5945.8</v>
      </c>
      <c r="C972" s="29">
        <v>43731.199999999997</v>
      </c>
      <c r="D972" s="30">
        <f t="shared" si="30"/>
        <v>-2.3825503355704393E-3</v>
      </c>
      <c r="E972" s="30">
        <f t="shared" si="31"/>
        <v>-1.4327360556956329E-2</v>
      </c>
    </row>
    <row r="973" spans="1:5" x14ac:dyDescent="0.35">
      <c r="A973" s="27">
        <v>44400</v>
      </c>
      <c r="B973" s="28">
        <v>5960</v>
      </c>
      <c r="C973" s="29">
        <v>44366.86</v>
      </c>
      <c r="D973" s="30">
        <f t="shared" si="30"/>
        <v>1.1884550084889643E-2</v>
      </c>
      <c r="E973" s="30">
        <f t="shared" si="31"/>
        <v>2.5901392267758668E-2</v>
      </c>
    </row>
    <row r="974" spans="1:5" x14ac:dyDescent="0.35">
      <c r="A974" s="27">
        <v>44396</v>
      </c>
      <c r="B974" s="28">
        <v>5890</v>
      </c>
      <c r="C974" s="29">
        <v>43246.71</v>
      </c>
      <c r="D974" s="30">
        <f t="shared" si="30"/>
        <v>-1.6949152542372881E-3</v>
      </c>
      <c r="E974" s="30">
        <f t="shared" si="31"/>
        <v>-3.4351266413462258E-3</v>
      </c>
    </row>
    <row r="975" spans="1:5" x14ac:dyDescent="0.35">
      <c r="A975" s="27">
        <v>44393</v>
      </c>
      <c r="B975" s="28">
        <v>5900</v>
      </c>
      <c r="C975" s="29">
        <v>43395.78</v>
      </c>
      <c r="D975" s="30">
        <f t="shared" si="30"/>
        <v>1.4617368873602751E-2</v>
      </c>
      <c r="E975" s="30">
        <f t="shared" si="31"/>
        <v>-2.8277408129444093E-3</v>
      </c>
    </row>
    <row r="976" spans="1:5" x14ac:dyDescent="0.35">
      <c r="A976" s="27">
        <v>44390</v>
      </c>
      <c r="B976" s="28">
        <v>5815</v>
      </c>
      <c r="C976" s="29">
        <v>43518.84</v>
      </c>
      <c r="D976" s="30">
        <f t="shared" si="30"/>
        <v>-1.0212765957446808E-2</v>
      </c>
      <c r="E976" s="30">
        <f t="shared" si="31"/>
        <v>-7.4812637709374945E-3</v>
      </c>
    </row>
    <row r="977" spans="1:5" x14ac:dyDescent="0.35">
      <c r="A977" s="27">
        <v>44389</v>
      </c>
      <c r="B977" s="28">
        <v>5875</v>
      </c>
      <c r="C977" s="29">
        <v>43846.87</v>
      </c>
      <c r="D977" s="30">
        <f t="shared" si="30"/>
        <v>-3.5303776683087026E-2</v>
      </c>
      <c r="E977" s="30">
        <f t="shared" si="31"/>
        <v>-1.5095719861738129E-4</v>
      </c>
    </row>
    <row r="978" spans="1:5" x14ac:dyDescent="0.35">
      <c r="A978" s="27">
        <v>44386</v>
      </c>
      <c r="B978" s="28">
        <v>6090</v>
      </c>
      <c r="C978" s="29">
        <v>43853.49</v>
      </c>
      <c r="D978" s="30">
        <f t="shared" si="30"/>
        <v>1.6694490818030049E-2</v>
      </c>
      <c r="E978" s="30">
        <f t="shared" si="31"/>
        <v>1.3232666609212388E-2</v>
      </c>
    </row>
    <row r="979" spans="1:5" x14ac:dyDescent="0.35">
      <c r="A979" s="27">
        <v>44385</v>
      </c>
      <c r="B979" s="28">
        <v>5990</v>
      </c>
      <c r="C979" s="29">
        <v>43280.77</v>
      </c>
      <c r="D979" s="30">
        <f t="shared" si="30"/>
        <v>2.9209621993127148E-2</v>
      </c>
      <c r="E979" s="30">
        <f t="shared" si="31"/>
        <v>1.1088795251200316E-3</v>
      </c>
    </row>
    <row r="980" spans="1:5" x14ac:dyDescent="0.35">
      <c r="A980" s="27">
        <v>44383</v>
      </c>
      <c r="B980" s="28">
        <v>5820</v>
      </c>
      <c r="C980" s="29">
        <v>43232.83</v>
      </c>
      <c r="D980" s="30">
        <f t="shared" si="30"/>
        <v>-1.2722646310432569E-2</v>
      </c>
      <c r="E980" s="30">
        <f t="shared" si="31"/>
        <v>-3.0531420185194089E-5</v>
      </c>
    </row>
    <row r="981" spans="1:5" x14ac:dyDescent="0.35">
      <c r="A981" s="27">
        <v>44378</v>
      </c>
      <c r="B981" s="28">
        <v>5895</v>
      </c>
      <c r="C981" s="29">
        <v>43234.15</v>
      </c>
      <c r="D981" s="30">
        <f t="shared" si="30"/>
        <v>1.6379310344827588E-2</v>
      </c>
      <c r="E981" s="30">
        <f t="shared" si="31"/>
        <v>-4.7058198590495613E-2</v>
      </c>
    </row>
    <row r="982" spans="1:5" x14ac:dyDescent="0.35">
      <c r="A982" s="27">
        <v>44376</v>
      </c>
      <c r="B982" s="28">
        <v>5800</v>
      </c>
      <c r="C982" s="29">
        <v>45369.14</v>
      </c>
      <c r="D982" s="30">
        <f t="shared" si="30"/>
        <v>8.973562504313899E-4</v>
      </c>
      <c r="E982" s="30">
        <f t="shared" si="31"/>
        <v>6.5840765453255862E-3</v>
      </c>
    </row>
    <row r="983" spans="1:5" x14ac:dyDescent="0.35">
      <c r="A983" s="27">
        <v>44375</v>
      </c>
      <c r="B983" s="28">
        <v>5794.8</v>
      </c>
      <c r="C983" s="29">
        <v>45072.38</v>
      </c>
      <c r="D983" s="30">
        <f t="shared" si="30"/>
        <v>-3.4737747205502698E-3</v>
      </c>
      <c r="E983" s="30">
        <f t="shared" si="31"/>
        <v>-5.6843087532443826E-3</v>
      </c>
    </row>
    <row r="984" spans="1:5" x14ac:dyDescent="0.35">
      <c r="A984" s="27">
        <v>44372</v>
      </c>
      <c r="B984" s="28">
        <v>5815</v>
      </c>
      <c r="C984" s="29">
        <v>45330.05</v>
      </c>
      <c r="D984" s="30">
        <f t="shared" si="30"/>
        <v>9.5486111111111119E-3</v>
      </c>
      <c r="E984" s="30">
        <f t="shared" si="31"/>
        <v>2.7562351861624462E-2</v>
      </c>
    </row>
    <row r="985" spans="1:5" x14ac:dyDescent="0.35">
      <c r="A985" s="27">
        <v>44371</v>
      </c>
      <c r="B985" s="28">
        <v>5760</v>
      </c>
      <c r="C985" s="29">
        <v>44114.16</v>
      </c>
      <c r="D985" s="30">
        <f t="shared" si="30"/>
        <v>1.7391304347826088E-3</v>
      </c>
      <c r="E985" s="30">
        <f t="shared" si="31"/>
        <v>4.060702275481891E-3</v>
      </c>
    </row>
    <row r="986" spans="1:5" x14ac:dyDescent="0.35">
      <c r="A986" s="27">
        <v>44370</v>
      </c>
      <c r="B986" s="28">
        <v>5750</v>
      </c>
      <c r="C986" s="29">
        <v>43935.75</v>
      </c>
      <c r="D986" s="30">
        <f t="shared" si="30"/>
        <v>-1.736111111111111E-3</v>
      </c>
      <c r="E986" s="30">
        <f t="shared" si="31"/>
        <v>-9.6464000973768439E-3</v>
      </c>
    </row>
    <row r="987" spans="1:5" x14ac:dyDescent="0.35">
      <c r="A987" s="27">
        <v>44369</v>
      </c>
      <c r="B987" s="28">
        <v>5760</v>
      </c>
      <c r="C987" s="29">
        <v>44363.7</v>
      </c>
      <c r="D987" s="30">
        <f t="shared" si="30"/>
        <v>1.7391304347826088E-3</v>
      </c>
      <c r="E987" s="30">
        <f t="shared" si="31"/>
        <v>-1.3010884451812869E-2</v>
      </c>
    </row>
    <row r="988" spans="1:5" x14ac:dyDescent="0.35">
      <c r="A988" s="27">
        <v>44368</v>
      </c>
      <c r="B988" s="28">
        <v>5750</v>
      </c>
      <c r="C988" s="29">
        <v>44948.52</v>
      </c>
      <c r="D988" s="30">
        <f t="shared" si="30"/>
        <v>0</v>
      </c>
      <c r="E988" s="30">
        <f t="shared" si="31"/>
        <v>-1.7411301781615547E-2</v>
      </c>
    </row>
    <row r="989" spans="1:5" x14ac:dyDescent="0.35">
      <c r="A989" s="27">
        <v>44365</v>
      </c>
      <c r="B989" s="28">
        <v>5750</v>
      </c>
      <c r="C989" s="29">
        <v>45745</v>
      </c>
      <c r="D989" s="30">
        <f t="shared" si="30"/>
        <v>-5.1903114186851208E-3</v>
      </c>
      <c r="E989" s="30">
        <f t="shared" si="31"/>
        <v>-1.601246391382475E-2</v>
      </c>
    </row>
    <row r="990" spans="1:5" x14ac:dyDescent="0.35">
      <c r="A990" s="27">
        <v>44364</v>
      </c>
      <c r="B990" s="28">
        <v>5780</v>
      </c>
      <c r="C990" s="29">
        <v>46489.41</v>
      </c>
      <c r="D990" s="30">
        <f t="shared" si="30"/>
        <v>5.2173913043478265E-3</v>
      </c>
      <c r="E990" s="30">
        <f t="shared" si="31"/>
        <v>8.2174342069594453E-3</v>
      </c>
    </row>
    <row r="991" spans="1:5" x14ac:dyDescent="0.35">
      <c r="A991" s="27">
        <v>44363</v>
      </c>
      <c r="B991" s="28">
        <v>5750</v>
      </c>
      <c r="C991" s="29">
        <v>46110.5</v>
      </c>
      <c r="D991" s="30">
        <f t="shared" si="30"/>
        <v>3.4904013961605585E-3</v>
      </c>
      <c r="E991" s="30">
        <f t="shared" si="31"/>
        <v>-1.8166696323927924E-3</v>
      </c>
    </row>
    <row r="992" spans="1:5" x14ac:dyDescent="0.35">
      <c r="A992" s="27">
        <v>44362</v>
      </c>
      <c r="B992" s="28">
        <v>5730</v>
      </c>
      <c r="C992" s="29">
        <v>46194.42</v>
      </c>
      <c r="D992" s="30">
        <f t="shared" si="30"/>
        <v>-1.189860320744956E-2</v>
      </c>
      <c r="E992" s="30">
        <f t="shared" si="31"/>
        <v>-7.4874991701207594E-3</v>
      </c>
    </row>
    <row r="993" spans="1:5" x14ac:dyDescent="0.35">
      <c r="A993" s="27">
        <v>44361</v>
      </c>
      <c r="B993" s="28">
        <v>5799</v>
      </c>
      <c r="C993" s="29">
        <v>46542.91</v>
      </c>
      <c r="D993" s="30">
        <f t="shared" si="30"/>
        <v>-8.6214328821450129E-5</v>
      </c>
      <c r="E993" s="30">
        <f t="shared" si="31"/>
        <v>1.7636990868951711E-2</v>
      </c>
    </row>
    <row r="994" spans="1:5" x14ac:dyDescent="0.35">
      <c r="A994" s="27">
        <v>44358</v>
      </c>
      <c r="B994" s="28">
        <v>5799.5</v>
      </c>
      <c r="C994" s="29">
        <v>45736.26</v>
      </c>
      <c r="D994" s="30">
        <f t="shared" si="30"/>
        <v>-8.6206896551724131E-5</v>
      </c>
      <c r="E994" s="30">
        <f t="shared" si="31"/>
        <v>-2.8175386865109884E-4</v>
      </c>
    </row>
    <row r="995" spans="1:5" x14ac:dyDescent="0.35">
      <c r="A995" s="27">
        <v>44357</v>
      </c>
      <c r="B995" s="28">
        <v>5800</v>
      </c>
      <c r="C995" s="29">
        <v>45749.15</v>
      </c>
      <c r="D995" s="30">
        <f t="shared" si="30"/>
        <v>1.4855383107907058E-2</v>
      </c>
      <c r="E995" s="30">
        <f t="shared" si="31"/>
        <v>-1.2924563596671948E-2</v>
      </c>
    </row>
    <row r="996" spans="1:5" x14ac:dyDescent="0.35">
      <c r="A996" s="27">
        <v>44356</v>
      </c>
      <c r="B996" s="28">
        <v>5715.1</v>
      </c>
      <c r="C996" s="29">
        <v>46348.18</v>
      </c>
      <c r="D996" s="30">
        <f t="shared" si="30"/>
        <v>-1.0577888577265236E-2</v>
      </c>
      <c r="E996" s="30">
        <f t="shared" si="31"/>
        <v>-1.1148728521241356E-3</v>
      </c>
    </row>
    <row r="997" spans="1:5" x14ac:dyDescent="0.35">
      <c r="A997" s="27">
        <v>44355</v>
      </c>
      <c r="B997" s="28">
        <v>5776.2</v>
      </c>
      <c r="C997" s="29">
        <v>46399.91</v>
      </c>
      <c r="D997" s="30">
        <f t="shared" si="30"/>
        <v>1.2178667180682357E-2</v>
      </c>
      <c r="E997" s="30">
        <f t="shared" si="31"/>
        <v>-1.5178380406766022E-2</v>
      </c>
    </row>
    <row r="998" spans="1:5" x14ac:dyDescent="0.35">
      <c r="A998" s="27">
        <v>44354</v>
      </c>
      <c r="B998" s="28">
        <v>5706.7</v>
      </c>
      <c r="C998" s="29">
        <v>47115.040000000001</v>
      </c>
      <c r="D998" s="30">
        <f t="shared" si="30"/>
        <v>-1.5047329099085549E-3</v>
      </c>
      <c r="E998" s="30">
        <f t="shared" si="31"/>
        <v>-3.8219038476989928E-3</v>
      </c>
    </row>
    <row r="999" spans="1:5" x14ac:dyDescent="0.35">
      <c r="A999" s="27">
        <v>44351</v>
      </c>
      <c r="B999" s="28">
        <v>5715.3</v>
      </c>
      <c r="C999" s="29">
        <v>47295.8</v>
      </c>
      <c r="D999" s="30">
        <f t="shared" si="30"/>
        <v>4.6582759105611021E-3</v>
      </c>
      <c r="E999" s="30">
        <f t="shared" si="31"/>
        <v>1.6226457130344622E-3</v>
      </c>
    </row>
    <row r="1000" spans="1:5" x14ac:dyDescent="0.35">
      <c r="A1000" s="27">
        <v>44350</v>
      </c>
      <c r="B1000" s="28">
        <v>5688.8</v>
      </c>
      <c r="C1000" s="29">
        <v>47219.18</v>
      </c>
      <c r="D1000" s="30">
        <f t="shared" si="30"/>
        <v>1.8348459624438356E-2</v>
      </c>
      <c r="E1000" s="30">
        <f t="shared" si="31"/>
        <v>3.9704510333718164E-3</v>
      </c>
    </row>
    <row r="1001" spans="1:5" x14ac:dyDescent="0.35">
      <c r="A1001" s="27">
        <v>44349</v>
      </c>
      <c r="B1001" s="28">
        <v>5586.3</v>
      </c>
      <c r="C1001" s="29">
        <v>47032.44</v>
      </c>
      <c r="D1001" s="30">
        <f t="shared" si="30"/>
        <v>-1.9947368421052599E-2</v>
      </c>
      <c r="E1001" s="30">
        <f t="shared" si="31"/>
        <v>-1.7082362969647377E-3</v>
      </c>
    </row>
    <row r="1002" spans="1:5" x14ac:dyDescent="0.35">
      <c r="A1002" s="27">
        <v>44348</v>
      </c>
      <c r="B1002" s="28">
        <v>5700</v>
      </c>
      <c r="C1002" s="29">
        <v>47112.92</v>
      </c>
      <c r="D1002" s="30">
        <f t="shared" si="30"/>
        <v>3.0796304443466782E-3</v>
      </c>
      <c r="E1002" s="30">
        <f t="shared" si="31"/>
        <v>3.5510853804811746E-3</v>
      </c>
    </row>
    <row r="1003" spans="1:5" x14ac:dyDescent="0.35">
      <c r="A1003" s="27">
        <v>44347</v>
      </c>
      <c r="B1003" s="28">
        <v>5682.5</v>
      </c>
      <c r="C1003" s="29">
        <v>46946.21</v>
      </c>
      <c r="D1003" s="30">
        <f t="shared" si="30"/>
        <v>7.7490709920565609E-4</v>
      </c>
      <c r="E1003" s="30">
        <f t="shared" si="31"/>
        <v>1.5735543856164536E-2</v>
      </c>
    </row>
    <row r="1004" spans="1:5" x14ac:dyDescent="0.35">
      <c r="A1004" s="27">
        <v>44343</v>
      </c>
      <c r="B1004" s="28">
        <v>5678.1</v>
      </c>
      <c r="C1004" s="29">
        <v>46218.93</v>
      </c>
      <c r="D1004" s="30">
        <f t="shared" si="30"/>
        <v>-1.1644908616187926E-2</v>
      </c>
      <c r="E1004" s="30">
        <f t="shared" si="31"/>
        <v>4.9618694897862478E-3</v>
      </c>
    </row>
    <row r="1005" spans="1:5" x14ac:dyDescent="0.35">
      <c r="A1005" s="27">
        <v>44342</v>
      </c>
      <c r="B1005" s="28">
        <v>5745</v>
      </c>
      <c r="C1005" s="29">
        <v>45990.73</v>
      </c>
      <c r="D1005" s="30">
        <f t="shared" si="30"/>
        <v>-8.6956521739130438E-4</v>
      </c>
      <c r="E1005" s="30">
        <f t="shared" si="31"/>
        <v>3.0466048316461812E-3</v>
      </c>
    </row>
    <row r="1006" spans="1:5" x14ac:dyDescent="0.35">
      <c r="A1006" s="27">
        <v>44341</v>
      </c>
      <c r="B1006" s="28">
        <v>5750</v>
      </c>
      <c r="C1006" s="29">
        <v>45851.040000000001</v>
      </c>
      <c r="D1006" s="30">
        <f t="shared" si="30"/>
        <v>-1.8747396194973235E-3</v>
      </c>
      <c r="E1006" s="30">
        <f t="shared" si="31"/>
        <v>1.3148759567243878E-2</v>
      </c>
    </row>
    <row r="1007" spans="1:5" x14ac:dyDescent="0.35">
      <c r="A1007" s="27">
        <v>44340</v>
      </c>
      <c r="B1007" s="28">
        <v>5760.8</v>
      </c>
      <c r="C1007" s="29">
        <v>45255.98</v>
      </c>
      <c r="D1007" s="30">
        <f t="shared" si="30"/>
        <v>-6.4160055191445015E-3</v>
      </c>
      <c r="E1007" s="30">
        <f t="shared" si="31"/>
        <v>-3.8134046765495415E-3</v>
      </c>
    </row>
    <row r="1008" spans="1:5" x14ac:dyDescent="0.35">
      <c r="A1008" s="27">
        <v>44337</v>
      </c>
      <c r="B1008" s="28">
        <v>5798</v>
      </c>
      <c r="C1008" s="29">
        <v>45429.22</v>
      </c>
      <c r="D1008" s="30">
        <f t="shared" si="30"/>
        <v>4.4628218294506569E-2</v>
      </c>
      <c r="E1008" s="30">
        <f t="shared" si="31"/>
        <v>-3.2721668791944121E-3</v>
      </c>
    </row>
    <row r="1009" spans="1:5" x14ac:dyDescent="0.35">
      <c r="A1009" s="27">
        <v>44336</v>
      </c>
      <c r="B1009" s="28">
        <v>5550.3</v>
      </c>
      <c r="C1009" s="29">
        <v>45578.36</v>
      </c>
      <c r="D1009" s="30">
        <f t="shared" si="30"/>
        <v>5.405405405408683E-5</v>
      </c>
      <c r="E1009" s="30">
        <f t="shared" si="31"/>
        <v>-5.3040718965374446E-3</v>
      </c>
    </row>
    <row r="1010" spans="1:5" x14ac:dyDescent="0.35">
      <c r="A1010" s="27">
        <v>44335</v>
      </c>
      <c r="B1010" s="28">
        <v>5550</v>
      </c>
      <c r="C1010" s="29">
        <v>45821.4</v>
      </c>
      <c r="D1010" s="30">
        <f t="shared" si="30"/>
        <v>-8.9285714285714281E-3</v>
      </c>
      <c r="E1010" s="30">
        <f t="shared" si="31"/>
        <v>7.0756883708070891E-3</v>
      </c>
    </row>
    <row r="1011" spans="1:5" x14ac:dyDescent="0.35">
      <c r="A1011" s="27">
        <v>44334</v>
      </c>
      <c r="B1011" s="28">
        <v>5600</v>
      </c>
      <c r="C1011" s="29">
        <v>45499.46</v>
      </c>
      <c r="D1011" s="30">
        <f t="shared" si="30"/>
        <v>0</v>
      </c>
      <c r="E1011" s="30">
        <f t="shared" si="31"/>
        <v>1.9494078461643648E-2</v>
      </c>
    </row>
    <row r="1012" spans="1:5" x14ac:dyDescent="0.35">
      <c r="A1012" s="27">
        <v>44333</v>
      </c>
      <c r="B1012" s="28">
        <v>5600</v>
      </c>
      <c r="C1012" s="29">
        <v>44629.45</v>
      </c>
      <c r="D1012" s="30">
        <f t="shared" si="30"/>
        <v>0</v>
      </c>
      <c r="E1012" s="30">
        <f t="shared" si="31"/>
        <v>-4.2854405014733261E-3</v>
      </c>
    </row>
    <row r="1013" spans="1:5" x14ac:dyDescent="0.35">
      <c r="A1013" s="27">
        <v>44321</v>
      </c>
      <c r="B1013" s="28">
        <v>5600</v>
      </c>
      <c r="C1013" s="29">
        <v>44821.53</v>
      </c>
      <c r="D1013" s="30">
        <f t="shared" si="30"/>
        <v>-1.7825311942959001E-3</v>
      </c>
      <c r="E1013" s="30">
        <f t="shared" si="31"/>
        <v>1.1004049291644604E-2</v>
      </c>
    </row>
    <row r="1014" spans="1:5" x14ac:dyDescent="0.35">
      <c r="A1014" s="27">
        <v>44320</v>
      </c>
      <c r="B1014" s="28">
        <v>5610</v>
      </c>
      <c r="C1014" s="29">
        <v>44333.68</v>
      </c>
      <c r="D1014" s="30">
        <f t="shared" si="30"/>
        <v>-2.0087336244541485E-2</v>
      </c>
      <c r="E1014" s="30">
        <f t="shared" si="31"/>
        <v>2.5725456008521663E-2</v>
      </c>
    </row>
    <row r="1015" spans="1:5" x14ac:dyDescent="0.35">
      <c r="A1015" s="27">
        <v>44319</v>
      </c>
      <c r="B1015" s="28">
        <v>5725</v>
      </c>
      <c r="C1015" s="29">
        <v>43221.78</v>
      </c>
      <c r="D1015" s="30">
        <f t="shared" si="30"/>
        <v>-2.3525311492550317E-3</v>
      </c>
      <c r="E1015" s="30">
        <f t="shared" si="31"/>
        <v>-1.5069589463638443E-2</v>
      </c>
    </row>
    <row r="1016" spans="1:5" x14ac:dyDescent="0.35">
      <c r="A1016" s="27">
        <v>44316</v>
      </c>
      <c r="B1016" s="28">
        <v>5738.5</v>
      </c>
      <c r="C1016" s="29">
        <v>43883.08</v>
      </c>
      <c r="D1016" s="30">
        <f t="shared" si="30"/>
        <v>-2.8670721112076455E-3</v>
      </c>
      <c r="E1016" s="30">
        <f t="shared" si="31"/>
        <v>1.2258908699308386E-3</v>
      </c>
    </row>
    <row r="1017" spans="1:5" x14ac:dyDescent="0.35">
      <c r="A1017" s="27">
        <v>44315</v>
      </c>
      <c r="B1017" s="28">
        <v>5755</v>
      </c>
      <c r="C1017" s="29">
        <v>43829.35</v>
      </c>
      <c r="D1017" s="30">
        <f t="shared" si="30"/>
        <v>-1.7346053772766695E-3</v>
      </c>
      <c r="E1017" s="30">
        <f t="shared" si="31"/>
        <v>-1.4566554616823138E-2</v>
      </c>
    </row>
    <row r="1018" spans="1:5" x14ac:dyDescent="0.35">
      <c r="A1018" s="27">
        <v>44314</v>
      </c>
      <c r="B1018" s="28">
        <v>5765</v>
      </c>
      <c r="C1018" s="29">
        <v>44477.23</v>
      </c>
      <c r="D1018" s="30">
        <f t="shared" si="30"/>
        <v>-1.2926975430185771E-2</v>
      </c>
      <c r="E1018" s="30">
        <f t="shared" si="31"/>
        <v>-2.4404499704391257E-3</v>
      </c>
    </row>
    <row r="1019" spans="1:5" x14ac:dyDescent="0.35">
      <c r="A1019" s="27">
        <v>44313</v>
      </c>
      <c r="B1019" s="28">
        <v>5840.5</v>
      </c>
      <c r="C1019" s="29">
        <v>44586.04</v>
      </c>
      <c r="D1019" s="30">
        <f t="shared" si="30"/>
        <v>1.573913043478261E-2</v>
      </c>
      <c r="E1019" s="30">
        <f t="shared" si="31"/>
        <v>4.7959096058591555E-3</v>
      </c>
    </row>
    <row r="1020" spans="1:5" x14ac:dyDescent="0.35">
      <c r="A1020" s="27">
        <v>44312</v>
      </c>
      <c r="B1020" s="28">
        <v>5750</v>
      </c>
      <c r="C1020" s="29">
        <v>44373.23</v>
      </c>
      <c r="D1020" s="30">
        <f t="shared" si="30"/>
        <v>7.0052539404553416E-3</v>
      </c>
      <c r="E1020" s="30">
        <f t="shared" si="31"/>
        <v>-6.5673276457090058E-3</v>
      </c>
    </row>
    <row r="1021" spans="1:5" x14ac:dyDescent="0.35">
      <c r="A1021" s="27">
        <v>44309</v>
      </c>
      <c r="B1021" s="28">
        <v>5710</v>
      </c>
      <c r="C1021" s="29">
        <v>44666.57</v>
      </c>
      <c r="D1021" s="30">
        <f t="shared" si="30"/>
        <v>2.627660506262591E-4</v>
      </c>
      <c r="E1021" s="30">
        <f t="shared" si="31"/>
        <v>-8.3901475207850077E-3</v>
      </c>
    </row>
    <row r="1022" spans="1:5" x14ac:dyDescent="0.35">
      <c r="A1022" s="27">
        <v>44308</v>
      </c>
      <c r="B1022" s="28">
        <v>5708.5</v>
      </c>
      <c r="C1022" s="29">
        <v>45044.5</v>
      </c>
      <c r="D1022" s="30">
        <f t="shared" si="30"/>
        <v>-3.0562347188264061E-3</v>
      </c>
      <c r="E1022" s="30">
        <f t="shared" si="31"/>
        <v>3.8509795706425857E-3</v>
      </c>
    </row>
    <row r="1023" spans="1:5" x14ac:dyDescent="0.35">
      <c r="A1023" s="27">
        <v>44307</v>
      </c>
      <c r="B1023" s="28">
        <v>5726</v>
      </c>
      <c r="C1023" s="29">
        <v>44871.7</v>
      </c>
      <c r="D1023" s="30">
        <f t="shared" si="30"/>
        <v>-1.2758620689655173E-2</v>
      </c>
      <c r="E1023" s="30">
        <f t="shared" si="31"/>
        <v>-6.2138638206134255E-4</v>
      </c>
    </row>
    <row r="1024" spans="1:5" x14ac:dyDescent="0.35">
      <c r="A1024" s="27">
        <v>44306</v>
      </c>
      <c r="B1024" s="28">
        <v>5800</v>
      </c>
      <c r="C1024" s="29">
        <v>44899.6</v>
      </c>
      <c r="D1024" s="30">
        <f t="shared" si="30"/>
        <v>1.5761821366024518E-2</v>
      </c>
      <c r="E1024" s="30">
        <f t="shared" si="31"/>
        <v>1.2010348292437096E-2</v>
      </c>
    </row>
    <row r="1025" spans="1:5" x14ac:dyDescent="0.35">
      <c r="A1025" s="27">
        <v>44305</v>
      </c>
      <c r="B1025" s="28">
        <v>5710</v>
      </c>
      <c r="C1025" s="29">
        <v>44366.74</v>
      </c>
      <c r="D1025" s="30">
        <f t="shared" si="30"/>
        <v>-9.8494832489422514E-3</v>
      </c>
      <c r="E1025" s="30">
        <f t="shared" si="31"/>
        <v>-2.0059445702069606E-2</v>
      </c>
    </row>
    <row r="1026" spans="1:5" x14ac:dyDescent="0.35">
      <c r="A1026" s="27">
        <v>44302</v>
      </c>
      <c r="B1026" s="28">
        <v>5766.8</v>
      </c>
      <c r="C1026" s="29">
        <v>45274.93</v>
      </c>
      <c r="D1026" s="30">
        <f t="shared" si="30"/>
        <v>-1.4474920960437464E-2</v>
      </c>
      <c r="E1026" s="30">
        <f t="shared" si="31"/>
        <v>1.0200643673400862E-2</v>
      </c>
    </row>
    <row r="1027" spans="1:5" x14ac:dyDescent="0.35">
      <c r="A1027" s="27">
        <v>44301</v>
      </c>
      <c r="B1027" s="28">
        <v>5851.5</v>
      </c>
      <c r="C1027" s="29">
        <v>44817.760000000002</v>
      </c>
      <c r="D1027" s="30">
        <f t="shared" si="30"/>
        <v>7.1428571428571426E-3</v>
      </c>
      <c r="E1027" s="30">
        <f t="shared" si="31"/>
        <v>-5.6742850347608698E-3</v>
      </c>
    </row>
    <row r="1028" spans="1:5" x14ac:dyDescent="0.35">
      <c r="A1028" s="27">
        <v>44300</v>
      </c>
      <c r="B1028" s="28">
        <v>5810</v>
      </c>
      <c r="C1028" s="29">
        <v>45073.52</v>
      </c>
      <c r="D1028" s="30">
        <f t="shared" si="30"/>
        <v>-6.8376068376068376E-3</v>
      </c>
      <c r="E1028" s="30">
        <f t="shared" si="31"/>
        <v>-4.9310239469031996E-3</v>
      </c>
    </row>
    <row r="1029" spans="1:5" x14ac:dyDescent="0.35">
      <c r="A1029" s="27">
        <v>44299</v>
      </c>
      <c r="B1029" s="28">
        <v>5850</v>
      </c>
      <c r="C1029" s="29">
        <v>45296.88</v>
      </c>
      <c r="D1029" s="30">
        <f t="shared" ref="D1029:D1092" si="32">(B1029-B1030)/B1030</f>
        <v>5.1546391752577319E-3</v>
      </c>
      <c r="E1029" s="30">
        <f t="shared" ref="E1029:E1092" si="33">(C1029-C1030)/C1030</f>
        <v>-6.5872408066804172E-3</v>
      </c>
    </row>
    <row r="1030" spans="1:5" x14ac:dyDescent="0.35">
      <c r="A1030" s="27">
        <v>44298</v>
      </c>
      <c r="B1030" s="28">
        <v>5820</v>
      </c>
      <c r="C1030" s="29">
        <v>45597.24</v>
      </c>
      <c r="D1030" s="30">
        <f t="shared" si="32"/>
        <v>-4.9581124978628826E-3</v>
      </c>
      <c r="E1030" s="30">
        <f t="shared" si="33"/>
        <v>-8.9463222836476154E-3</v>
      </c>
    </row>
    <row r="1031" spans="1:5" x14ac:dyDescent="0.35">
      <c r="A1031" s="27">
        <v>44295</v>
      </c>
      <c r="B1031" s="28">
        <v>5849</v>
      </c>
      <c r="C1031" s="29">
        <v>46008.85</v>
      </c>
      <c r="D1031" s="30">
        <f t="shared" si="32"/>
        <v>8.4482758620689647E-3</v>
      </c>
      <c r="E1031" s="30">
        <f t="shared" si="33"/>
        <v>-1.1162260486702595E-2</v>
      </c>
    </row>
    <row r="1032" spans="1:5" x14ac:dyDescent="0.35">
      <c r="A1032" s="27">
        <v>44294</v>
      </c>
      <c r="B1032" s="28">
        <v>5800</v>
      </c>
      <c r="C1032" s="29">
        <v>46528.21</v>
      </c>
      <c r="D1032" s="30">
        <f t="shared" si="32"/>
        <v>-1.7211703958691911E-3</v>
      </c>
      <c r="E1032" s="30">
        <f t="shared" si="33"/>
        <v>-2.3130160167836281E-3</v>
      </c>
    </row>
    <row r="1033" spans="1:5" x14ac:dyDescent="0.35">
      <c r="A1033" s="27">
        <v>44293</v>
      </c>
      <c r="B1033" s="28">
        <v>5810</v>
      </c>
      <c r="C1033" s="29">
        <v>46636.08</v>
      </c>
      <c r="D1033" s="30">
        <f t="shared" si="32"/>
        <v>-6.8376068376068376E-3</v>
      </c>
      <c r="E1033" s="30">
        <f t="shared" si="33"/>
        <v>-6.0608953961661374E-3</v>
      </c>
    </row>
    <row r="1034" spans="1:5" x14ac:dyDescent="0.35">
      <c r="A1034" s="27">
        <v>44292</v>
      </c>
      <c r="B1034" s="28">
        <v>5850</v>
      </c>
      <c r="C1034" s="29">
        <v>46920.46</v>
      </c>
      <c r="D1034" s="30">
        <f t="shared" si="32"/>
        <v>0</v>
      </c>
      <c r="E1034" s="30">
        <f t="shared" si="33"/>
        <v>4.3611794663666022E-3</v>
      </c>
    </row>
    <row r="1035" spans="1:5" x14ac:dyDescent="0.35">
      <c r="A1035" s="27">
        <v>44291</v>
      </c>
      <c r="B1035" s="28">
        <v>5850</v>
      </c>
      <c r="C1035" s="29">
        <v>46716.72</v>
      </c>
      <c r="D1035" s="30">
        <f t="shared" si="32"/>
        <v>-8.4745762711864406E-3</v>
      </c>
      <c r="E1035" s="30">
        <f t="shared" si="33"/>
        <v>-3.7239285548247365E-3</v>
      </c>
    </row>
    <row r="1036" spans="1:5" x14ac:dyDescent="0.35">
      <c r="A1036" s="27">
        <v>44288</v>
      </c>
      <c r="B1036" s="28">
        <v>5900</v>
      </c>
      <c r="C1036" s="29">
        <v>46891.34</v>
      </c>
      <c r="D1036" s="30">
        <f t="shared" si="32"/>
        <v>8.5470085470085479E-3</v>
      </c>
      <c r="E1036" s="30">
        <f t="shared" si="33"/>
        <v>-8.0202308164549832E-3</v>
      </c>
    </row>
    <row r="1037" spans="1:5" x14ac:dyDescent="0.35">
      <c r="A1037" s="27">
        <v>44287</v>
      </c>
      <c r="B1037" s="28">
        <v>5850</v>
      </c>
      <c r="C1037" s="29">
        <v>47270.46</v>
      </c>
      <c r="D1037" s="30">
        <f t="shared" si="32"/>
        <v>1.7094309304494746E-5</v>
      </c>
      <c r="E1037" s="30">
        <f t="shared" si="33"/>
        <v>1.5290808205127399E-3</v>
      </c>
    </row>
    <row r="1038" spans="1:5" x14ac:dyDescent="0.35">
      <c r="A1038" s="27">
        <v>44286</v>
      </c>
      <c r="B1038" s="28">
        <v>5849.9</v>
      </c>
      <c r="C1038" s="29">
        <v>47198.29</v>
      </c>
      <c r="D1038" s="30">
        <f t="shared" si="32"/>
        <v>-1.7094017094079281E-5</v>
      </c>
      <c r="E1038" s="30">
        <f t="shared" si="33"/>
        <v>1.2293158709296582E-2</v>
      </c>
    </row>
    <row r="1039" spans="1:5" x14ac:dyDescent="0.35">
      <c r="A1039" s="27">
        <v>44285</v>
      </c>
      <c r="B1039" s="28">
        <v>5850</v>
      </c>
      <c r="C1039" s="29">
        <v>46625.120000000003</v>
      </c>
      <c r="D1039" s="30">
        <f t="shared" si="32"/>
        <v>4.2753313381787086E-4</v>
      </c>
      <c r="E1039" s="30">
        <f t="shared" si="33"/>
        <v>4.9229783749753699E-3</v>
      </c>
    </row>
    <row r="1040" spans="1:5" x14ac:dyDescent="0.35">
      <c r="A1040" s="27">
        <v>44284</v>
      </c>
      <c r="B1040" s="28">
        <v>5847.5</v>
      </c>
      <c r="C1040" s="29">
        <v>46396.71</v>
      </c>
      <c r="D1040" s="30">
        <f t="shared" si="32"/>
        <v>-1.5572390572390573E-2</v>
      </c>
      <c r="E1040" s="30">
        <f t="shared" si="33"/>
        <v>-7.1313992136950262E-3</v>
      </c>
    </row>
    <row r="1041" spans="1:5" x14ac:dyDescent="0.35">
      <c r="A1041" s="27">
        <v>44281</v>
      </c>
      <c r="B1041" s="28">
        <v>5940</v>
      </c>
      <c r="C1041" s="29">
        <v>46729.96</v>
      </c>
      <c r="D1041" s="30">
        <f t="shared" si="32"/>
        <v>-9.5873280533555656E-3</v>
      </c>
      <c r="E1041" s="30">
        <f t="shared" si="33"/>
        <v>-4.018882096025145E-3</v>
      </c>
    </row>
    <row r="1042" spans="1:5" x14ac:dyDescent="0.35">
      <c r="A1042" s="27">
        <v>44280</v>
      </c>
      <c r="B1042" s="28">
        <v>5997.5</v>
      </c>
      <c r="C1042" s="29">
        <v>46918.52</v>
      </c>
      <c r="D1042" s="30">
        <f t="shared" si="32"/>
        <v>7.9831932773109238E-3</v>
      </c>
      <c r="E1042" s="30">
        <f t="shared" si="33"/>
        <v>-8.2947398997442509E-4</v>
      </c>
    </row>
    <row r="1043" spans="1:5" x14ac:dyDescent="0.35">
      <c r="A1043" s="27">
        <v>44279</v>
      </c>
      <c r="B1043" s="28">
        <v>5950</v>
      </c>
      <c r="C1043" s="29">
        <v>46957.47</v>
      </c>
      <c r="D1043" s="30">
        <f t="shared" si="32"/>
        <v>2.6897989375300317E-4</v>
      </c>
      <c r="E1043" s="30">
        <f t="shared" si="33"/>
        <v>1.1600522439261637E-3</v>
      </c>
    </row>
    <row r="1044" spans="1:5" x14ac:dyDescent="0.35">
      <c r="A1044" s="27">
        <v>44277</v>
      </c>
      <c r="B1044" s="28">
        <v>5948.4</v>
      </c>
      <c r="C1044" s="29">
        <v>46903.06</v>
      </c>
      <c r="D1044" s="30">
        <f t="shared" si="32"/>
        <v>1.5952177625960656E-2</v>
      </c>
      <c r="E1044" s="30">
        <f t="shared" si="33"/>
        <v>-1.0764875628144445E-2</v>
      </c>
    </row>
    <row r="1045" spans="1:5" x14ac:dyDescent="0.35">
      <c r="A1045" s="27">
        <v>44274</v>
      </c>
      <c r="B1045" s="28">
        <v>5855</v>
      </c>
      <c r="C1045" s="29">
        <v>47413.46</v>
      </c>
      <c r="D1045" s="30">
        <f t="shared" si="32"/>
        <v>-2.4166666666666666E-2</v>
      </c>
      <c r="E1045" s="30">
        <f t="shared" si="33"/>
        <v>-1.3243429845880293E-4</v>
      </c>
    </row>
    <row r="1046" spans="1:5" x14ac:dyDescent="0.35">
      <c r="A1046" s="27">
        <v>44273</v>
      </c>
      <c r="B1046" s="28">
        <v>6000</v>
      </c>
      <c r="C1046" s="29">
        <v>47419.74</v>
      </c>
      <c r="D1046" s="30">
        <f t="shared" si="32"/>
        <v>8.4033613445378148E-3</v>
      </c>
      <c r="E1046" s="30">
        <f t="shared" si="33"/>
        <v>1.1409099833846197E-3</v>
      </c>
    </row>
    <row r="1047" spans="1:5" x14ac:dyDescent="0.35">
      <c r="A1047" s="27">
        <v>44272</v>
      </c>
      <c r="B1047" s="28">
        <v>5950</v>
      </c>
      <c r="C1047" s="29">
        <v>47365.7</v>
      </c>
      <c r="D1047" s="30">
        <f t="shared" si="32"/>
        <v>8.4745762711864406E-3</v>
      </c>
      <c r="E1047" s="30">
        <f t="shared" si="33"/>
        <v>4.8618343352809009E-3</v>
      </c>
    </row>
    <row r="1048" spans="1:5" x14ac:dyDescent="0.35">
      <c r="A1048" s="27">
        <v>44271</v>
      </c>
      <c r="B1048" s="28">
        <v>5900</v>
      </c>
      <c r="C1048" s="29">
        <v>47136.53</v>
      </c>
      <c r="D1048" s="30">
        <f t="shared" si="32"/>
        <v>-2.2563864683078728E-2</v>
      </c>
      <c r="E1048" s="30">
        <f t="shared" si="33"/>
        <v>-4.7872539206013009E-3</v>
      </c>
    </row>
    <row r="1049" spans="1:5" x14ac:dyDescent="0.35">
      <c r="A1049" s="27">
        <v>44270</v>
      </c>
      <c r="B1049" s="28">
        <v>6036.2</v>
      </c>
      <c r="C1049" s="29">
        <v>47363.27</v>
      </c>
      <c r="D1049" s="30">
        <f t="shared" si="32"/>
        <v>4.9773913043478231E-2</v>
      </c>
      <c r="E1049" s="30">
        <f t="shared" si="33"/>
        <v>-5.7232045579070547E-3</v>
      </c>
    </row>
    <row r="1050" spans="1:5" x14ac:dyDescent="0.35">
      <c r="A1050" s="27">
        <v>44267</v>
      </c>
      <c r="B1050" s="28">
        <v>5750</v>
      </c>
      <c r="C1050" s="29">
        <v>47635.9</v>
      </c>
      <c r="D1050" s="30">
        <f t="shared" si="32"/>
        <v>6.9170825672007705E-3</v>
      </c>
      <c r="E1050" s="30">
        <f t="shared" si="33"/>
        <v>-4.0312607218550879E-3</v>
      </c>
    </row>
    <row r="1051" spans="1:5" x14ac:dyDescent="0.35">
      <c r="A1051" s="27">
        <v>44266</v>
      </c>
      <c r="B1051" s="28">
        <v>5710.5</v>
      </c>
      <c r="C1051" s="29">
        <v>47828.71</v>
      </c>
      <c r="D1051" s="30">
        <f t="shared" si="32"/>
        <v>-3.9929388029589778E-2</v>
      </c>
      <c r="E1051" s="30">
        <f t="shared" si="33"/>
        <v>-5.8924751118271225E-3</v>
      </c>
    </row>
    <row r="1052" spans="1:5" x14ac:dyDescent="0.35">
      <c r="A1052" s="27">
        <v>44265</v>
      </c>
      <c r="B1052" s="28">
        <v>5948</v>
      </c>
      <c r="C1052" s="29">
        <v>48112.21</v>
      </c>
      <c r="D1052" s="30">
        <f t="shared" si="32"/>
        <v>3.5939055460880729E-3</v>
      </c>
      <c r="E1052" s="30">
        <f t="shared" si="33"/>
        <v>1.0764536504549794E-2</v>
      </c>
    </row>
    <row r="1053" spans="1:5" x14ac:dyDescent="0.35">
      <c r="A1053" s="27">
        <v>44264</v>
      </c>
      <c r="B1053" s="28">
        <v>5926.7</v>
      </c>
      <c r="C1053" s="29">
        <v>47599.82</v>
      </c>
      <c r="D1053" s="30">
        <f t="shared" si="32"/>
        <v>-2.6814449917898223E-2</v>
      </c>
      <c r="E1053" s="30">
        <f t="shared" si="33"/>
        <v>7.2234700884181062E-3</v>
      </c>
    </row>
    <row r="1054" spans="1:5" x14ac:dyDescent="0.35">
      <c r="A1054" s="27">
        <v>44263</v>
      </c>
      <c r="B1054" s="28">
        <v>6090</v>
      </c>
      <c r="C1054" s="29">
        <v>47258.45</v>
      </c>
      <c r="D1054" s="30">
        <f t="shared" si="32"/>
        <v>1.4800197335964479E-3</v>
      </c>
      <c r="E1054" s="30">
        <f t="shared" si="33"/>
        <v>7.3681399038512995E-3</v>
      </c>
    </row>
    <row r="1055" spans="1:5" x14ac:dyDescent="0.35">
      <c r="A1055" s="27">
        <v>44260</v>
      </c>
      <c r="B1055" s="28">
        <v>6081</v>
      </c>
      <c r="C1055" s="29">
        <v>46912.79</v>
      </c>
      <c r="D1055" s="30">
        <f t="shared" si="32"/>
        <v>-3.114754098360656E-3</v>
      </c>
      <c r="E1055" s="30">
        <f t="shared" si="33"/>
        <v>-5.4494566867302422E-3</v>
      </c>
    </row>
    <row r="1056" spans="1:5" x14ac:dyDescent="0.35">
      <c r="A1056" s="27">
        <v>44259</v>
      </c>
      <c r="B1056" s="28">
        <v>6100</v>
      </c>
      <c r="C1056" s="29">
        <v>47169.84</v>
      </c>
      <c r="D1056" s="30">
        <f t="shared" si="32"/>
        <v>2.6298487836949377E-3</v>
      </c>
      <c r="E1056" s="30">
        <f t="shared" si="33"/>
        <v>-2.1349349999874243E-3</v>
      </c>
    </row>
    <row r="1057" spans="1:5" x14ac:dyDescent="0.35">
      <c r="A1057" s="27">
        <v>44258</v>
      </c>
      <c r="B1057" s="28">
        <v>6084</v>
      </c>
      <c r="C1057" s="29">
        <v>47270.76</v>
      </c>
      <c r="D1057" s="30">
        <f t="shared" si="32"/>
        <v>-2.7864284543517455E-3</v>
      </c>
      <c r="E1057" s="30">
        <f t="shared" si="33"/>
        <v>-2.2504410332524795E-3</v>
      </c>
    </row>
    <row r="1058" spans="1:5" x14ac:dyDescent="0.35">
      <c r="A1058" s="27">
        <v>44257</v>
      </c>
      <c r="B1058" s="28">
        <v>6101</v>
      </c>
      <c r="C1058" s="29">
        <v>47377.38</v>
      </c>
      <c r="D1058" s="30">
        <f t="shared" si="32"/>
        <v>0</v>
      </c>
      <c r="E1058" s="30">
        <f t="shared" si="33"/>
        <v>5.1320152038335908E-3</v>
      </c>
    </row>
    <row r="1059" spans="1:5" x14ac:dyDescent="0.35">
      <c r="A1059" s="27">
        <v>44256</v>
      </c>
      <c r="B1059" s="28">
        <v>6101</v>
      </c>
      <c r="C1059" s="29">
        <v>47135.48</v>
      </c>
      <c r="D1059" s="30">
        <f t="shared" si="32"/>
        <v>-4.1947541090635769E-3</v>
      </c>
      <c r="E1059" s="30">
        <f t="shared" si="33"/>
        <v>2.5167845763972676E-4</v>
      </c>
    </row>
    <row r="1060" spans="1:5" x14ac:dyDescent="0.35">
      <c r="A1060" s="27">
        <v>44253</v>
      </c>
      <c r="B1060" s="28">
        <v>6126.7</v>
      </c>
      <c r="C1060" s="29">
        <v>47123.62</v>
      </c>
      <c r="D1060" s="30">
        <f t="shared" si="32"/>
        <v>-1.2555200979918213E-2</v>
      </c>
      <c r="E1060" s="30">
        <f t="shared" si="33"/>
        <v>-7.7138426130159013E-3</v>
      </c>
    </row>
    <row r="1061" spans="1:5" x14ac:dyDescent="0.35">
      <c r="A1061" s="27">
        <v>44252</v>
      </c>
      <c r="B1061" s="28">
        <v>6204.6</v>
      </c>
      <c r="C1061" s="29">
        <v>47489.95</v>
      </c>
      <c r="D1061" s="30">
        <f t="shared" si="32"/>
        <v>8.8780487804878648E-3</v>
      </c>
      <c r="E1061" s="30">
        <f t="shared" si="33"/>
        <v>-3.1680774998278853E-3</v>
      </c>
    </row>
    <row r="1062" spans="1:5" x14ac:dyDescent="0.35">
      <c r="A1062" s="27">
        <v>44251</v>
      </c>
      <c r="B1062" s="28">
        <v>6150</v>
      </c>
      <c r="C1062" s="29">
        <v>47640.88</v>
      </c>
      <c r="D1062" s="30">
        <f t="shared" si="32"/>
        <v>2.6411033943069253E-3</v>
      </c>
      <c r="E1062" s="30">
        <f t="shared" si="33"/>
        <v>-3.1178149013975347E-3</v>
      </c>
    </row>
    <row r="1063" spans="1:5" x14ac:dyDescent="0.35">
      <c r="A1063" s="27">
        <v>44250</v>
      </c>
      <c r="B1063" s="28">
        <v>6133.8</v>
      </c>
      <c r="C1063" s="29">
        <v>47789.88</v>
      </c>
      <c r="D1063" s="30">
        <f t="shared" si="32"/>
        <v>2.2385255142889525E-3</v>
      </c>
      <c r="E1063" s="30">
        <f t="shared" si="33"/>
        <v>6.6082726528063948E-4</v>
      </c>
    </row>
    <row r="1064" spans="1:5" x14ac:dyDescent="0.35">
      <c r="A1064" s="27">
        <v>44249</v>
      </c>
      <c r="B1064" s="28">
        <v>6120.1</v>
      </c>
      <c r="C1064" s="29">
        <v>47758.32</v>
      </c>
      <c r="D1064" s="30">
        <f t="shared" si="32"/>
        <v>-1.2887096774193489E-2</v>
      </c>
      <c r="E1064" s="30">
        <f t="shared" si="33"/>
        <v>6.428853661234999E-3</v>
      </c>
    </row>
    <row r="1065" spans="1:5" x14ac:dyDescent="0.35">
      <c r="A1065" s="27">
        <v>44246</v>
      </c>
      <c r="B1065" s="28">
        <v>6200</v>
      </c>
      <c r="C1065" s="29">
        <v>47453.25</v>
      </c>
      <c r="D1065" s="30">
        <f t="shared" si="32"/>
        <v>1.280710925248295E-2</v>
      </c>
      <c r="E1065" s="30">
        <f t="shared" si="33"/>
        <v>8.4572850363901515E-3</v>
      </c>
    </row>
    <row r="1066" spans="1:5" x14ac:dyDescent="0.35">
      <c r="A1066" s="27">
        <v>44245</v>
      </c>
      <c r="B1066" s="28">
        <v>6121.6</v>
      </c>
      <c r="C1066" s="29">
        <v>47055.29</v>
      </c>
      <c r="D1066" s="30">
        <f t="shared" si="32"/>
        <v>-1.2645161290322521E-2</v>
      </c>
      <c r="E1066" s="30">
        <f t="shared" si="33"/>
        <v>-5.4328332593216368E-3</v>
      </c>
    </row>
    <row r="1067" spans="1:5" x14ac:dyDescent="0.35">
      <c r="A1067" s="27">
        <v>44244</v>
      </c>
      <c r="B1067" s="28">
        <v>6200</v>
      </c>
      <c r="C1067" s="29">
        <v>47312.33</v>
      </c>
      <c r="D1067" s="30">
        <f t="shared" si="32"/>
        <v>-1.5942285705083234E-3</v>
      </c>
      <c r="E1067" s="30">
        <f t="shared" si="33"/>
        <v>-1.2046148159585447E-4</v>
      </c>
    </row>
    <row r="1068" spans="1:5" x14ac:dyDescent="0.35">
      <c r="A1068" s="27">
        <v>44243</v>
      </c>
      <c r="B1068" s="28">
        <v>6209.9</v>
      </c>
      <c r="C1068" s="29">
        <v>47318.03</v>
      </c>
      <c r="D1068" s="30">
        <f t="shared" si="32"/>
        <v>1.4352523786485465E-3</v>
      </c>
      <c r="E1068" s="30">
        <f t="shared" si="33"/>
        <v>-7.7371207534801239E-3</v>
      </c>
    </row>
    <row r="1069" spans="1:5" x14ac:dyDescent="0.35">
      <c r="A1069" s="27">
        <v>44242</v>
      </c>
      <c r="B1069" s="28">
        <v>6201</v>
      </c>
      <c r="C1069" s="29">
        <v>47686.99</v>
      </c>
      <c r="D1069" s="30">
        <f t="shared" si="32"/>
        <v>-5.1577963315170658E-4</v>
      </c>
      <c r="E1069" s="30">
        <f t="shared" si="33"/>
        <v>3.0017192236722737E-4</v>
      </c>
    </row>
    <row r="1070" spans="1:5" x14ac:dyDescent="0.35">
      <c r="A1070" s="27">
        <v>44239</v>
      </c>
      <c r="B1070" s="28">
        <v>6204.2</v>
      </c>
      <c r="C1070" s="29">
        <v>47672.68</v>
      </c>
      <c r="D1070" s="30">
        <f t="shared" si="32"/>
        <v>-2.5401929260450455E-3</v>
      </c>
      <c r="E1070" s="30">
        <f t="shared" si="33"/>
        <v>-2.5189844469082948E-3</v>
      </c>
    </row>
    <row r="1071" spans="1:5" x14ac:dyDescent="0.35">
      <c r="A1071" s="27">
        <v>44238</v>
      </c>
      <c r="B1071" s="28">
        <v>6220</v>
      </c>
      <c r="C1071" s="29">
        <v>47793.07</v>
      </c>
      <c r="D1071" s="30">
        <f t="shared" si="32"/>
        <v>-1.2698412698412698E-2</v>
      </c>
      <c r="E1071" s="30">
        <f t="shared" si="33"/>
        <v>-1.6750478241925101E-3</v>
      </c>
    </row>
    <row r="1072" spans="1:5" x14ac:dyDescent="0.35">
      <c r="A1072" s="27">
        <v>44237</v>
      </c>
      <c r="B1072" s="28">
        <v>6300</v>
      </c>
      <c r="C1072" s="29">
        <v>47873.26</v>
      </c>
      <c r="D1072" s="30">
        <f t="shared" si="32"/>
        <v>2.6991410380576E-4</v>
      </c>
      <c r="E1072" s="30">
        <f t="shared" si="33"/>
        <v>8.1385063823409445E-4</v>
      </c>
    </row>
    <row r="1073" spans="1:5" x14ac:dyDescent="0.35">
      <c r="A1073" s="27">
        <v>44236</v>
      </c>
      <c r="B1073" s="28">
        <v>6298.3</v>
      </c>
      <c r="C1073" s="29">
        <v>47834.33</v>
      </c>
      <c r="D1073" s="30">
        <f t="shared" si="32"/>
        <v>-2.2124580797416471E-2</v>
      </c>
      <c r="E1073" s="30">
        <f t="shared" si="33"/>
        <v>4.3266329695856977E-3</v>
      </c>
    </row>
    <row r="1074" spans="1:5" x14ac:dyDescent="0.35">
      <c r="A1074" s="27">
        <v>44235</v>
      </c>
      <c r="B1074" s="28">
        <v>6440.8</v>
      </c>
      <c r="C1074" s="29">
        <v>47628.26</v>
      </c>
      <c r="D1074" s="30">
        <f t="shared" si="32"/>
        <v>-5.2818532818532538E-3</v>
      </c>
      <c r="E1074" s="30">
        <f t="shared" si="33"/>
        <v>2.8803067161324099E-3</v>
      </c>
    </row>
    <row r="1075" spans="1:5" x14ac:dyDescent="0.35">
      <c r="A1075" s="27">
        <v>44231</v>
      </c>
      <c r="B1075" s="28">
        <v>6475</v>
      </c>
      <c r="C1075" s="29">
        <v>47491.47</v>
      </c>
      <c r="D1075" s="30">
        <f t="shared" si="32"/>
        <v>4.635352286773795E-4</v>
      </c>
      <c r="E1075" s="30">
        <f t="shared" si="33"/>
        <v>2.3125287881408136E-4</v>
      </c>
    </row>
    <row r="1076" spans="1:5" x14ac:dyDescent="0.35">
      <c r="A1076" s="27">
        <v>44230</v>
      </c>
      <c r="B1076" s="28">
        <v>6472</v>
      </c>
      <c r="C1076" s="29">
        <v>47480.49</v>
      </c>
      <c r="D1076" s="30">
        <f t="shared" si="32"/>
        <v>-1.1420810568879274E-3</v>
      </c>
      <c r="E1076" s="30">
        <f t="shared" si="33"/>
        <v>7.0415292152849478E-4</v>
      </c>
    </row>
    <row r="1077" spans="1:5" x14ac:dyDescent="0.35">
      <c r="A1077" s="27">
        <v>44229</v>
      </c>
      <c r="B1077" s="28">
        <v>6479.4</v>
      </c>
      <c r="C1077" s="29">
        <v>47447.08</v>
      </c>
      <c r="D1077" s="30">
        <f t="shared" si="32"/>
        <v>6.48628613787963E-4</v>
      </c>
      <c r="E1077" s="30">
        <f t="shared" si="33"/>
        <v>-2.4466265588386745E-3</v>
      </c>
    </row>
    <row r="1078" spans="1:5" x14ac:dyDescent="0.35">
      <c r="A1078" s="27">
        <v>44228</v>
      </c>
      <c r="B1078" s="28">
        <v>6475.2</v>
      </c>
      <c r="C1078" s="29">
        <v>47563.45</v>
      </c>
      <c r="D1078" s="30">
        <f t="shared" si="32"/>
        <v>8.037094281298019E-4</v>
      </c>
      <c r="E1078" s="30">
        <f t="shared" si="33"/>
        <v>-1.0191211110526135E-2</v>
      </c>
    </row>
    <row r="1079" spans="1:5" x14ac:dyDescent="0.35">
      <c r="A1079" s="27">
        <v>44225</v>
      </c>
      <c r="B1079" s="28">
        <v>6470</v>
      </c>
      <c r="C1079" s="29">
        <v>48053.17</v>
      </c>
      <c r="D1079" s="30">
        <f t="shared" si="32"/>
        <v>-4.6153846153846158E-3</v>
      </c>
      <c r="E1079" s="30">
        <f t="shared" si="33"/>
        <v>1.7043078298473246E-2</v>
      </c>
    </row>
    <row r="1080" spans="1:5" x14ac:dyDescent="0.35">
      <c r="A1080" s="27">
        <v>44223</v>
      </c>
      <c r="B1080" s="28">
        <v>6500</v>
      </c>
      <c r="C1080" s="29">
        <v>47247.92</v>
      </c>
      <c r="D1080" s="30">
        <f t="shared" si="32"/>
        <v>4.6367851622874804E-3</v>
      </c>
      <c r="E1080" s="30">
        <f t="shared" si="33"/>
        <v>-2.0749306807564803E-3</v>
      </c>
    </row>
    <row r="1081" spans="1:5" x14ac:dyDescent="0.35">
      <c r="A1081" s="27">
        <v>44222</v>
      </c>
      <c r="B1081" s="28">
        <v>6470</v>
      </c>
      <c r="C1081" s="29">
        <v>47346.16</v>
      </c>
      <c r="D1081" s="30">
        <f t="shared" si="32"/>
        <v>7.7881619937694704E-3</v>
      </c>
      <c r="E1081" s="30">
        <f t="shared" si="33"/>
        <v>-1.7491363955308285E-3</v>
      </c>
    </row>
    <row r="1082" spans="1:5" x14ac:dyDescent="0.35">
      <c r="A1082" s="27">
        <v>44221</v>
      </c>
      <c r="B1082" s="28">
        <v>6420</v>
      </c>
      <c r="C1082" s="29">
        <v>47429.120000000003</v>
      </c>
      <c r="D1082" s="30">
        <f t="shared" si="32"/>
        <v>-2.3574144486692015E-2</v>
      </c>
      <c r="E1082" s="30">
        <f t="shared" si="33"/>
        <v>-5.3906603548448976E-3</v>
      </c>
    </row>
    <row r="1083" spans="1:5" x14ac:dyDescent="0.35">
      <c r="A1083" s="27">
        <v>44218</v>
      </c>
      <c r="B1083" s="28">
        <v>6575</v>
      </c>
      <c r="C1083" s="29">
        <v>47686.18</v>
      </c>
      <c r="D1083" s="30">
        <f t="shared" si="32"/>
        <v>-3.787878787878788E-3</v>
      </c>
      <c r="E1083" s="30">
        <f t="shared" si="33"/>
        <v>-2.3930676977282784E-3</v>
      </c>
    </row>
    <row r="1084" spans="1:5" x14ac:dyDescent="0.35">
      <c r="A1084" s="27">
        <v>44216</v>
      </c>
      <c r="B1084" s="28">
        <v>6600</v>
      </c>
      <c r="C1084" s="29">
        <v>47800.57</v>
      </c>
      <c r="D1084" s="30">
        <f t="shared" si="32"/>
        <v>0</v>
      </c>
      <c r="E1084" s="30">
        <f t="shared" si="33"/>
        <v>9.3874020663054659E-3</v>
      </c>
    </row>
    <row r="1085" spans="1:5" x14ac:dyDescent="0.35">
      <c r="A1085" s="27">
        <v>44215</v>
      </c>
      <c r="B1085" s="28">
        <v>6600</v>
      </c>
      <c r="C1085" s="29">
        <v>47356.02</v>
      </c>
      <c r="D1085" s="30">
        <f t="shared" si="32"/>
        <v>2.2463206816421378E-2</v>
      </c>
      <c r="E1085" s="30">
        <f t="shared" si="33"/>
        <v>4.6300450785007443E-3</v>
      </c>
    </row>
    <row r="1086" spans="1:5" x14ac:dyDescent="0.35">
      <c r="A1086" s="27">
        <v>44214</v>
      </c>
      <c r="B1086" s="28">
        <v>6455</v>
      </c>
      <c r="C1086" s="29">
        <v>47137.77</v>
      </c>
      <c r="D1086" s="30">
        <f t="shared" si="32"/>
        <v>-2.4010402491759682E-2</v>
      </c>
      <c r="E1086" s="30">
        <f t="shared" si="33"/>
        <v>2.8811325391176878E-3</v>
      </c>
    </row>
    <row r="1087" spans="1:5" x14ac:dyDescent="0.35">
      <c r="A1087" s="27">
        <v>44211</v>
      </c>
      <c r="B1087" s="28">
        <v>6613.8</v>
      </c>
      <c r="C1087" s="29">
        <v>47002.35</v>
      </c>
      <c r="D1087" s="30">
        <f t="shared" si="32"/>
        <v>-2.5337073568003168E-3</v>
      </c>
      <c r="E1087" s="30">
        <f t="shared" si="33"/>
        <v>-1.4707170938081923E-2</v>
      </c>
    </row>
    <row r="1088" spans="1:5" x14ac:dyDescent="0.35">
      <c r="A1088" s="27">
        <v>44210</v>
      </c>
      <c r="B1088" s="28">
        <v>6630.6</v>
      </c>
      <c r="C1088" s="29">
        <v>47703.94</v>
      </c>
      <c r="D1088" s="30">
        <f t="shared" si="32"/>
        <v>-1.5501113585746049E-2</v>
      </c>
      <c r="E1088" s="30">
        <f t="shared" si="33"/>
        <v>-5.3917077786121946E-3</v>
      </c>
    </row>
    <row r="1089" spans="1:5" x14ac:dyDescent="0.35">
      <c r="A1089" s="27">
        <v>44209</v>
      </c>
      <c r="B1089" s="28">
        <v>6735</v>
      </c>
      <c r="C1089" s="29">
        <v>47962.54</v>
      </c>
      <c r="D1089" s="30">
        <f t="shared" si="32"/>
        <v>1.1200528496787035E-2</v>
      </c>
      <c r="E1089" s="30">
        <f t="shared" si="33"/>
        <v>1.2910040980612764E-3</v>
      </c>
    </row>
    <row r="1090" spans="1:5" x14ac:dyDescent="0.35">
      <c r="A1090" s="27">
        <v>44208</v>
      </c>
      <c r="B1090" s="28">
        <v>6660.4</v>
      </c>
      <c r="C1090" s="29">
        <v>47900.7</v>
      </c>
      <c r="D1090" s="30">
        <f t="shared" si="32"/>
        <v>-1.6189069423929153E-2</v>
      </c>
      <c r="E1090" s="30">
        <f t="shared" si="33"/>
        <v>-1.8013159358945402E-3</v>
      </c>
    </row>
    <row r="1091" spans="1:5" x14ac:dyDescent="0.35">
      <c r="A1091" s="27">
        <v>44207</v>
      </c>
      <c r="B1091" s="28">
        <v>6770</v>
      </c>
      <c r="C1091" s="29">
        <v>47987.14</v>
      </c>
      <c r="D1091" s="30">
        <f t="shared" si="32"/>
        <v>-5.4501917115952992E-3</v>
      </c>
      <c r="E1091" s="30">
        <f t="shared" si="33"/>
        <v>-5.2861212033855718E-4</v>
      </c>
    </row>
    <row r="1092" spans="1:5" x14ac:dyDescent="0.35">
      <c r="A1092" s="27">
        <v>44204</v>
      </c>
      <c r="B1092" s="28">
        <v>6807.1</v>
      </c>
      <c r="C1092" s="29">
        <v>48012.52</v>
      </c>
      <c r="D1092" s="30">
        <f t="shared" si="32"/>
        <v>1.5985074626865724E-2</v>
      </c>
      <c r="E1092" s="30">
        <f t="shared" si="33"/>
        <v>-4.6881474966038962E-3</v>
      </c>
    </row>
    <row r="1093" spans="1:5" x14ac:dyDescent="0.35">
      <c r="A1093" s="27">
        <v>44200</v>
      </c>
      <c r="B1093" s="28">
        <v>6700</v>
      </c>
      <c r="C1093" s="29">
        <v>48238.67</v>
      </c>
      <c r="D1093" s="30">
        <f t="shared" ref="D1093:D1156" si="34">(B1093-B1094)/B1094</f>
        <v>1.0939268200678989E-2</v>
      </c>
      <c r="E1093" s="30">
        <f t="shared" ref="E1093:E1156" si="35">(C1093-C1094)/C1094</f>
        <v>2.2318140501233243E-3</v>
      </c>
    </row>
    <row r="1094" spans="1:5" x14ac:dyDescent="0.35">
      <c r="A1094" s="27">
        <v>44197</v>
      </c>
      <c r="B1094" s="28">
        <v>6627.5</v>
      </c>
      <c r="C1094" s="29">
        <v>48131.25</v>
      </c>
      <c r="D1094" s="30">
        <f t="shared" si="34"/>
        <v>-5.6264066016504122E-3</v>
      </c>
      <c r="E1094" s="30">
        <f t="shared" si="35"/>
        <v>-7.2121185869074515E-3</v>
      </c>
    </row>
    <row r="1095" spans="1:5" x14ac:dyDescent="0.35">
      <c r="A1095" s="27">
        <v>44196</v>
      </c>
      <c r="B1095" s="28">
        <v>6665</v>
      </c>
      <c r="C1095" s="29">
        <v>48480.9</v>
      </c>
      <c r="D1095" s="30">
        <f t="shared" si="34"/>
        <v>-2.6296566837107377E-2</v>
      </c>
      <c r="E1095" s="30">
        <f t="shared" si="35"/>
        <v>-3.1184868738145027E-3</v>
      </c>
    </row>
    <row r="1096" spans="1:5" x14ac:dyDescent="0.35">
      <c r="A1096" s="27">
        <v>44195</v>
      </c>
      <c r="B1096" s="28">
        <v>6845</v>
      </c>
      <c r="C1096" s="29">
        <v>48632.56</v>
      </c>
      <c r="D1096" s="30">
        <f t="shared" si="34"/>
        <v>3.4144130533313187E-2</v>
      </c>
      <c r="E1096" s="30">
        <f t="shared" si="35"/>
        <v>-1.9193007112413736E-3</v>
      </c>
    </row>
    <row r="1097" spans="1:5" x14ac:dyDescent="0.35">
      <c r="A1097" s="27">
        <v>44194</v>
      </c>
      <c r="B1097" s="28">
        <v>6619</v>
      </c>
      <c r="C1097" s="29">
        <v>48726.080000000002</v>
      </c>
      <c r="D1097" s="30">
        <f t="shared" si="34"/>
        <v>2.8787878787878787E-3</v>
      </c>
      <c r="E1097" s="30">
        <f t="shared" si="35"/>
        <v>8.7229570940479638E-3</v>
      </c>
    </row>
    <row r="1098" spans="1:5" x14ac:dyDescent="0.35">
      <c r="A1098" s="27">
        <v>44189</v>
      </c>
      <c r="B1098" s="28">
        <v>6600</v>
      </c>
      <c r="C1098" s="29">
        <v>48304.72</v>
      </c>
      <c r="D1098" s="30">
        <f t="shared" si="34"/>
        <v>-5.6497175141242938E-3</v>
      </c>
      <c r="E1098" s="30">
        <f t="shared" si="35"/>
        <v>1.1031783681706658E-3</v>
      </c>
    </row>
    <row r="1099" spans="1:5" x14ac:dyDescent="0.35">
      <c r="A1099" s="27">
        <v>44188</v>
      </c>
      <c r="B1099" s="28">
        <v>6637.5</v>
      </c>
      <c r="C1099" s="29">
        <v>48251.49</v>
      </c>
      <c r="D1099" s="30">
        <f t="shared" si="34"/>
        <v>-9.3283582089552231E-3</v>
      </c>
      <c r="E1099" s="30">
        <f t="shared" si="35"/>
        <v>9.9182420555899466E-3</v>
      </c>
    </row>
    <row r="1100" spans="1:5" x14ac:dyDescent="0.35">
      <c r="A1100" s="27">
        <v>44187</v>
      </c>
      <c r="B1100" s="28">
        <v>6700</v>
      </c>
      <c r="C1100" s="29">
        <v>47777.62</v>
      </c>
      <c r="D1100" s="30">
        <f t="shared" si="34"/>
        <v>-5.196733481811433E-3</v>
      </c>
      <c r="E1100" s="30">
        <f t="shared" si="35"/>
        <v>-7.6921191709392704E-3</v>
      </c>
    </row>
    <row r="1101" spans="1:5" x14ac:dyDescent="0.35">
      <c r="A1101" s="27">
        <v>44186</v>
      </c>
      <c r="B1101" s="28">
        <v>6735</v>
      </c>
      <c r="C1101" s="29">
        <v>48147.98</v>
      </c>
      <c r="D1101" s="30">
        <f t="shared" si="34"/>
        <v>-2.391304347826087E-2</v>
      </c>
      <c r="E1101" s="30">
        <f t="shared" si="35"/>
        <v>-3.2023081130521649E-3</v>
      </c>
    </row>
    <row r="1102" spans="1:5" x14ac:dyDescent="0.35">
      <c r="A1102" s="27">
        <v>44182</v>
      </c>
      <c r="B1102" s="28">
        <v>6900</v>
      </c>
      <c r="C1102" s="29">
        <v>48302.66</v>
      </c>
      <c r="D1102" s="30">
        <f t="shared" si="34"/>
        <v>-4.329004329004329E-3</v>
      </c>
      <c r="E1102" s="30">
        <f t="shared" si="35"/>
        <v>1.8866789596717478E-3</v>
      </c>
    </row>
    <row r="1103" spans="1:5" x14ac:dyDescent="0.35">
      <c r="A1103" s="27">
        <v>44180</v>
      </c>
      <c r="B1103" s="28">
        <v>6930</v>
      </c>
      <c r="C1103" s="29">
        <v>48211.7</v>
      </c>
      <c r="D1103" s="30">
        <f t="shared" si="34"/>
        <v>1.6203533983429871E-2</v>
      </c>
      <c r="E1103" s="30">
        <f t="shared" si="35"/>
        <v>2.4570872630891986E-3</v>
      </c>
    </row>
    <row r="1104" spans="1:5" x14ac:dyDescent="0.35">
      <c r="A1104" s="27">
        <v>44179</v>
      </c>
      <c r="B1104" s="28">
        <v>6819.5</v>
      </c>
      <c r="C1104" s="29">
        <v>48093.53</v>
      </c>
      <c r="D1104" s="30">
        <f t="shared" si="34"/>
        <v>0</v>
      </c>
      <c r="E1104" s="30">
        <f t="shared" si="35"/>
        <v>-6.9337522258866905E-4</v>
      </c>
    </row>
    <row r="1105" spans="1:5" x14ac:dyDescent="0.35">
      <c r="A1105" s="27">
        <v>44176</v>
      </c>
      <c r="B1105" s="28">
        <v>6819.5</v>
      </c>
      <c r="C1105" s="29">
        <v>48126.9</v>
      </c>
      <c r="D1105" s="30">
        <f t="shared" si="34"/>
        <v>1.4052044609665427E-2</v>
      </c>
      <c r="E1105" s="30">
        <f t="shared" si="35"/>
        <v>-1.3355118749748519E-3</v>
      </c>
    </row>
    <row r="1106" spans="1:5" x14ac:dyDescent="0.35">
      <c r="A1106" s="27">
        <v>44175</v>
      </c>
      <c r="B1106" s="28">
        <v>6725</v>
      </c>
      <c r="C1106" s="29">
        <v>48191.26</v>
      </c>
      <c r="D1106" s="30">
        <f t="shared" si="34"/>
        <v>-3.7037037037037038E-3</v>
      </c>
      <c r="E1106" s="30">
        <f t="shared" si="35"/>
        <v>6.157464223780054E-3</v>
      </c>
    </row>
    <row r="1107" spans="1:5" x14ac:dyDescent="0.35">
      <c r="A1107" s="27">
        <v>44174</v>
      </c>
      <c r="B1107" s="28">
        <v>6750</v>
      </c>
      <c r="C1107" s="29">
        <v>47896.34</v>
      </c>
      <c r="D1107" s="30">
        <f t="shared" si="34"/>
        <v>2.2727272727272728E-2</v>
      </c>
      <c r="E1107" s="30">
        <f t="shared" si="35"/>
        <v>1.6340136259399916E-2</v>
      </c>
    </row>
    <row r="1108" spans="1:5" x14ac:dyDescent="0.35">
      <c r="A1108" s="27">
        <v>44173</v>
      </c>
      <c r="B1108" s="28">
        <v>6600</v>
      </c>
      <c r="C1108" s="29">
        <v>47126.29</v>
      </c>
      <c r="D1108" s="30">
        <f t="shared" si="34"/>
        <v>-2.2222222222222223E-2</v>
      </c>
      <c r="E1108" s="30">
        <f t="shared" si="35"/>
        <v>7.171075479662131E-3</v>
      </c>
    </row>
    <row r="1109" spans="1:5" x14ac:dyDescent="0.35">
      <c r="A1109" s="27">
        <v>44172</v>
      </c>
      <c r="B1109" s="28">
        <v>6750</v>
      </c>
      <c r="C1109" s="29">
        <v>46790.75</v>
      </c>
      <c r="D1109" s="30">
        <f t="shared" si="34"/>
        <v>2.5041381300207988E-2</v>
      </c>
      <c r="E1109" s="30">
        <f t="shared" si="35"/>
        <v>-4.6056261696971742E-4</v>
      </c>
    </row>
    <row r="1110" spans="1:5" x14ac:dyDescent="0.35">
      <c r="A1110" s="27">
        <v>44169</v>
      </c>
      <c r="B1110" s="28">
        <v>6585.1</v>
      </c>
      <c r="C1110" s="29">
        <v>46812.31</v>
      </c>
      <c r="D1110" s="30">
        <f t="shared" si="34"/>
        <v>3.7956159873175433E-3</v>
      </c>
      <c r="E1110" s="30">
        <f t="shared" si="35"/>
        <v>1.1050598414795689E-2</v>
      </c>
    </row>
    <row r="1111" spans="1:5" x14ac:dyDescent="0.35">
      <c r="A1111" s="27">
        <v>44168</v>
      </c>
      <c r="B1111" s="28">
        <v>6560.2</v>
      </c>
      <c r="C1111" s="29">
        <v>46300.66</v>
      </c>
      <c r="D1111" s="30">
        <f t="shared" si="34"/>
        <v>1.5572519083969188E-3</v>
      </c>
      <c r="E1111" s="30">
        <f t="shared" si="35"/>
        <v>4.4156781195177509E-3</v>
      </c>
    </row>
    <row r="1112" spans="1:5" x14ac:dyDescent="0.35">
      <c r="A1112" s="27">
        <v>44167</v>
      </c>
      <c r="B1112" s="28">
        <v>6550</v>
      </c>
      <c r="C1112" s="29">
        <v>46097.11</v>
      </c>
      <c r="D1112" s="30">
        <f t="shared" si="34"/>
        <v>7.6923076923076927E-3</v>
      </c>
      <c r="E1112" s="30">
        <f t="shared" si="35"/>
        <v>3.966679284189983E-3</v>
      </c>
    </row>
    <row r="1113" spans="1:5" x14ac:dyDescent="0.35">
      <c r="A1113" s="27">
        <v>44166</v>
      </c>
      <c r="B1113" s="28">
        <v>6500</v>
      </c>
      <c r="C1113" s="29">
        <v>45914.98</v>
      </c>
      <c r="D1113" s="30">
        <f t="shared" si="34"/>
        <v>-1.3657056145675266E-2</v>
      </c>
      <c r="E1113" s="30">
        <f t="shared" si="35"/>
        <v>7.4803501201451501E-3</v>
      </c>
    </row>
    <row r="1114" spans="1:5" x14ac:dyDescent="0.35">
      <c r="A1114" s="27">
        <v>44165</v>
      </c>
      <c r="B1114" s="28">
        <v>6590</v>
      </c>
      <c r="C1114" s="29">
        <v>45574.07</v>
      </c>
      <c r="D1114" s="30">
        <f t="shared" si="34"/>
        <v>9.1883614088820835E-3</v>
      </c>
      <c r="E1114" s="30">
        <f t="shared" si="35"/>
        <v>-2.3650396183539E-3</v>
      </c>
    </row>
    <row r="1115" spans="1:5" x14ac:dyDescent="0.35">
      <c r="A1115" s="27">
        <v>44162</v>
      </c>
      <c r="B1115" s="28">
        <v>6530</v>
      </c>
      <c r="C1115" s="29">
        <v>45682.11</v>
      </c>
      <c r="D1115" s="30">
        <f t="shared" si="34"/>
        <v>4.5072069161782857E-3</v>
      </c>
      <c r="E1115" s="30">
        <f t="shared" si="35"/>
        <v>-6.5180108138390156E-3</v>
      </c>
    </row>
    <row r="1116" spans="1:5" x14ac:dyDescent="0.35">
      <c r="A1116" s="27">
        <v>44161</v>
      </c>
      <c r="B1116" s="28">
        <v>6500.7</v>
      </c>
      <c r="C1116" s="29">
        <v>45981.82</v>
      </c>
      <c r="D1116" s="30">
        <f t="shared" si="34"/>
        <v>-3.5368291557745377E-4</v>
      </c>
      <c r="E1116" s="30">
        <f t="shared" si="35"/>
        <v>4.0507630418259036E-3</v>
      </c>
    </row>
    <row r="1117" spans="1:5" x14ac:dyDescent="0.35">
      <c r="A1117" s="27">
        <v>44160</v>
      </c>
      <c r="B1117" s="28">
        <v>6503</v>
      </c>
      <c r="C1117" s="29">
        <v>45796.31</v>
      </c>
      <c r="D1117" s="30">
        <f t="shared" si="34"/>
        <v>4.6153846153846153E-4</v>
      </c>
      <c r="E1117" s="30">
        <f t="shared" si="35"/>
        <v>1.376080887807259E-2</v>
      </c>
    </row>
    <row r="1118" spans="1:5" x14ac:dyDescent="0.35">
      <c r="A1118" s="27">
        <v>44159</v>
      </c>
      <c r="B1118" s="28">
        <v>6500</v>
      </c>
      <c r="C1118" s="29">
        <v>45174.67</v>
      </c>
      <c r="D1118" s="30">
        <f t="shared" si="34"/>
        <v>-7.6335877862595417E-3</v>
      </c>
      <c r="E1118" s="30">
        <f t="shared" si="35"/>
        <v>5.1411090475375178E-3</v>
      </c>
    </row>
    <row r="1119" spans="1:5" x14ac:dyDescent="0.35">
      <c r="A1119" s="27">
        <v>44158</v>
      </c>
      <c r="B1119" s="28">
        <v>6550</v>
      </c>
      <c r="C1119" s="29">
        <v>44943.61</v>
      </c>
      <c r="D1119" s="30">
        <f t="shared" si="34"/>
        <v>7.6923076923076927E-3</v>
      </c>
      <c r="E1119" s="30">
        <f t="shared" si="35"/>
        <v>8.5275894513885467E-3</v>
      </c>
    </row>
    <row r="1120" spans="1:5" x14ac:dyDescent="0.35">
      <c r="A1120" s="27">
        <v>44155</v>
      </c>
      <c r="B1120" s="28">
        <v>6500</v>
      </c>
      <c r="C1120" s="29">
        <v>44563.59</v>
      </c>
      <c r="D1120" s="30">
        <f t="shared" si="34"/>
        <v>-3.4037594676642573E-3</v>
      </c>
      <c r="E1120" s="30">
        <f t="shared" si="35"/>
        <v>1.1057895190601718E-2</v>
      </c>
    </row>
    <row r="1121" spans="1:5" x14ac:dyDescent="0.35">
      <c r="A1121" s="27">
        <v>44154</v>
      </c>
      <c r="B1121" s="28">
        <v>6522.2</v>
      </c>
      <c r="C1121" s="29">
        <v>44076.2</v>
      </c>
      <c r="D1121" s="30">
        <f t="shared" si="34"/>
        <v>8.0680061823801882E-3</v>
      </c>
      <c r="E1121" s="30">
        <f t="shared" si="35"/>
        <v>-4.2056058930445735E-3</v>
      </c>
    </row>
    <row r="1122" spans="1:5" x14ac:dyDescent="0.35">
      <c r="A1122" s="27">
        <v>44153</v>
      </c>
      <c r="B1122" s="28">
        <v>6470</v>
      </c>
      <c r="C1122" s="29">
        <v>44262.35</v>
      </c>
      <c r="D1122" s="30">
        <f t="shared" si="34"/>
        <v>-2.9280320542456463E-3</v>
      </c>
      <c r="E1122" s="30">
        <f t="shared" si="35"/>
        <v>-1.3390957514982845E-2</v>
      </c>
    </row>
    <row r="1123" spans="1:5" x14ac:dyDescent="0.35">
      <c r="A1123" s="27">
        <v>44152</v>
      </c>
      <c r="B1123" s="28">
        <v>6489</v>
      </c>
      <c r="C1123" s="29">
        <v>44863.11</v>
      </c>
      <c r="D1123" s="30">
        <f t="shared" si="34"/>
        <v>1.390625E-2</v>
      </c>
      <c r="E1123" s="30">
        <f t="shared" si="35"/>
        <v>-4.3500627619891827E-3</v>
      </c>
    </row>
    <row r="1124" spans="1:5" x14ac:dyDescent="0.35">
      <c r="A1124" s="27">
        <v>44151</v>
      </c>
      <c r="B1124" s="28">
        <v>6400</v>
      </c>
      <c r="C1124" s="29">
        <v>45059.12</v>
      </c>
      <c r="D1124" s="30">
        <f t="shared" si="34"/>
        <v>0</v>
      </c>
      <c r="E1124" s="30">
        <f t="shared" si="35"/>
        <v>-5.1608564438508754E-3</v>
      </c>
    </row>
    <row r="1125" spans="1:5" x14ac:dyDescent="0.35">
      <c r="A1125" s="27">
        <v>44148</v>
      </c>
      <c r="B1125" s="28">
        <v>6400</v>
      </c>
      <c r="C1125" s="29">
        <v>45292.87</v>
      </c>
      <c r="D1125" s="30">
        <f t="shared" si="34"/>
        <v>1.1058451816745656E-2</v>
      </c>
      <c r="E1125" s="30">
        <f t="shared" si="35"/>
        <v>-8.5349465454917506E-3</v>
      </c>
    </row>
    <row r="1126" spans="1:5" x14ac:dyDescent="0.35">
      <c r="A1126" s="27">
        <v>44147</v>
      </c>
      <c r="B1126" s="28">
        <v>6330</v>
      </c>
      <c r="C1126" s="29">
        <v>45682.77</v>
      </c>
      <c r="D1126" s="30">
        <f t="shared" si="34"/>
        <v>-4.89491718115988E-4</v>
      </c>
      <c r="E1126" s="30">
        <f t="shared" si="35"/>
        <v>2.1831374047235692E-2</v>
      </c>
    </row>
    <row r="1127" spans="1:5" x14ac:dyDescent="0.35">
      <c r="A1127" s="27">
        <v>44146</v>
      </c>
      <c r="B1127" s="28">
        <v>6333.1</v>
      </c>
      <c r="C1127" s="29">
        <v>44706.76</v>
      </c>
      <c r="D1127" s="30">
        <f t="shared" si="34"/>
        <v>5.253968253968312E-3</v>
      </c>
      <c r="E1127" s="30">
        <f t="shared" si="35"/>
        <v>-4.9599807343085897E-3</v>
      </c>
    </row>
    <row r="1128" spans="1:5" x14ac:dyDescent="0.35">
      <c r="A1128" s="27">
        <v>44145</v>
      </c>
      <c r="B1128" s="28">
        <v>6300</v>
      </c>
      <c r="C1128" s="29">
        <v>44929.61</v>
      </c>
      <c r="D1128" s="30">
        <f t="shared" si="34"/>
        <v>1.0619525810901828E-2</v>
      </c>
      <c r="E1128" s="30">
        <f t="shared" si="35"/>
        <v>-8.3195494513595668E-3</v>
      </c>
    </row>
    <row r="1129" spans="1:5" x14ac:dyDescent="0.35">
      <c r="A1129" s="27">
        <v>44144</v>
      </c>
      <c r="B1129" s="28">
        <v>6233.8</v>
      </c>
      <c r="C1129" s="29">
        <v>45306.54</v>
      </c>
      <c r="D1129" s="30">
        <f t="shared" si="34"/>
        <v>-1.0507936507936478E-2</v>
      </c>
      <c r="E1129" s="30">
        <f t="shared" si="35"/>
        <v>-2.0537544455060787E-3</v>
      </c>
    </row>
    <row r="1130" spans="1:5" x14ac:dyDescent="0.35">
      <c r="A1130" s="27">
        <v>44141</v>
      </c>
      <c r="B1130" s="28">
        <v>6300</v>
      </c>
      <c r="C1130" s="29">
        <v>45399.78</v>
      </c>
      <c r="D1130" s="30">
        <f t="shared" si="34"/>
        <v>-7.874015748031496E-3</v>
      </c>
      <c r="E1130" s="30">
        <f t="shared" si="35"/>
        <v>1.0825458764466934E-2</v>
      </c>
    </row>
    <row r="1131" spans="1:5" x14ac:dyDescent="0.35">
      <c r="A1131" s="27">
        <v>44140</v>
      </c>
      <c r="B1131" s="28">
        <v>6350</v>
      </c>
      <c r="C1131" s="29">
        <v>44913.57</v>
      </c>
      <c r="D1131" s="30">
        <f t="shared" si="34"/>
        <v>1.4166387171993007E-2</v>
      </c>
      <c r="E1131" s="30">
        <f t="shared" si="35"/>
        <v>-8.653670636519074E-3</v>
      </c>
    </row>
    <row r="1132" spans="1:5" x14ac:dyDescent="0.35">
      <c r="A1132" s="27">
        <v>44139</v>
      </c>
      <c r="B1132" s="28">
        <v>6261.3</v>
      </c>
      <c r="C1132" s="29">
        <v>45305.63</v>
      </c>
      <c r="D1132" s="30">
        <f t="shared" si="34"/>
        <v>-1.2241871618104002E-2</v>
      </c>
      <c r="E1132" s="30">
        <f t="shared" si="35"/>
        <v>1.6681339760309839E-3</v>
      </c>
    </row>
    <row r="1133" spans="1:5" x14ac:dyDescent="0.35">
      <c r="A1133" s="27">
        <v>44138</v>
      </c>
      <c r="B1133" s="28">
        <v>6338.9</v>
      </c>
      <c r="C1133" s="29">
        <v>45230.18</v>
      </c>
      <c r="D1133" s="30">
        <f t="shared" si="34"/>
        <v>6.1746031746031165E-3</v>
      </c>
      <c r="E1133" s="30">
        <f t="shared" si="35"/>
        <v>-1.7885194881091455E-3</v>
      </c>
    </row>
    <row r="1134" spans="1:5" x14ac:dyDescent="0.35">
      <c r="A1134" s="27">
        <v>44137</v>
      </c>
      <c r="B1134" s="28">
        <v>6300</v>
      </c>
      <c r="C1134" s="29">
        <v>45311.22</v>
      </c>
      <c r="D1134" s="30">
        <f t="shared" si="34"/>
        <v>-1.5594237319916276E-2</v>
      </c>
      <c r="E1134" s="30">
        <f t="shared" si="35"/>
        <v>5.8303737499326054E-3</v>
      </c>
    </row>
    <row r="1135" spans="1:5" x14ac:dyDescent="0.35">
      <c r="A1135" s="27">
        <v>44133</v>
      </c>
      <c r="B1135" s="28">
        <v>6399.8</v>
      </c>
      <c r="C1135" s="29">
        <v>45048.57</v>
      </c>
      <c r="D1135" s="30">
        <f t="shared" si="34"/>
        <v>-9.9012964510040522E-3</v>
      </c>
      <c r="E1135" s="30">
        <f t="shared" si="35"/>
        <v>1.5678758861266062E-3</v>
      </c>
    </row>
    <row r="1136" spans="1:5" x14ac:dyDescent="0.35">
      <c r="A1136" s="27">
        <v>44132</v>
      </c>
      <c r="B1136" s="28">
        <v>6463.8</v>
      </c>
      <c r="C1136" s="29">
        <v>44978.05</v>
      </c>
      <c r="D1136" s="30">
        <f t="shared" si="34"/>
        <v>3.6956521739130717E-3</v>
      </c>
      <c r="E1136" s="30">
        <f t="shared" si="35"/>
        <v>-4.6126629027089579E-3</v>
      </c>
    </row>
    <row r="1137" spans="1:5" x14ac:dyDescent="0.35">
      <c r="A1137" s="27">
        <v>44131</v>
      </c>
      <c r="B1137" s="28">
        <v>6440</v>
      </c>
      <c r="C1137" s="29">
        <v>45186.48</v>
      </c>
      <c r="D1137" s="30">
        <f t="shared" si="34"/>
        <v>2.2878309184006687E-3</v>
      </c>
      <c r="E1137" s="30">
        <f t="shared" si="35"/>
        <v>9.948736471131021E-3</v>
      </c>
    </row>
    <row r="1138" spans="1:5" x14ac:dyDescent="0.35">
      <c r="A1138" s="27">
        <v>44130</v>
      </c>
      <c r="B1138" s="28">
        <v>6425.3</v>
      </c>
      <c r="C1138" s="29">
        <v>44741.36</v>
      </c>
      <c r="D1138" s="30">
        <f t="shared" si="34"/>
        <v>-1.1492307692307665E-2</v>
      </c>
      <c r="E1138" s="30">
        <f t="shared" si="35"/>
        <v>1.7922999673746685E-2</v>
      </c>
    </row>
    <row r="1139" spans="1:5" x14ac:dyDescent="0.35">
      <c r="A1139" s="27">
        <v>44127</v>
      </c>
      <c r="B1139" s="28">
        <v>6500</v>
      </c>
      <c r="C1139" s="29">
        <v>43953.58</v>
      </c>
      <c r="D1139" s="30">
        <f t="shared" si="34"/>
        <v>7.7519379844961239E-3</v>
      </c>
      <c r="E1139" s="30">
        <f t="shared" si="35"/>
        <v>-1.015928494055799E-2</v>
      </c>
    </row>
    <row r="1140" spans="1:5" x14ac:dyDescent="0.35">
      <c r="A1140" s="27">
        <v>44126</v>
      </c>
      <c r="B1140" s="28">
        <v>6450</v>
      </c>
      <c r="C1140" s="29">
        <v>44404.7</v>
      </c>
      <c r="D1140" s="30">
        <f t="shared" si="34"/>
        <v>0</v>
      </c>
      <c r="E1140" s="30">
        <f t="shared" si="35"/>
        <v>1.9667628129835829E-2</v>
      </c>
    </row>
    <row r="1141" spans="1:5" x14ac:dyDescent="0.35">
      <c r="A1141" s="27">
        <v>44125</v>
      </c>
      <c r="B1141" s="28">
        <v>6450</v>
      </c>
      <c r="C1141" s="29">
        <v>43548.21</v>
      </c>
      <c r="D1141" s="30">
        <f t="shared" si="34"/>
        <v>7.8125E-3</v>
      </c>
      <c r="E1141" s="30">
        <f t="shared" si="35"/>
        <v>-1.69915092114277E-2</v>
      </c>
    </row>
    <row r="1142" spans="1:5" x14ac:dyDescent="0.35">
      <c r="A1142" s="27">
        <v>44124</v>
      </c>
      <c r="B1142" s="28">
        <v>6400</v>
      </c>
      <c r="C1142" s="29">
        <v>44300.95</v>
      </c>
      <c r="D1142" s="30">
        <f t="shared" si="34"/>
        <v>-3.8910505836575876E-3</v>
      </c>
      <c r="E1142" s="30">
        <f t="shared" si="35"/>
        <v>-2.8619274738285335E-3</v>
      </c>
    </row>
    <row r="1143" spans="1:5" x14ac:dyDescent="0.35">
      <c r="A1143" s="27">
        <v>44120</v>
      </c>
      <c r="B1143" s="28">
        <v>6425</v>
      </c>
      <c r="C1143" s="29">
        <v>44428.1</v>
      </c>
      <c r="D1143" s="30">
        <f t="shared" si="34"/>
        <v>-2.6515151515151516E-2</v>
      </c>
      <c r="E1143" s="30">
        <f t="shared" si="35"/>
        <v>-3.5828146008385696E-3</v>
      </c>
    </row>
    <row r="1144" spans="1:5" x14ac:dyDescent="0.35">
      <c r="A1144" s="27">
        <v>44119</v>
      </c>
      <c r="B1144" s="28">
        <v>6600</v>
      </c>
      <c r="C1144" s="29">
        <v>44587.85</v>
      </c>
      <c r="D1144" s="30">
        <f t="shared" si="34"/>
        <v>3.125E-2</v>
      </c>
      <c r="E1144" s="30">
        <f t="shared" si="35"/>
        <v>2.1761689940646397E-3</v>
      </c>
    </row>
    <row r="1145" spans="1:5" x14ac:dyDescent="0.35">
      <c r="A1145" s="27">
        <v>44118</v>
      </c>
      <c r="B1145" s="28">
        <v>6400</v>
      </c>
      <c r="C1145" s="29">
        <v>44491.03</v>
      </c>
      <c r="D1145" s="30">
        <f t="shared" si="34"/>
        <v>0</v>
      </c>
      <c r="E1145" s="30">
        <f t="shared" si="35"/>
        <v>1.3330542539351528E-3</v>
      </c>
    </row>
    <row r="1146" spans="1:5" x14ac:dyDescent="0.35">
      <c r="A1146" s="27">
        <v>44117</v>
      </c>
      <c r="B1146" s="28">
        <v>6400</v>
      </c>
      <c r="C1146" s="29">
        <v>44431.8</v>
      </c>
      <c r="D1146" s="30">
        <f t="shared" si="34"/>
        <v>-1.5051248114746557E-2</v>
      </c>
      <c r="E1146" s="30">
        <f t="shared" si="35"/>
        <v>-2.3940926544150431E-2</v>
      </c>
    </row>
    <row r="1147" spans="1:5" x14ac:dyDescent="0.35">
      <c r="A1147" s="27">
        <v>44116</v>
      </c>
      <c r="B1147" s="28">
        <v>6497.8</v>
      </c>
      <c r="C1147" s="29">
        <v>45521.63</v>
      </c>
      <c r="D1147" s="30">
        <f t="shared" si="34"/>
        <v>-1.8740399385560396E-3</v>
      </c>
      <c r="E1147" s="30">
        <f t="shared" si="35"/>
        <v>-4.4729319059375657E-3</v>
      </c>
    </row>
    <row r="1148" spans="1:5" x14ac:dyDescent="0.35">
      <c r="A1148" s="27">
        <v>44113</v>
      </c>
      <c r="B1148" s="28">
        <v>6510</v>
      </c>
      <c r="C1148" s="29">
        <v>45726.16</v>
      </c>
      <c r="D1148" s="30">
        <f t="shared" si="34"/>
        <v>-1.3636363636363636E-2</v>
      </c>
      <c r="E1148" s="30">
        <f t="shared" si="35"/>
        <v>3.9954602332372396E-3</v>
      </c>
    </row>
    <row r="1149" spans="1:5" x14ac:dyDescent="0.35">
      <c r="A1149" s="27">
        <v>44112</v>
      </c>
      <c r="B1149" s="28">
        <v>6600</v>
      </c>
      <c r="C1149" s="29">
        <v>45544.19</v>
      </c>
      <c r="D1149" s="30">
        <f t="shared" si="34"/>
        <v>1.2658227848101266E-2</v>
      </c>
      <c r="E1149" s="30">
        <f t="shared" si="35"/>
        <v>3.014050815143735E-3</v>
      </c>
    </row>
    <row r="1150" spans="1:5" x14ac:dyDescent="0.35">
      <c r="A1150" s="27">
        <v>44110</v>
      </c>
      <c r="B1150" s="28">
        <v>6517.5</v>
      </c>
      <c r="C1150" s="29">
        <v>45407.33</v>
      </c>
      <c r="D1150" s="30">
        <f t="shared" si="34"/>
        <v>-1.2500000000000001E-2</v>
      </c>
      <c r="E1150" s="30">
        <f t="shared" si="35"/>
        <v>1.1269604383480217E-2</v>
      </c>
    </row>
    <row r="1151" spans="1:5" x14ac:dyDescent="0.35">
      <c r="A1151" s="27">
        <v>44109</v>
      </c>
      <c r="B1151" s="28">
        <v>6600</v>
      </c>
      <c r="C1151" s="29">
        <v>44901.31</v>
      </c>
      <c r="D1151" s="30">
        <f t="shared" si="34"/>
        <v>-1.3452914798206279E-2</v>
      </c>
      <c r="E1151" s="30">
        <f t="shared" si="35"/>
        <v>3.9625177393212739E-3</v>
      </c>
    </row>
    <row r="1152" spans="1:5" x14ac:dyDescent="0.35">
      <c r="A1152" s="27">
        <v>44106</v>
      </c>
      <c r="B1152" s="28">
        <v>6690</v>
      </c>
      <c r="C1152" s="29">
        <v>44724.09</v>
      </c>
      <c r="D1152" s="30">
        <f t="shared" si="34"/>
        <v>-1.4925373134328358E-3</v>
      </c>
      <c r="E1152" s="30">
        <f t="shared" si="35"/>
        <v>-1.5978328860683264E-2</v>
      </c>
    </row>
    <row r="1153" spans="1:5" x14ac:dyDescent="0.35">
      <c r="A1153" s="27">
        <v>44105</v>
      </c>
      <c r="B1153" s="28">
        <v>6700</v>
      </c>
      <c r="C1153" s="29">
        <v>45450.31</v>
      </c>
      <c r="D1153" s="30">
        <f t="shared" si="34"/>
        <v>1.5151515151515152E-2</v>
      </c>
      <c r="E1153" s="30">
        <f t="shared" si="35"/>
        <v>1.3225342900314912E-2</v>
      </c>
    </row>
    <row r="1154" spans="1:5" x14ac:dyDescent="0.35">
      <c r="A1154" s="27">
        <v>44104</v>
      </c>
      <c r="B1154" s="28">
        <v>6600</v>
      </c>
      <c r="C1154" s="29">
        <v>44857.06</v>
      </c>
      <c r="D1154" s="30">
        <f t="shared" si="34"/>
        <v>-1.4925373134328358E-2</v>
      </c>
      <c r="E1154" s="30">
        <f t="shared" si="35"/>
        <v>2.0209267670376761E-3</v>
      </c>
    </row>
    <row r="1155" spans="1:5" x14ac:dyDescent="0.35">
      <c r="A1155" s="27">
        <v>44103</v>
      </c>
      <c r="B1155" s="28">
        <v>6700</v>
      </c>
      <c r="C1155" s="29">
        <v>44766.59</v>
      </c>
      <c r="D1155" s="30">
        <f t="shared" si="34"/>
        <v>-1.3254786450662739E-2</v>
      </c>
      <c r="E1155" s="30">
        <f t="shared" si="35"/>
        <v>2.2346492470096763E-2</v>
      </c>
    </row>
    <row r="1156" spans="1:5" x14ac:dyDescent="0.35">
      <c r="A1156" s="27">
        <v>44099</v>
      </c>
      <c r="B1156" s="28">
        <v>6790</v>
      </c>
      <c r="C1156" s="29">
        <v>43788.08</v>
      </c>
      <c r="D1156" s="30">
        <f t="shared" si="34"/>
        <v>2.7045014520813194E-2</v>
      </c>
      <c r="E1156" s="30">
        <f t="shared" si="35"/>
        <v>2.3570024703270884E-2</v>
      </c>
    </row>
    <row r="1157" spans="1:5" x14ac:dyDescent="0.35">
      <c r="A1157" s="27">
        <v>44098</v>
      </c>
      <c r="B1157" s="28">
        <v>6611.2</v>
      </c>
      <c r="C1157" s="29">
        <v>42779.76</v>
      </c>
      <c r="D1157" s="30">
        <f t="shared" ref="D1157:D1220" si="36">(B1157-B1158)/B1158</f>
        <v>-4.046444121915823E-2</v>
      </c>
      <c r="E1157" s="30">
        <f t="shared" ref="E1157:E1220" si="37">(C1157-C1158)/C1158</f>
        <v>-2.0871708297781139E-2</v>
      </c>
    </row>
    <row r="1158" spans="1:5" x14ac:dyDescent="0.35">
      <c r="A1158" s="27">
        <v>44097</v>
      </c>
      <c r="B1158" s="28">
        <v>6890</v>
      </c>
      <c r="C1158" s="29">
        <v>43691.68</v>
      </c>
      <c r="D1158" s="30">
        <f t="shared" si="36"/>
        <v>-4.335260115606936E-3</v>
      </c>
      <c r="E1158" s="30">
        <f t="shared" si="37"/>
        <v>-1.2012551865085385E-2</v>
      </c>
    </row>
    <row r="1159" spans="1:5" x14ac:dyDescent="0.35">
      <c r="A1159" s="27">
        <v>44096</v>
      </c>
      <c r="B1159" s="28">
        <v>6920</v>
      </c>
      <c r="C1159" s="29">
        <v>44222.91</v>
      </c>
      <c r="D1159" s="30">
        <f t="shared" si="36"/>
        <v>2.8985507246376812E-3</v>
      </c>
      <c r="E1159" s="30">
        <f t="shared" si="37"/>
        <v>-1.8382257461257826E-2</v>
      </c>
    </row>
    <row r="1160" spans="1:5" x14ac:dyDescent="0.35">
      <c r="A1160" s="27">
        <v>44095</v>
      </c>
      <c r="B1160" s="28">
        <v>6900</v>
      </c>
      <c r="C1160" s="29">
        <v>45051.05</v>
      </c>
      <c r="D1160" s="30">
        <f t="shared" si="36"/>
        <v>-1.3341340997812217E-2</v>
      </c>
      <c r="E1160" s="30">
        <f t="shared" si="37"/>
        <v>-1.7154133037795501E-2</v>
      </c>
    </row>
    <row r="1161" spans="1:5" x14ac:dyDescent="0.35">
      <c r="A1161" s="27">
        <v>44092</v>
      </c>
      <c r="B1161" s="28">
        <v>6993.3</v>
      </c>
      <c r="C1161" s="29">
        <v>45837.35</v>
      </c>
      <c r="D1161" s="30">
        <f t="shared" si="36"/>
        <v>1.6320302281645136E-2</v>
      </c>
      <c r="E1161" s="30">
        <f t="shared" si="37"/>
        <v>1.2341831768831711E-2</v>
      </c>
    </row>
    <row r="1162" spans="1:5" x14ac:dyDescent="0.35">
      <c r="A1162" s="27">
        <v>44091</v>
      </c>
      <c r="B1162" s="28">
        <v>6881</v>
      </c>
      <c r="C1162" s="29">
        <v>45278.53</v>
      </c>
      <c r="D1162" s="30">
        <f t="shared" si="36"/>
        <v>-1.7000000000000001E-2</v>
      </c>
      <c r="E1162" s="30">
        <f t="shared" si="37"/>
        <v>-1.9112545325273966E-2</v>
      </c>
    </row>
    <row r="1163" spans="1:5" x14ac:dyDescent="0.35">
      <c r="A1163" s="27">
        <v>44089</v>
      </c>
      <c r="B1163" s="28">
        <v>7000</v>
      </c>
      <c r="C1163" s="29">
        <v>46160.78</v>
      </c>
      <c r="D1163" s="30">
        <f t="shared" si="36"/>
        <v>3.1383527331663476E-2</v>
      </c>
      <c r="E1163" s="30">
        <f t="shared" si="37"/>
        <v>4.275277296909144E-3</v>
      </c>
    </row>
    <row r="1164" spans="1:5" x14ac:dyDescent="0.35">
      <c r="A1164" s="27">
        <v>44088</v>
      </c>
      <c r="B1164" s="28">
        <v>6787</v>
      </c>
      <c r="C1164" s="29">
        <v>45964.27</v>
      </c>
      <c r="D1164" s="30">
        <f t="shared" si="36"/>
        <v>2.0601503759398496E-2</v>
      </c>
      <c r="E1164" s="30">
        <f t="shared" si="37"/>
        <v>8.133628024914916E-3</v>
      </c>
    </row>
    <row r="1165" spans="1:5" x14ac:dyDescent="0.35">
      <c r="A1165" s="27">
        <v>44085</v>
      </c>
      <c r="B1165" s="28">
        <v>6650</v>
      </c>
      <c r="C1165" s="29">
        <v>45593.43</v>
      </c>
      <c r="D1165" s="30">
        <f t="shared" si="36"/>
        <v>-4.6731651376146786E-2</v>
      </c>
      <c r="E1165" s="30">
        <f t="shared" si="37"/>
        <v>-5.9215061936089101E-3</v>
      </c>
    </row>
    <row r="1166" spans="1:5" x14ac:dyDescent="0.35">
      <c r="A1166" s="27">
        <v>44084</v>
      </c>
      <c r="B1166" s="28">
        <v>6976</v>
      </c>
      <c r="C1166" s="29">
        <v>45865.02</v>
      </c>
      <c r="D1166" s="30">
        <f t="shared" si="36"/>
        <v>5.9860224855666971E-2</v>
      </c>
      <c r="E1166" s="30">
        <f t="shared" si="37"/>
        <v>-2.1885922565605732E-3</v>
      </c>
    </row>
    <row r="1167" spans="1:5" x14ac:dyDescent="0.35">
      <c r="A1167" s="27">
        <v>44083</v>
      </c>
      <c r="B1167" s="28">
        <v>6582</v>
      </c>
      <c r="C1167" s="29">
        <v>45965.62</v>
      </c>
      <c r="D1167" s="30">
        <f t="shared" si="36"/>
        <v>1.2880291768616379E-2</v>
      </c>
      <c r="E1167" s="30">
        <f t="shared" si="37"/>
        <v>1.329377650036662E-2</v>
      </c>
    </row>
    <row r="1168" spans="1:5" x14ac:dyDescent="0.35">
      <c r="A1168" s="27">
        <v>44082</v>
      </c>
      <c r="B1168" s="28">
        <v>6498.3</v>
      </c>
      <c r="C1168" s="29">
        <v>45362.58</v>
      </c>
      <c r="D1168" s="30">
        <f t="shared" si="36"/>
        <v>-1.0770887828893955E-4</v>
      </c>
      <c r="E1168" s="30">
        <f t="shared" si="37"/>
        <v>-8.0074351474728311E-3</v>
      </c>
    </row>
    <row r="1169" spans="1:5" x14ac:dyDescent="0.35">
      <c r="A1169" s="27">
        <v>44081</v>
      </c>
      <c r="B1169" s="28">
        <v>6499</v>
      </c>
      <c r="C1169" s="29">
        <v>45728.75</v>
      </c>
      <c r="D1169" s="30">
        <f t="shared" si="36"/>
        <v>2.9952456418383518E-2</v>
      </c>
      <c r="E1169" s="30">
        <f t="shared" si="37"/>
        <v>-3.5147060233549779E-3</v>
      </c>
    </row>
    <row r="1170" spans="1:5" x14ac:dyDescent="0.35">
      <c r="A1170" s="27">
        <v>44078</v>
      </c>
      <c r="B1170" s="28">
        <v>6310</v>
      </c>
      <c r="C1170" s="29">
        <v>45890.04</v>
      </c>
      <c r="D1170" s="30">
        <f t="shared" si="36"/>
        <v>-1.019607843137255E-2</v>
      </c>
      <c r="E1170" s="30">
        <f t="shared" si="37"/>
        <v>-7.3032049000976811E-3</v>
      </c>
    </row>
    <row r="1171" spans="1:5" x14ac:dyDescent="0.35">
      <c r="A1171" s="27">
        <v>44077</v>
      </c>
      <c r="B1171" s="28">
        <v>6375</v>
      </c>
      <c r="C1171" s="29">
        <v>46227.65</v>
      </c>
      <c r="D1171" s="30">
        <f t="shared" si="36"/>
        <v>1.0301109350237718E-2</v>
      </c>
      <c r="E1171" s="30">
        <f t="shared" si="37"/>
        <v>1.8401594703739634E-3</v>
      </c>
    </row>
    <row r="1172" spans="1:5" x14ac:dyDescent="0.35">
      <c r="A1172" s="27">
        <v>44076</v>
      </c>
      <c r="B1172" s="28">
        <v>6310</v>
      </c>
      <c r="C1172" s="29">
        <v>46142.74</v>
      </c>
      <c r="D1172" s="30">
        <f t="shared" si="36"/>
        <v>2.6934657010334446E-2</v>
      </c>
      <c r="E1172" s="30">
        <f t="shared" si="37"/>
        <v>-1.3372351348589049E-2</v>
      </c>
    </row>
    <row r="1173" spans="1:5" x14ac:dyDescent="0.35">
      <c r="A1173" s="27">
        <v>44075</v>
      </c>
      <c r="B1173" s="28">
        <v>6144.5</v>
      </c>
      <c r="C1173" s="29">
        <v>46768.14</v>
      </c>
      <c r="D1173" s="30">
        <f t="shared" si="36"/>
        <v>1.2557058813835805E-2</v>
      </c>
      <c r="E1173" s="30">
        <f t="shared" si="37"/>
        <v>-2.1296002918838497E-3</v>
      </c>
    </row>
    <row r="1174" spans="1:5" x14ac:dyDescent="0.35">
      <c r="A1174" s="27">
        <v>44074</v>
      </c>
      <c r="B1174" s="28">
        <v>6068.3</v>
      </c>
      <c r="C1174" s="29">
        <v>46867.95</v>
      </c>
      <c r="D1174" s="30">
        <f t="shared" si="36"/>
        <v>1.1383333333333363E-2</v>
      </c>
      <c r="E1174" s="30">
        <f t="shared" si="37"/>
        <v>1.0616792152940816E-2</v>
      </c>
    </row>
    <row r="1175" spans="1:5" x14ac:dyDescent="0.35">
      <c r="A1175" s="27">
        <v>44071</v>
      </c>
      <c r="B1175" s="28">
        <v>6000</v>
      </c>
      <c r="C1175" s="29">
        <v>46375.59</v>
      </c>
      <c r="D1175" s="30">
        <f t="shared" si="36"/>
        <v>-1.1532125205930808E-2</v>
      </c>
      <c r="E1175" s="30">
        <f t="shared" si="37"/>
        <v>1.238267425421901E-2</v>
      </c>
    </row>
    <row r="1176" spans="1:5" x14ac:dyDescent="0.35">
      <c r="A1176" s="27">
        <v>44070</v>
      </c>
      <c r="B1176" s="28">
        <v>6070</v>
      </c>
      <c r="C1176" s="29">
        <v>45808.36</v>
      </c>
      <c r="D1176" s="30">
        <f t="shared" si="36"/>
        <v>1.0656010656010656E-2</v>
      </c>
      <c r="E1176" s="30">
        <f t="shared" si="37"/>
        <v>-5.3665662661065653E-3</v>
      </c>
    </row>
    <row r="1177" spans="1:5" x14ac:dyDescent="0.35">
      <c r="A1177" s="27">
        <v>44069</v>
      </c>
      <c r="B1177" s="28">
        <v>6006</v>
      </c>
      <c r="C1177" s="29">
        <v>46055.519999999997</v>
      </c>
      <c r="D1177" s="30">
        <f t="shared" si="36"/>
        <v>-3.5444135738031353E-2</v>
      </c>
      <c r="E1177" s="30">
        <f t="shared" si="37"/>
        <v>-1.2622552513930517E-2</v>
      </c>
    </row>
    <row r="1178" spans="1:5" x14ac:dyDescent="0.35">
      <c r="A1178" s="27">
        <v>44068</v>
      </c>
      <c r="B1178" s="28">
        <v>6226.7</v>
      </c>
      <c r="C1178" s="29">
        <v>46644.29</v>
      </c>
      <c r="D1178" s="30">
        <f t="shared" si="36"/>
        <v>2.0770491803278657E-2</v>
      </c>
      <c r="E1178" s="30">
        <f t="shared" si="37"/>
        <v>-6.5302946324097429E-4</v>
      </c>
    </row>
    <row r="1179" spans="1:5" x14ac:dyDescent="0.35">
      <c r="A1179" s="27">
        <v>44067</v>
      </c>
      <c r="B1179" s="28">
        <v>6100</v>
      </c>
      <c r="C1179" s="29">
        <v>46674.77</v>
      </c>
      <c r="D1179" s="30">
        <f t="shared" si="36"/>
        <v>-8.130081300813009E-3</v>
      </c>
      <c r="E1179" s="30">
        <f t="shared" si="37"/>
        <v>-1.0080932120226742E-3</v>
      </c>
    </row>
    <row r="1180" spans="1:5" x14ac:dyDescent="0.35">
      <c r="A1180" s="27">
        <v>44064</v>
      </c>
      <c r="B1180" s="28">
        <v>6150</v>
      </c>
      <c r="C1180" s="29">
        <v>46721.87</v>
      </c>
      <c r="D1180" s="30">
        <f t="shared" si="36"/>
        <v>-9.6618357487922701E-3</v>
      </c>
      <c r="E1180" s="30">
        <f t="shared" si="37"/>
        <v>-3.9210511111740839E-3</v>
      </c>
    </row>
    <row r="1181" spans="1:5" x14ac:dyDescent="0.35">
      <c r="A1181" s="27">
        <v>44063</v>
      </c>
      <c r="B1181" s="28">
        <v>6210</v>
      </c>
      <c r="C1181" s="29">
        <v>46905.79</v>
      </c>
      <c r="D1181" s="30">
        <f t="shared" si="36"/>
        <v>-1.2718600953895072E-2</v>
      </c>
      <c r="E1181" s="30">
        <f t="shared" si="37"/>
        <v>-5.9317806868969031E-4</v>
      </c>
    </row>
    <row r="1182" spans="1:5" x14ac:dyDescent="0.35">
      <c r="A1182" s="27">
        <v>44062</v>
      </c>
      <c r="B1182" s="28">
        <v>6290</v>
      </c>
      <c r="C1182" s="29">
        <v>46933.63</v>
      </c>
      <c r="D1182" s="30">
        <f t="shared" si="36"/>
        <v>-3.1695721077654518E-3</v>
      </c>
      <c r="E1182" s="30">
        <f t="shared" si="37"/>
        <v>7.5845302975461517E-3</v>
      </c>
    </row>
    <row r="1183" spans="1:5" x14ac:dyDescent="0.35">
      <c r="A1183" s="27">
        <v>44061</v>
      </c>
      <c r="B1183" s="28">
        <v>6310</v>
      </c>
      <c r="C1183" s="29">
        <v>46580.34</v>
      </c>
      <c r="D1183" s="30">
        <f t="shared" si="36"/>
        <v>1.5873015873015873E-3</v>
      </c>
      <c r="E1183" s="30">
        <f t="shared" si="37"/>
        <v>7.1762405010329959E-3</v>
      </c>
    </row>
    <row r="1184" spans="1:5" x14ac:dyDescent="0.35">
      <c r="A1184" s="27">
        <v>44056</v>
      </c>
      <c r="B1184" s="28">
        <v>6300</v>
      </c>
      <c r="C1184" s="29">
        <v>46248.45</v>
      </c>
      <c r="D1184" s="30">
        <f t="shared" si="36"/>
        <v>-1.1415525114154962E-3</v>
      </c>
      <c r="E1184" s="30">
        <f t="shared" si="37"/>
        <v>-2.9554468914235726E-3</v>
      </c>
    </row>
    <row r="1185" spans="1:5" x14ac:dyDescent="0.35">
      <c r="A1185" s="27">
        <v>44055</v>
      </c>
      <c r="B1185" s="28">
        <v>6307.2</v>
      </c>
      <c r="C1185" s="29">
        <v>46385.54</v>
      </c>
      <c r="D1185" s="30">
        <f t="shared" si="36"/>
        <v>6.9810243066567817E-4</v>
      </c>
      <c r="E1185" s="30">
        <f t="shared" si="37"/>
        <v>4.7543595347663047E-3</v>
      </c>
    </row>
    <row r="1186" spans="1:5" x14ac:dyDescent="0.35">
      <c r="A1186" s="27">
        <v>44054</v>
      </c>
      <c r="B1186" s="28">
        <v>6302.8</v>
      </c>
      <c r="C1186" s="29">
        <v>46166.05</v>
      </c>
      <c r="D1186" s="30">
        <f t="shared" si="36"/>
        <v>-6.3533603443111696E-3</v>
      </c>
      <c r="E1186" s="30">
        <f t="shared" si="37"/>
        <v>-6.2869512828001147E-3</v>
      </c>
    </row>
    <row r="1187" spans="1:5" x14ac:dyDescent="0.35">
      <c r="A1187" s="27">
        <v>44053</v>
      </c>
      <c r="B1187" s="28">
        <v>6343.1</v>
      </c>
      <c r="C1187" s="29">
        <v>46458.13</v>
      </c>
      <c r="D1187" s="30">
        <f t="shared" si="36"/>
        <v>-1.5551037511833969E-2</v>
      </c>
      <c r="E1187" s="30">
        <f t="shared" si="37"/>
        <v>3.6889104546422805E-3</v>
      </c>
    </row>
    <row r="1188" spans="1:5" x14ac:dyDescent="0.35">
      <c r="A1188" s="27">
        <v>44050</v>
      </c>
      <c r="B1188" s="28">
        <v>6443.3</v>
      </c>
      <c r="C1188" s="29">
        <v>46287.38</v>
      </c>
      <c r="D1188" s="30">
        <f t="shared" si="36"/>
        <v>2.8482490272373822E-3</v>
      </c>
      <c r="E1188" s="30">
        <f t="shared" si="37"/>
        <v>4.3339168592706843E-3</v>
      </c>
    </row>
    <row r="1189" spans="1:5" x14ac:dyDescent="0.35">
      <c r="A1189" s="27">
        <v>44049</v>
      </c>
      <c r="B1189" s="28">
        <v>6425</v>
      </c>
      <c r="C1189" s="29">
        <v>46087.64</v>
      </c>
      <c r="D1189" s="30">
        <f t="shared" si="36"/>
        <v>2.3400936037441498E-3</v>
      </c>
      <c r="E1189" s="30">
        <f t="shared" si="37"/>
        <v>4.7876473466055783E-3</v>
      </c>
    </row>
    <row r="1190" spans="1:5" x14ac:dyDescent="0.35">
      <c r="A1190" s="27">
        <v>44048</v>
      </c>
      <c r="B1190" s="28">
        <v>6410</v>
      </c>
      <c r="C1190" s="29">
        <v>45868.04</v>
      </c>
      <c r="D1190" s="30">
        <f t="shared" si="36"/>
        <v>-6.2015503875968991E-3</v>
      </c>
      <c r="E1190" s="30">
        <f t="shared" si="37"/>
        <v>-2.5317248479159752E-3</v>
      </c>
    </row>
    <row r="1191" spans="1:5" x14ac:dyDescent="0.35">
      <c r="A1191" s="27">
        <v>44047</v>
      </c>
      <c r="B1191" s="28">
        <v>6450</v>
      </c>
      <c r="C1191" s="29">
        <v>45984.46</v>
      </c>
      <c r="D1191" s="30">
        <f t="shared" si="36"/>
        <v>-6.1633281972265025E-3</v>
      </c>
      <c r="E1191" s="30">
        <f t="shared" si="37"/>
        <v>6.7325000317446128E-3</v>
      </c>
    </row>
    <row r="1192" spans="1:5" x14ac:dyDescent="0.35">
      <c r="A1192" s="27">
        <v>44046</v>
      </c>
      <c r="B1192" s="28">
        <v>6490</v>
      </c>
      <c r="C1192" s="29">
        <v>45676.94</v>
      </c>
      <c r="D1192" s="30">
        <f t="shared" si="36"/>
        <v>3.6030742109577035E-3</v>
      </c>
      <c r="E1192" s="30">
        <f t="shared" si="37"/>
        <v>-4.9297184533637576E-3</v>
      </c>
    </row>
    <row r="1193" spans="1:5" x14ac:dyDescent="0.35">
      <c r="A1193" s="27">
        <v>44042</v>
      </c>
      <c r="B1193" s="28">
        <v>6466.7</v>
      </c>
      <c r="C1193" s="29">
        <v>45903.23</v>
      </c>
      <c r="D1193" s="30">
        <f t="shared" si="36"/>
        <v>-5.1230769230769507E-3</v>
      </c>
      <c r="E1193" s="30">
        <f t="shared" si="37"/>
        <v>3.8609844405936076E-3</v>
      </c>
    </row>
    <row r="1194" spans="1:5" x14ac:dyDescent="0.35">
      <c r="A1194" s="27">
        <v>44041</v>
      </c>
      <c r="B1194" s="28">
        <v>6500</v>
      </c>
      <c r="C1194" s="29">
        <v>45726.68</v>
      </c>
      <c r="D1194" s="30">
        <f t="shared" si="36"/>
        <v>-1.1722491675662581E-2</v>
      </c>
      <c r="E1194" s="30">
        <f t="shared" si="37"/>
        <v>-4.4484117480568615E-3</v>
      </c>
    </row>
    <row r="1195" spans="1:5" x14ac:dyDescent="0.35">
      <c r="A1195" s="27">
        <v>44040</v>
      </c>
      <c r="B1195" s="28">
        <v>6577.1</v>
      </c>
      <c r="C1195" s="29">
        <v>45931</v>
      </c>
      <c r="D1195" s="30">
        <f t="shared" si="36"/>
        <v>-2.1017221618564192E-2</v>
      </c>
      <c r="E1195" s="30">
        <f t="shared" si="37"/>
        <v>-1.268772009171657E-3</v>
      </c>
    </row>
    <row r="1196" spans="1:5" x14ac:dyDescent="0.35">
      <c r="A1196" s="27">
        <v>44035</v>
      </c>
      <c r="B1196" s="28">
        <v>6718.3</v>
      </c>
      <c r="C1196" s="29">
        <v>45989.35</v>
      </c>
      <c r="D1196" s="30">
        <f t="shared" si="36"/>
        <v>-1.2014705882352915E-2</v>
      </c>
      <c r="E1196" s="30">
        <f t="shared" si="37"/>
        <v>-2.2262017063279711E-3</v>
      </c>
    </row>
    <row r="1197" spans="1:5" x14ac:dyDescent="0.35">
      <c r="A1197" s="27">
        <v>44033</v>
      </c>
      <c r="B1197" s="28">
        <v>6800</v>
      </c>
      <c r="C1197" s="29">
        <v>46091.96</v>
      </c>
      <c r="D1197" s="30">
        <f t="shared" si="36"/>
        <v>7.4074074074074077E-3</v>
      </c>
      <c r="E1197" s="30">
        <f t="shared" si="37"/>
        <v>3.7001840510569269E-3</v>
      </c>
    </row>
    <row r="1198" spans="1:5" x14ac:dyDescent="0.35">
      <c r="A1198" s="27">
        <v>44032</v>
      </c>
      <c r="B1198" s="28">
        <v>6750</v>
      </c>
      <c r="C1198" s="29">
        <v>45922.04</v>
      </c>
      <c r="D1198" s="30">
        <f t="shared" si="36"/>
        <v>-2.1739130434782608E-2</v>
      </c>
      <c r="E1198" s="30">
        <f t="shared" si="37"/>
        <v>6.9425958581239384E-3</v>
      </c>
    </row>
    <row r="1199" spans="1:5" x14ac:dyDescent="0.35">
      <c r="A1199" s="27">
        <v>44028</v>
      </c>
      <c r="B1199" s="28">
        <v>6900</v>
      </c>
      <c r="C1199" s="29">
        <v>45605.42</v>
      </c>
      <c r="D1199" s="30">
        <f t="shared" si="36"/>
        <v>1.4705882352941176E-2</v>
      </c>
      <c r="E1199" s="30">
        <f t="shared" si="37"/>
        <v>-1.0715301108284176E-3</v>
      </c>
    </row>
    <row r="1200" spans="1:5" x14ac:dyDescent="0.35">
      <c r="A1200" s="27">
        <v>44027</v>
      </c>
      <c r="B1200" s="28">
        <v>6800</v>
      </c>
      <c r="C1200" s="29">
        <v>45654.34</v>
      </c>
      <c r="D1200" s="30">
        <f t="shared" si="36"/>
        <v>0</v>
      </c>
      <c r="E1200" s="30">
        <f t="shared" si="37"/>
        <v>6.8321345855530922E-3</v>
      </c>
    </row>
    <row r="1201" spans="1:5" x14ac:dyDescent="0.35">
      <c r="A1201" s="27">
        <v>44026</v>
      </c>
      <c r="B1201" s="28">
        <v>6800</v>
      </c>
      <c r="C1201" s="29">
        <v>45344.54</v>
      </c>
      <c r="D1201" s="30">
        <f t="shared" si="36"/>
        <v>0</v>
      </c>
      <c r="E1201" s="30">
        <f t="shared" si="37"/>
        <v>4.2326804924190152E-3</v>
      </c>
    </row>
    <row r="1202" spans="1:5" x14ac:dyDescent="0.35">
      <c r="A1202" s="27">
        <v>44025</v>
      </c>
      <c r="B1202" s="28">
        <v>6800</v>
      </c>
      <c r="C1202" s="29">
        <v>45153.42</v>
      </c>
      <c r="D1202" s="30">
        <f t="shared" si="36"/>
        <v>-1.1763321962124777E-4</v>
      </c>
      <c r="E1202" s="30">
        <f t="shared" si="37"/>
        <v>1.1265065084479544E-2</v>
      </c>
    </row>
    <row r="1203" spans="1:5" x14ac:dyDescent="0.35">
      <c r="A1203" s="27">
        <v>44021</v>
      </c>
      <c r="B1203" s="28">
        <v>6800.8</v>
      </c>
      <c r="C1203" s="29">
        <v>44650.43</v>
      </c>
      <c r="D1203" s="30">
        <f t="shared" si="36"/>
        <v>1.5044776119403013E-2</v>
      </c>
      <c r="E1203" s="30">
        <f t="shared" si="37"/>
        <v>-8.0628449870495081E-4</v>
      </c>
    </row>
    <row r="1204" spans="1:5" x14ac:dyDescent="0.35">
      <c r="A1204" s="27">
        <v>44020</v>
      </c>
      <c r="B1204" s="28">
        <v>6700</v>
      </c>
      <c r="C1204" s="29">
        <v>44686.46</v>
      </c>
      <c r="D1204" s="30">
        <f t="shared" si="36"/>
        <v>-7.4074074074074077E-3</v>
      </c>
      <c r="E1204" s="30">
        <f t="shared" si="37"/>
        <v>5.6635789966421862E-3</v>
      </c>
    </row>
    <row r="1205" spans="1:5" x14ac:dyDescent="0.35">
      <c r="A1205" s="27">
        <v>44019</v>
      </c>
      <c r="B1205" s="28">
        <v>6750</v>
      </c>
      <c r="C1205" s="29">
        <v>44434.8</v>
      </c>
      <c r="D1205" s="30">
        <f t="shared" si="36"/>
        <v>-1.3878743608473338E-2</v>
      </c>
      <c r="E1205" s="30">
        <f t="shared" si="37"/>
        <v>1.552769053771229E-2</v>
      </c>
    </row>
    <row r="1206" spans="1:5" x14ac:dyDescent="0.35">
      <c r="A1206" s="27">
        <v>44018</v>
      </c>
      <c r="B1206" s="28">
        <v>6845</v>
      </c>
      <c r="C1206" s="29">
        <v>43755.38</v>
      </c>
      <c r="D1206" s="30">
        <f t="shared" si="36"/>
        <v>-6.5312046444121917E-3</v>
      </c>
      <c r="E1206" s="30">
        <f t="shared" si="37"/>
        <v>1.3873517099074429E-3</v>
      </c>
    </row>
    <row r="1207" spans="1:5" x14ac:dyDescent="0.35">
      <c r="A1207" s="27">
        <v>44014</v>
      </c>
      <c r="B1207" s="28">
        <v>6890</v>
      </c>
      <c r="C1207" s="29">
        <v>43694.76</v>
      </c>
      <c r="D1207" s="30">
        <f t="shared" si="36"/>
        <v>2.8941787879692989E-2</v>
      </c>
      <c r="E1207" s="30">
        <f t="shared" si="37"/>
        <v>1.0153841530162005E-2</v>
      </c>
    </row>
    <row r="1208" spans="1:5" x14ac:dyDescent="0.35">
      <c r="A1208" s="27">
        <v>44013</v>
      </c>
      <c r="B1208" s="28">
        <v>6696.2</v>
      </c>
      <c r="C1208" s="29">
        <v>43255.55</v>
      </c>
      <c r="D1208" s="30">
        <f t="shared" si="36"/>
        <v>-5.7609502598367007E-3</v>
      </c>
      <c r="E1208" s="30">
        <f t="shared" si="37"/>
        <v>-9.5875650382787284E-3</v>
      </c>
    </row>
    <row r="1209" spans="1:5" x14ac:dyDescent="0.35">
      <c r="A1209" s="27">
        <v>44012</v>
      </c>
      <c r="B1209" s="28">
        <v>6735</v>
      </c>
      <c r="C1209" s="29">
        <v>43674.28</v>
      </c>
      <c r="D1209" s="30">
        <f t="shared" si="36"/>
        <v>3.6153846153846154E-2</v>
      </c>
      <c r="E1209" s="30">
        <f t="shared" si="37"/>
        <v>5.9311183213307224E-3</v>
      </c>
    </row>
    <row r="1210" spans="1:5" x14ac:dyDescent="0.35">
      <c r="A1210" s="27">
        <v>44007</v>
      </c>
      <c r="B1210" s="28">
        <v>6500</v>
      </c>
      <c r="C1210" s="29">
        <v>43416.77</v>
      </c>
      <c r="D1210" s="30">
        <f t="shared" si="36"/>
        <v>-5.1094890510948905E-2</v>
      </c>
      <c r="E1210" s="30">
        <f t="shared" si="37"/>
        <v>7.6372143326285625E-3</v>
      </c>
    </row>
    <row r="1211" spans="1:5" x14ac:dyDescent="0.35">
      <c r="A1211" s="27">
        <v>44006</v>
      </c>
      <c r="B1211" s="28">
        <v>6850</v>
      </c>
      <c r="C1211" s="29">
        <v>43087.7</v>
      </c>
      <c r="D1211" s="30">
        <f t="shared" si="36"/>
        <v>6.2015503875968991E-2</v>
      </c>
      <c r="E1211" s="30">
        <f t="shared" si="37"/>
        <v>4.2128382960890422E-3</v>
      </c>
    </row>
    <row r="1212" spans="1:5" x14ac:dyDescent="0.35">
      <c r="A1212" s="27">
        <v>44005</v>
      </c>
      <c r="B1212" s="28">
        <v>6450</v>
      </c>
      <c r="C1212" s="29">
        <v>42906.94</v>
      </c>
      <c r="D1212" s="30">
        <f t="shared" si="36"/>
        <v>2.6363537676594111E-4</v>
      </c>
      <c r="E1212" s="30">
        <f t="shared" si="37"/>
        <v>-9.8495953270613876E-3</v>
      </c>
    </row>
    <row r="1213" spans="1:5" x14ac:dyDescent="0.35">
      <c r="A1213" s="27">
        <v>44004</v>
      </c>
      <c r="B1213" s="28">
        <v>6448.3</v>
      </c>
      <c r="C1213" s="29">
        <v>43333.760000000002</v>
      </c>
      <c r="D1213" s="30">
        <f t="shared" si="36"/>
        <v>-7.9538461538461256E-3</v>
      </c>
      <c r="E1213" s="30">
        <f t="shared" si="37"/>
        <v>-9.3000659571038959E-3</v>
      </c>
    </row>
    <row r="1214" spans="1:5" x14ac:dyDescent="0.35">
      <c r="A1214" s="27">
        <v>44000</v>
      </c>
      <c r="B1214" s="28">
        <v>6500</v>
      </c>
      <c r="C1214" s="29">
        <v>43740.55</v>
      </c>
      <c r="D1214" s="30">
        <f t="shared" si="36"/>
        <v>0</v>
      </c>
      <c r="E1214" s="30">
        <f t="shared" si="37"/>
        <v>-5.9725786894095523E-4</v>
      </c>
    </row>
    <row r="1215" spans="1:5" x14ac:dyDescent="0.35">
      <c r="A1215" s="27">
        <v>43999</v>
      </c>
      <c r="B1215" s="28">
        <v>6500</v>
      </c>
      <c r="C1215" s="29">
        <v>43766.69</v>
      </c>
      <c r="D1215" s="30">
        <f t="shared" si="36"/>
        <v>1.546633338540853E-2</v>
      </c>
      <c r="E1215" s="30">
        <f t="shared" si="37"/>
        <v>9.3749589196910794E-3</v>
      </c>
    </row>
    <row r="1216" spans="1:5" x14ac:dyDescent="0.35">
      <c r="A1216" s="27">
        <v>43998</v>
      </c>
      <c r="B1216" s="28">
        <v>6401</v>
      </c>
      <c r="C1216" s="29">
        <v>43360.19</v>
      </c>
      <c r="D1216" s="30">
        <f t="shared" si="36"/>
        <v>-2.0504973221117061E-2</v>
      </c>
      <c r="E1216" s="30">
        <f t="shared" si="37"/>
        <v>2.5282745953605947E-3</v>
      </c>
    </row>
    <row r="1217" spans="1:5" x14ac:dyDescent="0.35">
      <c r="A1217" s="27">
        <v>43994</v>
      </c>
      <c r="B1217" s="28">
        <v>6535</v>
      </c>
      <c r="C1217" s="29">
        <v>43250.84</v>
      </c>
      <c r="D1217" s="30">
        <f t="shared" si="36"/>
        <v>9.2664092664092659E-3</v>
      </c>
      <c r="E1217" s="30">
        <f t="shared" si="37"/>
        <v>-3.5547362353366337E-4</v>
      </c>
    </row>
    <row r="1218" spans="1:5" x14ac:dyDescent="0.35">
      <c r="A1218" s="27">
        <v>43993</v>
      </c>
      <c r="B1218" s="28">
        <v>6475</v>
      </c>
      <c r="C1218" s="29">
        <v>43266.22</v>
      </c>
      <c r="D1218" s="30">
        <f t="shared" si="36"/>
        <v>-2.6315789473684209E-2</v>
      </c>
      <c r="E1218" s="30">
        <f t="shared" si="37"/>
        <v>1.8738466964866623E-2</v>
      </c>
    </row>
    <row r="1219" spans="1:5" x14ac:dyDescent="0.35">
      <c r="A1219" s="27">
        <v>43992</v>
      </c>
      <c r="B1219" s="28">
        <v>6650</v>
      </c>
      <c r="C1219" s="29">
        <v>42470.39</v>
      </c>
      <c r="D1219" s="30">
        <f t="shared" si="36"/>
        <v>-5.9790732436472349E-3</v>
      </c>
      <c r="E1219" s="30">
        <f t="shared" si="37"/>
        <v>3.8895339272309194E-3</v>
      </c>
    </row>
    <row r="1220" spans="1:5" x14ac:dyDescent="0.35">
      <c r="A1220" s="27">
        <v>43991</v>
      </c>
      <c r="B1220" s="28">
        <v>6690</v>
      </c>
      <c r="C1220" s="29">
        <v>42305.84</v>
      </c>
      <c r="D1220" s="30">
        <f t="shared" si="36"/>
        <v>1.6717325227963525E-2</v>
      </c>
      <c r="E1220" s="30">
        <f t="shared" si="37"/>
        <v>2.4123288700154386E-3</v>
      </c>
    </row>
    <row r="1221" spans="1:5" x14ac:dyDescent="0.35">
      <c r="A1221" s="27">
        <v>43990</v>
      </c>
      <c r="B1221" s="28">
        <v>6580</v>
      </c>
      <c r="C1221" s="29">
        <v>42204.03</v>
      </c>
      <c r="D1221" s="30">
        <f t="shared" ref="D1221:D1284" si="38">(B1221-B1222)/B1222</f>
        <v>-3.0303030303030303E-3</v>
      </c>
      <c r="E1221" s="30">
        <f t="shared" ref="E1221:E1284" si="39">(C1221-C1222)/C1222</f>
        <v>2.428638409112394E-3</v>
      </c>
    </row>
    <row r="1222" spans="1:5" x14ac:dyDescent="0.35">
      <c r="A1222" s="27">
        <v>43986</v>
      </c>
      <c r="B1222" s="28">
        <v>6600</v>
      </c>
      <c r="C1222" s="29">
        <v>42101.78</v>
      </c>
      <c r="D1222" s="30">
        <f t="shared" si="38"/>
        <v>-2.9411764705882353E-2</v>
      </c>
      <c r="E1222" s="30">
        <f t="shared" si="39"/>
        <v>-3.2126084314703697E-4</v>
      </c>
    </row>
    <row r="1223" spans="1:5" x14ac:dyDescent="0.35">
      <c r="A1223" s="27">
        <v>43985</v>
      </c>
      <c r="B1223" s="28">
        <v>6800</v>
      </c>
      <c r="C1223" s="29">
        <v>42115.31</v>
      </c>
      <c r="D1223" s="30">
        <f t="shared" si="38"/>
        <v>6.9151377844905186E-3</v>
      </c>
      <c r="E1223" s="30">
        <f t="shared" si="39"/>
        <v>-2.1723884663681931E-3</v>
      </c>
    </row>
    <row r="1224" spans="1:5" x14ac:dyDescent="0.35">
      <c r="A1224" s="27">
        <v>43984</v>
      </c>
      <c r="B1224" s="28">
        <v>6753.3</v>
      </c>
      <c r="C1224" s="29">
        <v>42207</v>
      </c>
      <c r="D1224" s="30">
        <f t="shared" si="38"/>
        <v>0</v>
      </c>
      <c r="E1224" s="30">
        <f t="shared" si="39"/>
        <v>3.7880769753984005E-3</v>
      </c>
    </row>
    <row r="1225" spans="1:5" x14ac:dyDescent="0.35">
      <c r="A1225" s="27">
        <v>43983</v>
      </c>
      <c r="B1225" s="28">
        <v>6753.3</v>
      </c>
      <c r="C1225" s="29">
        <v>42047.72</v>
      </c>
      <c r="D1225" s="30">
        <f t="shared" si="38"/>
        <v>-1.7458862555104534E-2</v>
      </c>
      <c r="E1225" s="30">
        <f t="shared" si="39"/>
        <v>4.8397021180011186E-4</v>
      </c>
    </row>
    <row r="1226" spans="1:5" x14ac:dyDescent="0.35">
      <c r="A1226" s="27">
        <v>43980</v>
      </c>
      <c r="B1226" s="28">
        <v>6873.3</v>
      </c>
      <c r="C1226" s="29">
        <v>42027.38</v>
      </c>
      <c r="D1226" s="30">
        <f t="shared" si="38"/>
        <v>-3.6002805049088336E-2</v>
      </c>
      <c r="E1226" s="30">
        <f t="shared" si="39"/>
        <v>8.6909313200178619E-3</v>
      </c>
    </row>
    <row r="1227" spans="1:5" x14ac:dyDescent="0.35">
      <c r="A1227" s="27">
        <v>43979</v>
      </c>
      <c r="B1227" s="28">
        <v>7130</v>
      </c>
      <c r="C1227" s="29">
        <v>41665.269999999997</v>
      </c>
      <c r="D1227" s="30">
        <f t="shared" si="38"/>
        <v>0</v>
      </c>
      <c r="E1227" s="30">
        <f t="shared" si="39"/>
        <v>1.4523183281136325E-2</v>
      </c>
    </row>
    <row r="1228" spans="1:5" x14ac:dyDescent="0.35">
      <c r="A1228" s="27">
        <v>43972</v>
      </c>
      <c r="B1228" s="28">
        <v>7130</v>
      </c>
      <c r="C1228" s="29">
        <v>41068.82</v>
      </c>
      <c r="D1228" s="30">
        <f t="shared" si="38"/>
        <v>1.1347517730496455E-2</v>
      </c>
      <c r="E1228" s="30">
        <f t="shared" si="39"/>
        <v>6.4138364191125424E-3</v>
      </c>
    </row>
    <row r="1229" spans="1:5" x14ac:dyDescent="0.35">
      <c r="A1229" s="27">
        <v>43970</v>
      </c>
      <c r="B1229" s="28">
        <v>7050</v>
      </c>
      <c r="C1229" s="29">
        <v>40807.089999999997</v>
      </c>
      <c r="D1229" s="30">
        <f t="shared" si="38"/>
        <v>1.6758487409501258E-2</v>
      </c>
      <c r="E1229" s="30">
        <f t="shared" si="39"/>
        <v>-5.4578205811553438E-3</v>
      </c>
    </row>
    <row r="1230" spans="1:5" x14ac:dyDescent="0.35">
      <c r="A1230" s="27">
        <v>43969</v>
      </c>
      <c r="B1230" s="28">
        <v>6933.8</v>
      </c>
      <c r="C1230" s="29">
        <v>41031.03</v>
      </c>
      <c r="D1230" s="30">
        <f t="shared" si="38"/>
        <v>3.6442451420029921E-2</v>
      </c>
      <c r="E1230" s="30">
        <f t="shared" si="39"/>
        <v>1.6184744336763542E-2</v>
      </c>
    </row>
    <row r="1231" spans="1:5" x14ac:dyDescent="0.35">
      <c r="A1231" s="27">
        <v>43966</v>
      </c>
      <c r="B1231" s="28">
        <v>6690</v>
      </c>
      <c r="C1231" s="29">
        <v>40377.53</v>
      </c>
      <c r="D1231" s="30">
        <f t="shared" si="38"/>
        <v>5.3958251280031511E-2</v>
      </c>
      <c r="E1231" s="30">
        <f t="shared" si="39"/>
        <v>1.2898310629108992E-2</v>
      </c>
    </row>
    <row r="1232" spans="1:5" x14ac:dyDescent="0.35">
      <c r="A1232" s="27">
        <v>43965</v>
      </c>
      <c r="B1232" s="28">
        <v>6347.5</v>
      </c>
      <c r="C1232" s="29">
        <v>39863.360000000001</v>
      </c>
      <c r="D1232" s="30">
        <f t="shared" si="38"/>
        <v>4.2744730833045821E-2</v>
      </c>
      <c r="E1232" s="30">
        <f t="shared" si="39"/>
        <v>5.824509771268741E-3</v>
      </c>
    </row>
    <row r="1233" spans="1:5" x14ac:dyDescent="0.35">
      <c r="A1233" s="27">
        <v>43964</v>
      </c>
      <c r="B1233" s="28">
        <v>6087.3</v>
      </c>
      <c r="C1233" s="29">
        <v>39632.519999999997</v>
      </c>
      <c r="D1233" s="30">
        <f t="shared" si="38"/>
        <v>-2.0819672131147243E-3</v>
      </c>
      <c r="E1233" s="30">
        <f t="shared" si="39"/>
        <v>-1.380191394370054E-2</v>
      </c>
    </row>
    <row r="1234" spans="1:5" x14ac:dyDescent="0.35">
      <c r="A1234" s="27">
        <v>43959</v>
      </c>
      <c r="B1234" s="28">
        <v>6100</v>
      </c>
      <c r="C1234" s="29">
        <v>40187.18</v>
      </c>
      <c r="D1234" s="30">
        <f t="shared" si="38"/>
        <v>4.4967880085653104E-2</v>
      </c>
      <c r="E1234" s="30">
        <f t="shared" si="39"/>
        <v>-8.7201257008388319E-3</v>
      </c>
    </row>
    <row r="1235" spans="1:5" x14ac:dyDescent="0.35">
      <c r="A1235" s="27">
        <v>43958</v>
      </c>
      <c r="B1235" s="28">
        <v>5837.5</v>
      </c>
      <c r="C1235" s="29">
        <v>40540.699999999997</v>
      </c>
      <c r="D1235" s="30">
        <f t="shared" si="38"/>
        <v>-1.3118966712312616E-2</v>
      </c>
      <c r="E1235" s="30">
        <f t="shared" si="39"/>
        <v>6.4248332764400742E-4</v>
      </c>
    </row>
    <row r="1236" spans="1:5" x14ac:dyDescent="0.35">
      <c r="A1236" s="27">
        <v>43957</v>
      </c>
      <c r="B1236" s="28">
        <v>5915.1</v>
      </c>
      <c r="C1236" s="29">
        <v>40514.67</v>
      </c>
      <c r="D1236" s="30">
        <f t="shared" si="38"/>
        <v>1.4753564015028049E-2</v>
      </c>
      <c r="E1236" s="30">
        <f t="shared" si="39"/>
        <v>-3.3946109812713408E-3</v>
      </c>
    </row>
    <row r="1237" spans="1:5" x14ac:dyDescent="0.35">
      <c r="A1237" s="27">
        <v>43956</v>
      </c>
      <c r="B1237" s="28">
        <v>5829.1</v>
      </c>
      <c r="C1237" s="29">
        <v>40652.67</v>
      </c>
      <c r="D1237" s="30">
        <f t="shared" si="38"/>
        <v>2.2649122807017606E-2</v>
      </c>
      <c r="E1237" s="30">
        <f t="shared" si="39"/>
        <v>3.6519173677160891E-3</v>
      </c>
    </row>
    <row r="1238" spans="1:5" x14ac:dyDescent="0.35">
      <c r="A1238" s="27">
        <v>43955</v>
      </c>
      <c r="B1238" s="28">
        <v>5700</v>
      </c>
      <c r="C1238" s="29">
        <v>40504.75</v>
      </c>
      <c r="D1238" s="30">
        <f t="shared" si="38"/>
        <v>0</v>
      </c>
      <c r="E1238" s="30">
        <f t="shared" si="39"/>
        <v>-1.5923351002665447E-3</v>
      </c>
    </row>
    <row r="1239" spans="1:5" x14ac:dyDescent="0.35">
      <c r="A1239" s="27">
        <v>43951</v>
      </c>
      <c r="B1239" s="28">
        <v>5700</v>
      </c>
      <c r="C1239" s="29">
        <v>40569.35</v>
      </c>
      <c r="D1239" s="30">
        <f t="shared" si="38"/>
        <v>5.2634349176304351E-5</v>
      </c>
      <c r="E1239" s="30">
        <f t="shared" si="39"/>
        <v>1.1832992107630022E-4</v>
      </c>
    </row>
    <row r="1240" spans="1:5" x14ac:dyDescent="0.35">
      <c r="A1240" s="27">
        <v>43950</v>
      </c>
      <c r="B1240" s="28">
        <v>5699.7</v>
      </c>
      <c r="C1240" s="29">
        <v>40564.550000000003</v>
      </c>
      <c r="D1240" s="30">
        <f t="shared" si="38"/>
        <v>-1.3892733564013873E-2</v>
      </c>
      <c r="E1240" s="30">
        <f t="shared" si="39"/>
        <v>-1.5359494258364302E-2</v>
      </c>
    </row>
    <row r="1241" spans="1:5" x14ac:dyDescent="0.35">
      <c r="A1241" s="27">
        <v>43949</v>
      </c>
      <c r="B1241" s="28">
        <v>5780</v>
      </c>
      <c r="C1241" s="29">
        <v>41197.32</v>
      </c>
      <c r="D1241" s="30">
        <f t="shared" si="38"/>
        <v>4.1816870944484497E-2</v>
      </c>
      <c r="E1241" s="30">
        <f t="shared" si="39"/>
        <v>1.0757404372214647E-3</v>
      </c>
    </row>
    <row r="1242" spans="1:5" x14ac:dyDescent="0.35">
      <c r="A1242" s="27">
        <v>43948</v>
      </c>
      <c r="B1242" s="28">
        <v>5548</v>
      </c>
      <c r="C1242" s="29">
        <v>41153.050000000003</v>
      </c>
      <c r="D1242" s="30">
        <f t="shared" si="38"/>
        <v>-2.323943661971831E-2</v>
      </c>
      <c r="E1242" s="30">
        <f t="shared" si="39"/>
        <v>9.0479020714966454E-3</v>
      </c>
    </row>
    <row r="1243" spans="1:5" x14ac:dyDescent="0.35">
      <c r="A1243" s="27">
        <v>43944</v>
      </c>
      <c r="B1243" s="28">
        <v>5680</v>
      </c>
      <c r="C1243" s="29">
        <v>40784.04</v>
      </c>
      <c r="D1243" s="30">
        <f t="shared" si="38"/>
        <v>9.0064484038867732E-3</v>
      </c>
      <c r="E1243" s="30">
        <f t="shared" si="39"/>
        <v>1.2872066682362983E-3</v>
      </c>
    </row>
    <row r="1244" spans="1:5" x14ac:dyDescent="0.35">
      <c r="A1244" s="27">
        <v>43943</v>
      </c>
      <c r="B1244" s="28">
        <v>5629.3</v>
      </c>
      <c r="C1244" s="29">
        <v>40731.61</v>
      </c>
      <c r="D1244" s="30">
        <f t="shared" si="38"/>
        <v>2.8682391505737126E-3</v>
      </c>
      <c r="E1244" s="30">
        <f t="shared" si="39"/>
        <v>-8.2707389344871558E-3</v>
      </c>
    </row>
    <row r="1245" spans="1:5" x14ac:dyDescent="0.35">
      <c r="A1245" s="27">
        <v>43942</v>
      </c>
      <c r="B1245" s="28">
        <v>5613.2</v>
      </c>
      <c r="C1245" s="29">
        <v>41071.300000000003</v>
      </c>
      <c r="D1245" s="30">
        <f t="shared" si="38"/>
        <v>-1.521079317181E-2</v>
      </c>
      <c r="E1245" s="30">
        <f t="shared" si="39"/>
        <v>1.9595372221212767E-2</v>
      </c>
    </row>
    <row r="1246" spans="1:5" x14ac:dyDescent="0.35">
      <c r="A1246" s="27">
        <v>43941</v>
      </c>
      <c r="B1246" s="28">
        <v>5699.9</v>
      </c>
      <c r="C1246" s="29">
        <v>40281.96</v>
      </c>
      <c r="D1246" s="30">
        <f t="shared" si="38"/>
        <v>1.4217081850533744E-2</v>
      </c>
      <c r="E1246" s="30">
        <f t="shared" si="39"/>
        <v>-4.9139247961012275E-3</v>
      </c>
    </row>
    <row r="1247" spans="1:5" x14ac:dyDescent="0.35">
      <c r="A1247" s="27">
        <v>43938</v>
      </c>
      <c r="B1247" s="28">
        <v>5620</v>
      </c>
      <c r="C1247" s="29">
        <v>40480.879999999997</v>
      </c>
      <c r="D1247" s="30">
        <f t="shared" si="38"/>
        <v>3.5714285714285713E-3</v>
      </c>
      <c r="E1247" s="30">
        <f t="shared" si="39"/>
        <v>3.4994214078581075E-2</v>
      </c>
    </row>
    <row r="1248" spans="1:5" x14ac:dyDescent="0.35">
      <c r="A1248" s="27">
        <v>43937</v>
      </c>
      <c r="B1248" s="28">
        <v>5600</v>
      </c>
      <c r="C1248" s="29">
        <v>39112.18</v>
      </c>
      <c r="D1248" s="30">
        <f t="shared" si="38"/>
        <v>7.1942446043165471E-3</v>
      </c>
      <c r="E1248" s="30">
        <f t="shared" si="39"/>
        <v>-1.9449959887685511E-2</v>
      </c>
    </row>
    <row r="1249" spans="1:5" x14ac:dyDescent="0.35">
      <c r="A1249" s="27">
        <v>43936</v>
      </c>
      <c r="B1249" s="28">
        <v>5560</v>
      </c>
      <c r="C1249" s="29">
        <v>39888</v>
      </c>
      <c r="D1249" s="30">
        <f t="shared" si="38"/>
        <v>-4.3029259896729774E-2</v>
      </c>
      <c r="E1249" s="30">
        <f t="shared" si="39"/>
        <v>-3.153578592784205E-2</v>
      </c>
    </row>
    <row r="1250" spans="1:5" x14ac:dyDescent="0.35">
      <c r="A1250" s="27">
        <v>43935</v>
      </c>
      <c r="B1250" s="28">
        <v>5810</v>
      </c>
      <c r="C1250" s="29">
        <v>41186.86</v>
      </c>
      <c r="D1250" s="30">
        <f t="shared" si="38"/>
        <v>-5.7353776263486658E-2</v>
      </c>
      <c r="E1250" s="30">
        <f t="shared" si="39"/>
        <v>-4.7114881096365522E-3</v>
      </c>
    </row>
    <row r="1251" spans="1:5" x14ac:dyDescent="0.35">
      <c r="A1251" s="27">
        <v>43934</v>
      </c>
      <c r="B1251" s="28">
        <v>6163.5</v>
      </c>
      <c r="C1251" s="29">
        <v>41381.83</v>
      </c>
      <c r="D1251" s="30">
        <f t="shared" si="38"/>
        <v>-6.4719271623672234E-2</v>
      </c>
      <c r="E1251" s="30">
        <f t="shared" si="39"/>
        <v>-1.119796265131549E-2</v>
      </c>
    </row>
    <row r="1252" spans="1:5" x14ac:dyDescent="0.35">
      <c r="A1252" s="27">
        <v>43929</v>
      </c>
      <c r="B1252" s="28">
        <v>6590</v>
      </c>
      <c r="C1252" s="29">
        <v>41850.47</v>
      </c>
      <c r="D1252" s="30">
        <f t="shared" si="38"/>
        <v>0</v>
      </c>
      <c r="E1252" s="30">
        <f t="shared" si="39"/>
        <v>1.4163475985072485E-2</v>
      </c>
    </row>
    <row r="1253" spans="1:5" x14ac:dyDescent="0.35">
      <c r="A1253" s="27">
        <v>43923</v>
      </c>
      <c r="B1253" s="28">
        <v>6590</v>
      </c>
      <c r="C1253" s="29">
        <v>41266</v>
      </c>
      <c r="D1253" s="30">
        <f t="shared" si="38"/>
        <v>-1.5151515151515152E-3</v>
      </c>
      <c r="E1253" s="30">
        <f t="shared" si="39"/>
        <v>1.6257668264925526E-3</v>
      </c>
    </row>
    <row r="1254" spans="1:5" x14ac:dyDescent="0.35">
      <c r="A1254" s="27">
        <v>43922</v>
      </c>
      <c r="B1254" s="28">
        <v>6600</v>
      </c>
      <c r="C1254" s="29">
        <v>41199.019999999997</v>
      </c>
      <c r="D1254" s="30">
        <f t="shared" si="38"/>
        <v>-1.4925373134328358E-2</v>
      </c>
      <c r="E1254" s="30">
        <f t="shared" si="39"/>
        <v>-8.1110518317639643E-3</v>
      </c>
    </row>
    <row r="1255" spans="1:5" x14ac:dyDescent="0.35">
      <c r="A1255" s="27">
        <v>43921</v>
      </c>
      <c r="B1255" s="28">
        <v>6700</v>
      </c>
      <c r="C1255" s="29">
        <v>41535.919999999998</v>
      </c>
      <c r="D1255" s="30">
        <f t="shared" si="38"/>
        <v>0</v>
      </c>
      <c r="E1255" s="30">
        <f t="shared" si="39"/>
        <v>1.4145224039702448E-2</v>
      </c>
    </row>
    <row r="1256" spans="1:5" x14ac:dyDescent="0.35">
      <c r="A1256" s="27">
        <v>43909</v>
      </c>
      <c r="B1256" s="28">
        <v>6700</v>
      </c>
      <c r="C1256" s="29">
        <v>40956.58</v>
      </c>
      <c r="D1256" s="30">
        <f t="shared" si="38"/>
        <v>-6.9896578052335664E-2</v>
      </c>
      <c r="E1256" s="30">
        <f t="shared" si="39"/>
        <v>1.5280302487570169E-2</v>
      </c>
    </row>
    <row r="1257" spans="1:5" x14ac:dyDescent="0.35">
      <c r="A1257" s="27">
        <v>43906</v>
      </c>
      <c r="B1257" s="28">
        <v>7203.5</v>
      </c>
      <c r="C1257" s="29">
        <v>40340.17</v>
      </c>
      <c r="D1257" s="30">
        <f t="shared" si="38"/>
        <v>0</v>
      </c>
      <c r="E1257" s="30">
        <f t="shared" si="39"/>
        <v>4.3857661658370222E-3</v>
      </c>
    </row>
    <row r="1258" spans="1:5" x14ac:dyDescent="0.35">
      <c r="A1258" s="27">
        <v>43899</v>
      </c>
      <c r="B1258" s="28">
        <v>7203.5</v>
      </c>
      <c r="C1258" s="29">
        <v>40164.019999999997</v>
      </c>
      <c r="D1258" s="30">
        <f t="shared" si="38"/>
        <v>-6.4480519480519485E-2</v>
      </c>
      <c r="E1258" s="30">
        <f t="shared" si="39"/>
        <v>2.3841677088405088E-3</v>
      </c>
    </row>
    <row r="1259" spans="1:5" x14ac:dyDescent="0.35">
      <c r="A1259" s="27">
        <v>43896</v>
      </c>
      <c r="B1259" s="28">
        <v>7700</v>
      </c>
      <c r="C1259" s="29">
        <v>40068.49</v>
      </c>
      <c r="D1259" s="30">
        <f t="shared" si="38"/>
        <v>1.3157894736842105E-2</v>
      </c>
      <c r="E1259" s="30">
        <f t="shared" si="39"/>
        <v>-1.8881888308400251E-3</v>
      </c>
    </row>
    <row r="1260" spans="1:5" x14ac:dyDescent="0.35">
      <c r="A1260" s="27">
        <v>43895</v>
      </c>
      <c r="B1260" s="28">
        <v>7600</v>
      </c>
      <c r="C1260" s="29">
        <v>40144.29</v>
      </c>
      <c r="D1260" s="30">
        <f t="shared" si="38"/>
        <v>6.0095835649802282E-3</v>
      </c>
      <c r="E1260" s="30">
        <f t="shared" si="39"/>
        <v>3.439926392274154E-3</v>
      </c>
    </row>
    <row r="1261" spans="1:5" x14ac:dyDescent="0.35">
      <c r="A1261" s="27">
        <v>43888</v>
      </c>
      <c r="B1261" s="28">
        <v>7554.6</v>
      </c>
      <c r="C1261" s="29">
        <v>40006.67</v>
      </c>
      <c r="D1261" s="30">
        <f t="shared" si="38"/>
        <v>-3.1461538461538416E-2</v>
      </c>
      <c r="E1261" s="30">
        <f t="shared" si="39"/>
        <v>-5.0522484308559816E-3</v>
      </c>
    </row>
    <row r="1262" spans="1:5" x14ac:dyDescent="0.35">
      <c r="A1262" s="27">
        <v>43886</v>
      </c>
      <c r="B1262" s="28">
        <v>7800</v>
      </c>
      <c r="C1262" s="29">
        <v>40209.82</v>
      </c>
      <c r="D1262" s="30">
        <f t="shared" si="38"/>
        <v>0</v>
      </c>
      <c r="E1262" s="30">
        <f t="shared" si="39"/>
        <v>-1.4427270853314713E-2</v>
      </c>
    </row>
    <row r="1263" spans="1:5" x14ac:dyDescent="0.35">
      <c r="A1263" s="27">
        <v>43885</v>
      </c>
      <c r="B1263" s="28">
        <v>7800</v>
      </c>
      <c r="C1263" s="29">
        <v>40798.43</v>
      </c>
      <c r="D1263" s="30">
        <f t="shared" si="38"/>
        <v>5.0505050505050504E-2</v>
      </c>
      <c r="E1263" s="30">
        <f t="shared" si="39"/>
        <v>1.1022802910866426E-2</v>
      </c>
    </row>
    <row r="1264" spans="1:5" x14ac:dyDescent="0.35">
      <c r="A1264" s="27">
        <v>43874</v>
      </c>
      <c r="B1264" s="28">
        <v>7425</v>
      </c>
      <c r="C1264" s="29">
        <v>40353.620000000003</v>
      </c>
      <c r="D1264" s="30">
        <f t="shared" si="38"/>
        <v>3.3783783783783786E-3</v>
      </c>
      <c r="E1264" s="30">
        <f t="shared" si="39"/>
        <v>1.2638908545955969E-2</v>
      </c>
    </row>
    <row r="1265" spans="1:5" x14ac:dyDescent="0.35">
      <c r="A1265" s="27">
        <v>43873</v>
      </c>
      <c r="B1265" s="28">
        <v>7400</v>
      </c>
      <c r="C1265" s="29">
        <v>39849.96</v>
      </c>
      <c r="D1265" s="30">
        <f t="shared" si="38"/>
        <v>-9.7684999330924661E-3</v>
      </c>
      <c r="E1265" s="30">
        <f t="shared" si="39"/>
        <v>1.8464772073233337E-2</v>
      </c>
    </row>
    <row r="1266" spans="1:5" x14ac:dyDescent="0.35">
      <c r="A1266" s="27">
        <v>43871</v>
      </c>
      <c r="B1266" s="28">
        <v>7473</v>
      </c>
      <c r="C1266" s="29">
        <v>39127.480000000003</v>
      </c>
      <c r="D1266" s="30">
        <f t="shared" si="38"/>
        <v>-0.06</v>
      </c>
      <c r="E1266" s="30">
        <f t="shared" si="39"/>
        <v>1.4078966597197986E-3</v>
      </c>
    </row>
    <row r="1267" spans="1:5" x14ac:dyDescent="0.35">
      <c r="A1267" s="27">
        <v>43868</v>
      </c>
      <c r="B1267" s="28">
        <v>7950</v>
      </c>
      <c r="C1267" s="29">
        <v>39072.47</v>
      </c>
      <c r="D1267" s="30">
        <f t="shared" si="38"/>
        <v>-4.8817123544874202E-3</v>
      </c>
      <c r="E1267" s="30">
        <f t="shared" si="39"/>
        <v>-2.4914881972746772E-2</v>
      </c>
    </row>
    <row r="1268" spans="1:5" x14ac:dyDescent="0.35">
      <c r="A1268" s="27">
        <v>43858</v>
      </c>
      <c r="B1268" s="28">
        <v>7989</v>
      </c>
      <c r="C1268" s="29">
        <v>40070.83</v>
      </c>
      <c r="D1268" s="30">
        <f t="shared" si="38"/>
        <v>-1.3749999999999999E-3</v>
      </c>
      <c r="E1268" s="30">
        <f t="shared" si="39"/>
        <v>-1.490009568079384E-2</v>
      </c>
    </row>
    <row r="1269" spans="1:5" x14ac:dyDescent="0.35">
      <c r="A1269" s="27">
        <v>43853</v>
      </c>
      <c r="B1269" s="28">
        <v>8000</v>
      </c>
      <c r="C1269" s="29">
        <v>40676.92</v>
      </c>
      <c r="D1269" s="30">
        <f t="shared" si="38"/>
        <v>0</v>
      </c>
      <c r="E1269" s="30">
        <f t="shared" si="39"/>
        <v>2.5988699450943138E-3</v>
      </c>
    </row>
    <row r="1270" spans="1:5" x14ac:dyDescent="0.35">
      <c r="A1270" s="27">
        <v>43844</v>
      </c>
      <c r="B1270" s="28">
        <v>8000</v>
      </c>
      <c r="C1270" s="29">
        <v>40571.480000000003</v>
      </c>
      <c r="D1270" s="30">
        <f t="shared" si="38"/>
        <v>-9.2879256965944269E-3</v>
      </c>
      <c r="E1270" s="30">
        <f t="shared" si="39"/>
        <v>-1.5359539621535133E-2</v>
      </c>
    </row>
    <row r="1271" spans="1:5" x14ac:dyDescent="0.35">
      <c r="A1271" s="27">
        <v>43843</v>
      </c>
      <c r="B1271" s="28">
        <v>8075</v>
      </c>
      <c r="C1271" s="29">
        <v>41204.36</v>
      </c>
      <c r="D1271" s="30">
        <f t="shared" si="38"/>
        <v>9.2488438945131854E-3</v>
      </c>
      <c r="E1271" s="30">
        <f t="shared" si="39"/>
        <v>1.1374550667080751E-2</v>
      </c>
    </row>
    <row r="1272" spans="1:5" x14ac:dyDescent="0.35">
      <c r="A1272" s="27">
        <v>43838</v>
      </c>
      <c r="B1272" s="28">
        <v>8001</v>
      </c>
      <c r="C1272" s="29">
        <v>40740.949999999997</v>
      </c>
      <c r="D1272" s="30">
        <f t="shared" si="38"/>
        <v>1.25E-4</v>
      </c>
      <c r="E1272" s="30">
        <f t="shared" si="39"/>
        <v>-2.3027618130208774E-2</v>
      </c>
    </row>
    <row r="1273" spans="1:5" x14ac:dyDescent="0.35">
      <c r="A1273" s="27">
        <v>43837</v>
      </c>
      <c r="B1273" s="28">
        <v>8000</v>
      </c>
      <c r="C1273" s="29">
        <v>41701.230000000003</v>
      </c>
      <c r="D1273" s="30">
        <f t="shared" si="38"/>
        <v>-2.1406727828746176E-2</v>
      </c>
      <c r="E1273" s="30">
        <f t="shared" si="39"/>
        <v>-2.5149277490487554E-3</v>
      </c>
    </row>
    <row r="1274" spans="1:5" x14ac:dyDescent="0.35">
      <c r="A1274" s="27">
        <v>43833</v>
      </c>
      <c r="B1274" s="28">
        <v>8175</v>
      </c>
      <c r="C1274" s="29">
        <v>41806.370000000003</v>
      </c>
      <c r="D1274" s="30">
        <f t="shared" si="38"/>
        <v>-9.0909090909090905E-3</v>
      </c>
      <c r="E1274" s="30">
        <f t="shared" si="39"/>
        <v>-1.6689647069723851E-3</v>
      </c>
    </row>
    <row r="1275" spans="1:5" x14ac:dyDescent="0.35">
      <c r="A1275" s="27">
        <v>43832</v>
      </c>
      <c r="B1275" s="28">
        <v>8250</v>
      </c>
      <c r="C1275" s="29">
        <v>41876.26</v>
      </c>
      <c r="D1275" s="30">
        <f t="shared" si="38"/>
        <v>2.4844720496894408E-2</v>
      </c>
      <c r="E1275" s="30">
        <f t="shared" si="39"/>
        <v>1.1319922034783727E-3</v>
      </c>
    </row>
    <row r="1276" spans="1:5" x14ac:dyDescent="0.35">
      <c r="A1276" s="27">
        <v>43830</v>
      </c>
      <c r="B1276" s="28">
        <v>8050</v>
      </c>
      <c r="C1276" s="29">
        <v>41828.910000000003</v>
      </c>
      <c r="D1276" s="30">
        <f t="shared" si="38"/>
        <v>-6.1728395061728392E-3</v>
      </c>
      <c r="E1276" s="30">
        <f t="shared" si="39"/>
        <v>-8.1855867566205612E-3</v>
      </c>
    </row>
    <row r="1277" spans="1:5" x14ac:dyDescent="0.35">
      <c r="A1277" s="27">
        <v>43829</v>
      </c>
      <c r="B1277" s="28">
        <v>8100</v>
      </c>
      <c r="C1277" s="29">
        <v>42174.13</v>
      </c>
      <c r="D1277" s="30">
        <f t="shared" si="38"/>
        <v>1.4592597231790568E-2</v>
      </c>
      <c r="E1277" s="30">
        <f t="shared" si="39"/>
        <v>-7.7786582020461861E-3</v>
      </c>
    </row>
    <row r="1278" spans="1:5" x14ac:dyDescent="0.35">
      <c r="A1278" s="27">
        <v>43825</v>
      </c>
      <c r="B1278" s="28">
        <v>7983.5</v>
      </c>
      <c r="C1278" s="29">
        <v>42504.76</v>
      </c>
      <c r="D1278" s="30">
        <f t="shared" si="38"/>
        <v>-1.9377422177772221E-3</v>
      </c>
      <c r="E1278" s="30">
        <f t="shared" si="39"/>
        <v>4.0156127021860992E-3</v>
      </c>
    </row>
    <row r="1279" spans="1:5" x14ac:dyDescent="0.35">
      <c r="A1279" s="27">
        <v>43823</v>
      </c>
      <c r="B1279" s="28">
        <v>7999</v>
      </c>
      <c r="C1279" s="29">
        <v>42334.76</v>
      </c>
      <c r="D1279" s="30">
        <f t="shared" si="38"/>
        <v>3.0094043887147334E-3</v>
      </c>
      <c r="E1279" s="30">
        <f t="shared" si="39"/>
        <v>1.2411818851775071E-3</v>
      </c>
    </row>
    <row r="1280" spans="1:5" x14ac:dyDescent="0.35">
      <c r="A1280" s="27">
        <v>43822</v>
      </c>
      <c r="B1280" s="28">
        <v>7975</v>
      </c>
      <c r="C1280" s="29">
        <v>42282.28</v>
      </c>
      <c r="D1280" s="30">
        <f t="shared" si="38"/>
        <v>2.2435897435897436E-2</v>
      </c>
      <c r="E1280" s="30">
        <f t="shared" si="39"/>
        <v>-1.5146498806746691E-3</v>
      </c>
    </row>
    <row r="1281" spans="1:5" x14ac:dyDescent="0.35">
      <c r="A1281" s="27">
        <v>43819</v>
      </c>
      <c r="B1281" s="28">
        <v>7800</v>
      </c>
      <c r="C1281" s="29">
        <v>42346.42</v>
      </c>
      <c r="D1281" s="30">
        <f t="shared" si="38"/>
        <v>4.3478260869565216E-2</v>
      </c>
      <c r="E1281" s="30">
        <f t="shared" si="39"/>
        <v>-4.3471503699274586E-3</v>
      </c>
    </row>
    <row r="1282" spans="1:5" x14ac:dyDescent="0.35">
      <c r="A1282" s="27">
        <v>43818</v>
      </c>
      <c r="B1282" s="28">
        <v>7475</v>
      </c>
      <c r="C1282" s="29">
        <v>42531.31</v>
      </c>
      <c r="D1282" s="30">
        <f t="shared" si="38"/>
        <v>-4.8982188295165395E-2</v>
      </c>
      <c r="E1282" s="30">
        <f t="shared" si="39"/>
        <v>1.5047964210284436E-5</v>
      </c>
    </row>
    <row r="1283" spans="1:5" x14ac:dyDescent="0.35">
      <c r="A1283" s="27">
        <v>43817</v>
      </c>
      <c r="B1283" s="28">
        <v>7860</v>
      </c>
      <c r="C1283" s="29">
        <v>42530.67</v>
      </c>
      <c r="D1283" s="30">
        <f t="shared" si="38"/>
        <v>-4.1463414634146344E-2</v>
      </c>
      <c r="E1283" s="30">
        <f t="shared" si="39"/>
        <v>-2.735926147814584E-3</v>
      </c>
    </row>
    <row r="1284" spans="1:5" x14ac:dyDescent="0.35">
      <c r="A1284" s="27">
        <v>43816</v>
      </c>
      <c r="B1284" s="28">
        <v>8200</v>
      </c>
      <c r="C1284" s="29">
        <v>42647.35</v>
      </c>
      <c r="D1284" s="30">
        <f t="shared" si="38"/>
        <v>-3.3018867924528301E-2</v>
      </c>
      <c r="E1284" s="30">
        <f t="shared" si="39"/>
        <v>1.4875452885078704E-2</v>
      </c>
    </row>
    <row r="1285" spans="1:5" x14ac:dyDescent="0.35">
      <c r="A1285" s="27">
        <v>43815</v>
      </c>
      <c r="B1285" s="28">
        <v>8480</v>
      </c>
      <c r="C1285" s="29">
        <v>42022.25</v>
      </c>
      <c r="D1285" s="30">
        <f t="shared" ref="D1285:D1348" si="40">(B1285-B1286)/B1286</f>
        <v>4.6913580246913583E-2</v>
      </c>
      <c r="E1285" s="30">
        <f t="shared" ref="E1285:E1348" si="41">(C1285-C1286)/C1286</f>
        <v>8.8269220646608167E-4</v>
      </c>
    </row>
    <row r="1286" spans="1:5" x14ac:dyDescent="0.35">
      <c r="A1286" s="27">
        <v>43812</v>
      </c>
      <c r="B1286" s="28">
        <v>8100</v>
      </c>
      <c r="C1286" s="29">
        <v>41985.19</v>
      </c>
      <c r="D1286" s="30">
        <f t="shared" si="40"/>
        <v>2.4752475247524753E-3</v>
      </c>
      <c r="E1286" s="30">
        <f t="shared" si="41"/>
        <v>-7.3425817014711329E-3</v>
      </c>
    </row>
    <row r="1287" spans="1:5" x14ac:dyDescent="0.35">
      <c r="A1287" s="27">
        <v>43811</v>
      </c>
      <c r="B1287" s="28">
        <v>8080</v>
      </c>
      <c r="C1287" s="29">
        <v>42295.75</v>
      </c>
      <c r="D1287" s="30">
        <f t="shared" si="40"/>
        <v>1.6352201257861635E-2</v>
      </c>
      <c r="E1287" s="30">
        <f t="shared" si="41"/>
        <v>6.49049330128739E-3</v>
      </c>
    </row>
    <row r="1288" spans="1:5" x14ac:dyDescent="0.35">
      <c r="A1288" s="27">
        <v>43810</v>
      </c>
      <c r="B1288" s="28">
        <v>7950</v>
      </c>
      <c r="C1288" s="29">
        <v>42023</v>
      </c>
      <c r="D1288" s="30">
        <f t="shared" si="40"/>
        <v>-4.7072963092794282E-3</v>
      </c>
      <c r="E1288" s="30">
        <f t="shared" si="41"/>
        <v>-3.9136619298660354E-3</v>
      </c>
    </row>
    <row r="1289" spans="1:5" x14ac:dyDescent="0.35">
      <c r="A1289" s="27">
        <v>43809</v>
      </c>
      <c r="B1289" s="28">
        <v>7987.6</v>
      </c>
      <c r="C1289" s="29">
        <v>42188.11</v>
      </c>
      <c r="D1289" s="30">
        <f t="shared" si="40"/>
        <v>5.0005258176464472E-2</v>
      </c>
      <c r="E1289" s="30">
        <f t="shared" si="41"/>
        <v>8.4441560086865874E-3</v>
      </c>
    </row>
    <row r="1290" spans="1:5" x14ac:dyDescent="0.35">
      <c r="A1290" s="27">
        <v>43808</v>
      </c>
      <c r="B1290" s="28">
        <v>7607.2</v>
      </c>
      <c r="C1290" s="29">
        <v>41834.85</v>
      </c>
      <c r="D1290" s="30">
        <f t="shared" si="40"/>
        <v>4.9993098688750841E-2</v>
      </c>
      <c r="E1290" s="30">
        <f t="shared" si="41"/>
        <v>1.1058972972110684E-2</v>
      </c>
    </row>
    <row r="1291" spans="1:5" x14ac:dyDescent="0.35">
      <c r="A1291" s="27">
        <v>43805</v>
      </c>
      <c r="B1291" s="28">
        <v>7245</v>
      </c>
      <c r="C1291" s="29">
        <v>41377.26</v>
      </c>
      <c r="D1291" s="30">
        <f t="shared" si="40"/>
        <v>0.05</v>
      </c>
      <c r="E1291" s="30">
        <f t="shared" si="41"/>
        <v>6.4783258369489997E-3</v>
      </c>
    </row>
    <row r="1292" spans="1:5" x14ac:dyDescent="0.35">
      <c r="A1292" s="27">
        <v>43804</v>
      </c>
      <c r="B1292" s="28">
        <v>6900</v>
      </c>
      <c r="C1292" s="29">
        <v>41110.93</v>
      </c>
      <c r="D1292" s="30">
        <f t="shared" si="40"/>
        <v>2.2222222222222223E-2</v>
      </c>
      <c r="E1292" s="30">
        <f t="shared" si="41"/>
        <v>1.3325630075052971E-3</v>
      </c>
    </row>
    <row r="1293" spans="1:5" x14ac:dyDescent="0.35">
      <c r="A1293" s="27">
        <v>43803</v>
      </c>
      <c r="B1293" s="28">
        <v>6750</v>
      </c>
      <c r="C1293" s="29">
        <v>41056.22</v>
      </c>
      <c r="D1293" s="30">
        <f t="shared" si="40"/>
        <v>-9.465111160026414E-3</v>
      </c>
      <c r="E1293" s="30">
        <f t="shared" si="41"/>
        <v>-6.2606585764939928E-4</v>
      </c>
    </row>
    <row r="1294" spans="1:5" x14ac:dyDescent="0.35">
      <c r="A1294" s="27">
        <v>43802</v>
      </c>
      <c r="B1294" s="28">
        <v>6814.5</v>
      </c>
      <c r="C1294" s="29">
        <v>41081.94</v>
      </c>
      <c r="D1294" s="30">
        <f t="shared" si="40"/>
        <v>0.05</v>
      </c>
      <c r="E1294" s="30">
        <f t="shared" si="41"/>
        <v>5.367990624187205E-3</v>
      </c>
    </row>
    <row r="1295" spans="1:5" x14ac:dyDescent="0.35">
      <c r="A1295" s="27">
        <v>43801</v>
      </c>
      <c r="B1295" s="28">
        <v>6490</v>
      </c>
      <c r="C1295" s="29">
        <v>40862.589999999997</v>
      </c>
      <c r="D1295" s="30">
        <f t="shared" si="40"/>
        <v>1.4395348473717996E-2</v>
      </c>
      <c r="E1295" s="30">
        <f t="shared" si="41"/>
        <v>1.4140732765787969E-2</v>
      </c>
    </row>
    <row r="1296" spans="1:5" x14ac:dyDescent="0.35">
      <c r="A1296" s="27">
        <v>43798</v>
      </c>
      <c r="B1296" s="28">
        <v>6397.9</v>
      </c>
      <c r="C1296" s="29">
        <v>40292.82</v>
      </c>
      <c r="D1296" s="30">
        <f t="shared" si="40"/>
        <v>0</v>
      </c>
      <c r="E1296" s="30">
        <f t="shared" si="41"/>
        <v>1.2316280845974916E-2</v>
      </c>
    </row>
    <row r="1297" spans="1:5" x14ac:dyDescent="0.35">
      <c r="A1297" s="27">
        <v>43797</v>
      </c>
      <c r="B1297" s="28">
        <v>6397.9</v>
      </c>
      <c r="C1297" s="29">
        <v>39802.6</v>
      </c>
      <c r="D1297" s="30">
        <f t="shared" si="40"/>
        <v>0</v>
      </c>
      <c r="E1297" s="30">
        <f t="shared" si="41"/>
        <v>4.568468857509304E-3</v>
      </c>
    </row>
    <row r="1298" spans="1:5" x14ac:dyDescent="0.35">
      <c r="A1298" s="27">
        <v>43796</v>
      </c>
      <c r="B1298" s="28">
        <v>6397.9</v>
      </c>
      <c r="C1298" s="29">
        <v>39621.589999999997</v>
      </c>
      <c r="D1298" s="30">
        <f t="shared" si="40"/>
        <v>1.406909488822317E-4</v>
      </c>
      <c r="E1298" s="30">
        <f t="shared" si="41"/>
        <v>-6.1943562030725065E-3</v>
      </c>
    </row>
    <row r="1299" spans="1:5" x14ac:dyDescent="0.35">
      <c r="A1299" s="27">
        <v>43795</v>
      </c>
      <c r="B1299" s="28">
        <v>6397</v>
      </c>
      <c r="C1299" s="29">
        <v>39868.550000000003</v>
      </c>
      <c r="D1299" s="30">
        <f t="shared" si="40"/>
        <v>1.0954616588419405E-3</v>
      </c>
      <c r="E1299" s="30">
        <f t="shared" si="41"/>
        <v>-7.1116007800944327E-3</v>
      </c>
    </row>
    <row r="1300" spans="1:5" x14ac:dyDescent="0.35">
      <c r="A1300" s="27">
        <v>43794</v>
      </c>
      <c r="B1300" s="28">
        <v>6390</v>
      </c>
      <c r="C1300" s="29">
        <v>40154.11</v>
      </c>
      <c r="D1300" s="30">
        <f t="shared" si="40"/>
        <v>-1.2503907471084713E-3</v>
      </c>
      <c r="E1300" s="30">
        <f t="shared" si="41"/>
        <v>-7.4407705950703905E-4</v>
      </c>
    </row>
    <row r="1301" spans="1:5" x14ac:dyDescent="0.35">
      <c r="A1301" s="27">
        <v>43791</v>
      </c>
      <c r="B1301" s="28">
        <v>6398</v>
      </c>
      <c r="C1301" s="29">
        <v>40184.01</v>
      </c>
      <c r="D1301" s="30">
        <f t="shared" si="40"/>
        <v>1.2021512179689971E-2</v>
      </c>
      <c r="E1301" s="30">
        <f t="shared" si="41"/>
        <v>1.5330550190043501E-3</v>
      </c>
    </row>
    <row r="1302" spans="1:5" x14ac:dyDescent="0.35">
      <c r="A1302" s="27">
        <v>43790</v>
      </c>
      <c r="B1302" s="28">
        <v>6322</v>
      </c>
      <c r="C1302" s="29">
        <v>40122.5</v>
      </c>
      <c r="D1302" s="30">
        <f t="shared" si="40"/>
        <v>1.5582329317269076E-2</v>
      </c>
      <c r="E1302" s="30">
        <f t="shared" si="41"/>
        <v>-4.1756492931129575E-3</v>
      </c>
    </row>
    <row r="1303" spans="1:5" x14ac:dyDescent="0.35">
      <c r="A1303" s="27">
        <v>43789</v>
      </c>
      <c r="B1303" s="28">
        <v>6225</v>
      </c>
      <c r="C1303" s="29">
        <v>40290.74</v>
      </c>
      <c r="D1303" s="30">
        <f t="shared" si="40"/>
        <v>-1.7363851617995266E-2</v>
      </c>
      <c r="E1303" s="30">
        <f t="shared" si="41"/>
        <v>-4.507676441534921E-3</v>
      </c>
    </row>
    <row r="1304" spans="1:5" x14ac:dyDescent="0.35">
      <c r="A1304" s="27">
        <v>43788</v>
      </c>
      <c r="B1304" s="28">
        <v>6335</v>
      </c>
      <c r="C1304" s="29">
        <v>40473.18</v>
      </c>
      <c r="D1304" s="30">
        <f t="shared" si="40"/>
        <v>9.3687262993531403E-3</v>
      </c>
      <c r="E1304" s="30">
        <f t="shared" si="41"/>
        <v>-2.1196203569355167E-3</v>
      </c>
    </row>
    <row r="1305" spans="1:5" x14ac:dyDescent="0.35">
      <c r="A1305" s="27">
        <v>43787</v>
      </c>
      <c r="B1305" s="28">
        <v>6276.2</v>
      </c>
      <c r="C1305" s="29">
        <v>40559.15</v>
      </c>
      <c r="D1305" s="30">
        <f t="shared" si="40"/>
        <v>-4.5619050515495273E-2</v>
      </c>
      <c r="E1305" s="30">
        <f t="shared" si="41"/>
        <v>1.6144153190448832E-2</v>
      </c>
    </row>
    <row r="1306" spans="1:5" x14ac:dyDescent="0.35">
      <c r="A1306" s="27">
        <v>43784</v>
      </c>
      <c r="B1306" s="28">
        <v>6576.2</v>
      </c>
      <c r="C1306" s="29">
        <v>39914.76</v>
      </c>
      <c r="D1306" s="30">
        <f t="shared" si="40"/>
        <v>3.9999999999999723E-3</v>
      </c>
      <c r="E1306" s="30">
        <f t="shared" si="41"/>
        <v>-2.8711189119875842E-3</v>
      </c>
    </row>
    <row r="1307" spans="1:5" x14ac:dyDescent="0.35">
      <c r="A1307" s="27">
        <v>43783</v>
      </c>
      <c r="B1307" s="28">
        <v>6550</v>
      </c>
      <c r="C1307" s="29">
        <v>40029.69</v>
      </c>
      <c r="D1307" s="30">
        <f t="shared" si="40"/>
        <v>3.0535283520079713E-5</v>
      </c>
      <c r="E1307" s="30">
        <f t="shared" si="41"/>
        <v>-3.3966437385537932E-3</v>
      </c>
    </row>
    <row r="1308" spans="1:5" x14ac:dyDescent="0.35">
      <c r="A1308" s="27">
        <v>43781</v>
      </c>
      <c r="B1308" s="28">
        <v>6549.8</v>
      </c>
      <c r="C1308" s="29">
        <v>40166.120000000003</v>
      </c>
      <c r="D1308" s="30">
        <f t="shared" si="40"/>
        <v>3.0321592649311152E-3</v>
      </c>
      <c r="E1308" s="30">
        <f t="shared" si="41"/>
        <v>7.1043192074374904E-3</v>
      </c>
    </row>
    <row r="1309" spans="1:5" x14ac:dyDescent="0.35">
      <c r="A1309" s="27">
        <v>43780</v>
      </c>
      <c r="B1309" s="28">
        <v>6530</v>
      </c>
      <c r="C1309" s="29">
        <v>39882.78</v>
      </c>
      <c r="D1309" s="30">
        <f t="shared" si="40"/>
        <v>-3.0534351145038168E-3</v>
      </c>
      <c r="E1309" s="30">
        <f t="shared" si="41"/>
        <v>7.7104181605664058E-3</v>
      </c>
    </row>
    <row r="1310" spans="1:5" x14ac:dyDescent="0.35">
      <c r="A1310" s="27">
        <v>43777</v>
      </c>
      <c r="B1310" s="28">
        <v>6550</v>
      </c>
      <c r="C1310" s="29">
        <v>39577.620000000003</v>
      </c>
      <c r="D1310" s="30">
        <f t="shared" si="40"/>
        <v>0</v>
      </c>
      <c r="E1310" s="30">
        <f t="shared" si="41"/>
        <v>-7.3734168246528788E-3</v>
      </c>
    </row>
    <row r="1311" spans="1:5" x14ac:dyDescent="0.35">
      <c r="A1311" s="27">
        <v>43776</v>
      </c>
      <c r="B1311" s="28">
        <v>6550</v>
      </c>
      <c r="C1311" s="29">
        <v>39871.61</v>
      </c>
      <c r="D1311" s="30">
        <f t="shared" si="40"/>
        <v>-3.3780793627378666E-2</v>
      </c>
      <c r="E1311" s="30">
        <f t="shared" si="41"/>
        <v>1.5618807064162464E-2</v>
      </c>
    </row>
    <row r="1312" spans="1:5" x14ac:dyDescent="0.35">
      <c r="A1312" s="27">
        <v>43775</v>
      </c>
      <c r="B1312" s="28">
        <v>6779</v>
      </c>
      <c r="C1312" s="29">
        <v>39258.44</v>
      </c>
      <c r="D1312" s="30">
        <f t="shared" si="40"/>
        <v>4.8569218870842999E-2</v>
      </c>
      <c r="E1312" s="30">
        <f t="shared" si="41"/>
        <v>1.0870508419063046E-2</v>
      </c>
    </row>
    <row r="1313" spans="1:5" x14ac:dyDescent="0.35">
      <c r="A1313" s="27">
        <v>43774</v>
      </c>
      <c r="B1313" s="28">
        <v>6465</v>
      </c>
      <c r="C1313" s="29">
        <v>38836.269999999997</v>
      </c>
      <c r="D1313" s="30">
        <f t="shared" si="40"/>
        <v>2.4810048069468134E-3</v>
      </c>
      <c r="E1313" s="30">
        <f t="shared" si="41"/>
        <v>5.4106852490481468E-3</v>
      </c>
    </row>
    <row r="1314" spans="1:5" x14ac:dyDescent="0.35">
      <c r="A1314" s="27">
        <v>43773</v>
      </c>
      <c r="B1314" s="28">
        <v>6449</v>
      </c>
      <c r="C1314" s="29">
        <v>38627.269999999997</v>
      </c>
      <c r="D1314" s="30">
        <f t="shared" si="40"/>
        <v>0</v>
      </c>
      <c r="E1314" s="30">
        <f t="shared" si="41"/>
        <v>1.0625266213793439E-2</v>
      </c>
    </row>
    <row r="1315" spans="1:5" x14ac:dyDescent="0.35">
      <c r="A1315" s="27">
        <v>43770</v>
      </c>
      <c r="B1315" s="28">
        <v>6449</v>
      </c>
      <c r="C1315" s="29">
        <v>38221.160000000003</v>
      </c>
      <c r="D1315" s="30">
        <f t="shared" si="40"/>
        <v>7.6562499999999999E-3</v>
      </c>
      <c r="E1315" s="30">
        <f t="shared" si="41"/>
        <v>1.6314246953144092E-2</v>
      </c>
    </row>
    <row r="1316" spans="1:5" x14ac:dyDescent="0.35">
      <c r="A1316" s="27">
        <v>43769</v>
      </c>
      <c r="B1316" s="28">
        <v>6400</v>
      </c>
      <c r="C1316" s="29">
        <v>37607.620000000003</v>
      </c>
      <c r="D1316" s="30">
        <f t="shared" si="40"/>
        <v>-3.6869826937547028E-2</v>
      </c>
      <c r="E1316" s="30">
        <f t="shared" si="41"/>
        <v>7.8263440435304111E-4</v>
      </c>
    </row>
    <row r="1317" spans="1:5" x14ac:dyDescent="0.35">
      <c r="A1317" s="27">
        <v>43768</v>
      </c>
      <c r="B1317" s="28">
        <v>6645</v>
      </c>
      <c r="C1317" s="29">
        <v>37578.21</v>
      </c>
      <c r="D1317" s="30">
        <f t="shared" si="40"/>
        <v>-2.1643109540636044E-2</v>
      </c>
      <c r="E1317" s="30">
        <f t="shared" si="41"/>
        <v>-5.9886876230174427E-3</v>
      </c>
    </row>
    <row r="1318" spans="1:5" x14ac:dyDescent="0.35">
      <c r="A1318" s="27">
        <v>43763</v>
      </c>
      <c r="B1318" s="28">
        <v>6792</v>
      </c>
      <c r="C1318" s="29">
        <v>37804.61</v>
      </c>
      <c r="D1318" s="30">
        <f t="shared" si="40"/>
        <v>-1.9913419913419914E-2</v>
      </c>
      <c r="E1318" s="30">
        <f t="shared" si="41"/>
        <v>2.7665555004720895E-3</v>
      </c>
    </row>
    <row r="1319" spans="1:5" x14ac:dyDescent="0.35">
      <c r="A1319" s="27">
        <v>43762</v>
      </c>
      <c r="B1319" s="28">
        <v>6930</v>
      </c>
      <c r="C1319" s="29">
        <v>37700.31</v>
      </c>
      <c r="D1319" s="30">
        <f t="shared" si="40"/>
        <v>4.8411497730711045E-2</v>
      </c>
      <c r="E1319" s="30">
        <f t="shared" si="41"/>
        <v>1.3210955371989843E-3</v>
      </c>
    </row>
    <row r="1320" spans="1:5" x14ac:dyDescent="0.35">
      <c r="A1320" s="27">
        <v>43761</v>
      </c>
      <c r="B1320" s="28">
        <v>6610</v>
      </c>
      <c r="C1320" s="29">
        <v>37650.57</v>
      </c>
      <c r="D1320" s="30">
        <f t="shared" si="40"/>
        <v>4.9206349206349205E-2</v>
      </c>
      <c r="E1320" s="30">
        <f t="shared" si="41"/>
        <v>8.5644982635005949E-3</v>
      </c>
    </row>
    <row r="1321" spans="1:5" x14ac:dyDescent="0.35">
      <c r="A1321" s="27">
        <v>43760</v>
      </c>
      <c r="B1321" s="28">
        <v>6300</v>
      </c>
      <c r="C1321" s="29">
        <v>37330.85</v>
      </c>
      <c r="D1321" s="30">
        <f t="shared" si="40"/>
        <v>0.05</v>
      </c>
      <c r="E1321" s="30">
        <f t="shared" si="41"/>
        <v>8.9026264923742476E-3</v>
      </c>
    </row>
    <row r="1322" spans="1:5" x14ac:dyDescent="0.35">
      <c r="A1322" s="27">
        <v>43759</v>
      </c>
      <c r="B1322" s="28">
        <v>6000</v>
      </c>
      <c r="C1322" s="29">
        <v>37001.440000000002</v>
      </c>
      <c r="D1322" s="30">
        <f t="shared" si="40"/>
        <v>4.0907671489538909E-2</v>
      </c>
      <c r="E1322" s="30">
        <f t="shared" si="41"/>
        <v>8.790036159625909E-3</v>
      </c>
    </row>
    <row r="1323" spans="1:5" x14ac:dyDescent="0.35">
      <c r="A1323" s="27">
        <v>43756</v>
      </c>
      <c r="B1323" s="28">
        <v>5764.2</v>
      </c>
      <c r="C1323" s="29">
        <v>36679.03</v>
      </c>
      <c r="D1323" s="30">
        <f t="shared" si="40"/>
        <v>4.3294117647058789E-2</v>
      </c>
      <c r="E1323" s="30">
        <f t="shared" si="41"/>
        <v>-1.801322729868057E-3</v>
      </c>
    </row>
    <row r="1324" spans="1:5" x14ac:dyDescent="0.35">
      <c r="A1324" s="27">
        <v>43755</v>
      </c>
      <c r="B1324" s="28">
        <v>5525</v>
      </c>
      <c r="C1324" s="29">
        <v>36745.22</v>
      </c>
      <c r="D1324" s="30">
        <f t="shared" si="40"/>
        <v>-7.1877807726864335E-3</v>
      </c>
      <c r="E1324" s="30">
        <f t="shared" si="41"/>
        <v>3.4586276853520348E-3</v>
      </c>
    </row>
    <row r="1325" spans="1:5" x14ac:dyDescent="0.35">
      <c r="A1325" s="27">
        <v>43754</v>
      </c>
      <c r="B1325" s="28">
        <v>5565</v>
      </c>
      <c r="C1325" s="29">
        <v>36618.57</v>
      </c>
      <c r="D1325" s="30">
        <f t="shared" si="40"/>
        <v>3.7278657968313138E-2</v>
      </c>
      <c r="E1325" s="30">
        <f t="shared" si="41"/>
        <v>1.1831038065343247E-2</v>
      </c>
    </row>
    <row r="1326" spans="1:5" x14ac:dyDescent="0.35">
      <c r="A1326" s="27">
        <v>43749</v>
      </c>
      <c r="B1326" s="28">
        <v>5365</v>
      </c>
      <c r="C1326" s="29">
        <v>36190.400000000001</v>
      </c>
      <c r="D1326" s="30">
        <f t="shared" si="40"/>
        <v>-2.8079710144927536E-2</v>
      </c>
      <c r="E1326" s="30">
        <f t="shared" si="41"/>
        <v>1.3344522478866987E-3</v>
      </c>
    </row>
    <row r="1327" spans="1:5" x14ac:dyDescent="0.35">
      <c r="A1327" s="27">
        <v>43748</v>
      </c>
      <c r="B1327" s="28">
        <v>5520</v>
      </c>
      <c r="C1327" s="29">
        <v>36142.17</v>
      </c>
      <c r="D1327" s="30">
        <f t="shared" si="40"/>
        <v>0</v>
      </c>
      <c r="E1327" s="30">
        <f t="shared" si="41"/>
        <v>1.2530645142764099E-2</v>
      </c>
    </row>
    <row r="1328" spans="1:5" x14ac:dyDescent="0.35">
      <c r="A1328" s="27">
        <v>43747</v>
      </c>
      <c r="B1328" s="28">
        <v>5520</v>
      </c>
      <c r="C1328" s="29">
        <v>35694.89</v>
      </c>
      <c r="D1328" s="30">
        <f t="shared" si="40"/>
        <v>1.8148820326678765E-3</v>
      </c>
      <c r="E1328" s="30">
        <f t="shared" si="41"/>
        <v>9.0898939455833529E-3</v>
      </c>
    </row>
    <row r="1329" spans="1:5" x14ac:dyDescent="0.35">
      <c r="A1329" s="27">
        <v>43746</v>
      </c>
      <c r="B1329" s="28">
        <v>5510</v>
      </c>
      <c r="C1329" s="29">
        <v>35373.35</v>
      </c>
      <c r="D1329" s="30">
        <f t="shared" si="40"/>
        <v>-1.2544802867383513E-2</v>
      </c>
      <c r="E1329" s="30">
        <f t="shared" si="41"/>
        <v>4.8456414083324056E-3</v>
      </c>
    </row>
    <row r="1330" spans="1:5" x14ac:dyDescent="0.35">
      <c r="A1330" s="27">
        <v>43745</v>
      </c>
      <c r="B1330" s="28">
        <v>5580</v>
      </c>
      <c r="C1330" s="29">
        <v>35202.769999999997</v>
      </c>
      <c r="D1330" s="30">
        <f t="shared" si="40"/>
        <v>1.0869565217391304E-2</v>
      </c>
      <c r="E1330" s="30">
        <f t="shared" si="41"/>
        <v>4.3190881500243198E-3</v>
      </c>
    </row>
    <row r="1331" spans="1:5" x14ac:dyDescent="0.35">
      <c r="A1331" s="27">
        <v>43741</v>
      </c>
      <c r="B1331" s="28">
        <v>5520</v>
      </c>
      <c r="C1331" s="29">
        <v>35051.379999999997</v>
      </c>
      <c r="D1331" s="30">
        <f t="shared" si="40"/>
        <v>-1.1372794841945016E-2</v>
      </c>
      <c r="E1331" s="30">
        <f t="shared" si="41"/>
        <v>2.0927332411233828E-3</v>
      </c>
    </row>
    <row r="1332" spans="1:5" x14ac:dyDescent="0.35">
      <c r="A1332" s="27">
        <v>43733</v>
      </c>
      <c r="B1332" s="28">
        <v>5583.5</v>
      </c>
      <c r="C1332" s="29">
        <v>34978.18</v>
      </c>
      <c r="D1332" s="30">
        <f t="shared" si="40"/>
        <v>-2.8956521739130436E-2</v>
      </c>
      <c r="E1332" s="30">
        <f t="shared" si="41"/>
        <v>2.5443250545078518E-3</v>
      </c>
    </row>
    <row r="1333" spans="1:5" x14ac:dyDescent="0.35">
      <c r="A1333" s="27">
        <v>43732</v>
      </c>
      <c r="B1333" s="28">
        <v>5750</v>
      </c>
      <c r="C1333" s="29">
        <v>34889.410000000003</v>
      </c>
      <c r="D1333" s="30">
        <f t="shared" si="40"/>
        <v>1.8997660735804885E-2</v>
      </c>
      <c r="E1333" s="30">
        <f t="shared" si="41"/>
        <v>1.3581171532558476E-2</v>
      </c>
    </row>
    <row r="1334" spans="1:5" x14ac:dyDescent="0.35">
      <c r="A1334" s="27">
        <v>43725</v>
      </c>
      <c r="B1334" s="28">
        <v>5642.8</v>
      </c>
      <c r="C1334" s="29">
        <v>34421.919999999998</v>
      </c>
      <c r="D1334" s="30">
        <f t="shared" si="40"/>
        <v>-4.1969439728353111E-2</v>
      </c>
      <c r="E1334" s="30">
        <f t="shared" si="41"/>
        <v>7.0247909706333579E-3</v>
      </c>
    </row>
    <row r="1335" spans="1:5" x14ac:dyDescent="0.35">
      <c r="A1335" s="27">
        <v>43724</v>
      </c>
      <c r="B1335" s="28">
        <v>5890</v>
      </c>
      <c r="C1335" s="29">
        <v>34181.800000000003</v>
      </c>
      <c r="D1335" s="30">
        <f t="shared" si="40"/>
        <v>2.4347826086956521E-2</v>
      </c>
      <c r="E1335" s="30">
        <f t="shared" si="41"/>
        <v>7.1394708641763609E-3</v>
      </c>
    </row>
    <row r="1336" spans="1:5" x14ac:dyDescent="0.35">
      <c r="A1336" s="27">
        <v>43721</v>
      </c>
      <c r="B1336" s="28">
        <v>5750</v>
      </c>
      <c r="C1336" s="29">
        <v>33939.49</v>
      </c>
      <c r="D1336" s="30">
        <f t="shared" si="40"/>
        <v>0</v>
      </c>
      <c r="E1336" s="30">
        <f t="shared" si="41"/>
        <v>6.8188229891577154E-3</v>
      </c>
    </row>
    <row r="1337" spans="1:5" x14ac:dyDescent="0.35">
      <c r="A1337" s="27">
        <v>43720</v>
      </c>
      <c r="B1337" s="28">
        <v>5750</v>
      </c>
      <c r="C1337" s="29">
        <v>33709.629999999997</v>
      </c>
      <c r="D1337" s="30">
        <f t="shared" si="40"/>
        <v>2.3204498540821343E-2</v>
      </c>
      <c r="E1337" s="30">
        <f t="shared" si="41"/>
        <v>-9.5496795177856704E-3</v>
      </c>
    </row>
    <row r="1338" spans="1:5" x14ac:dyDescent="0.35">
      <c r="A1338" s="27">
        <v>43719</v>
      </c>
      <c r="B1338" s="28">
        <v>5619.6</v>
      </c>
      <c r="C1338" s="29">
        <v>34034.65</v>
      </c>
      <c r="D1338" s="30">
        <f t="shared" si="40"/>
        <v>-4.7363959993219129E-2</v>
      </c>
      <c r="E1338" s="30">
        <f t="shared" si="41"/>
        <v>-5.2741919048199617E-4</v>
      </c>
    </row>
    <row r="1339" spans="1:5" x14ac:dyDescent="0.35">
      <c r="A1339" s="27">
        <v>43714</v>
      </c>
      <c r="B1339" s="28">
        <v>5899</v>
      </c>
      <c r="C1339" s="29">
        <v>34052.61</v>
      </c>
      <c r="D1339" s="30">
        <f t="shared" si="40"/>
        <v>1.8790369935408134E-2</v>
      </c>
      <c r="E1339" s="30">
        <f t="shared" si="41"/>
        <v>9.3274866974609686E-3</v>
      </c>
    </row>
    <row r="1340" spans="1:5" x14ac:dyDescent="0.35">
      <c r="A1340" s="27">
        <v>43713</v>
      </c>
      <c r="B1340" s="28">
        <v>5790.2</v>
      </c>
      <c r="C1340" s="29">
        <v>33737.919999999998</v>
      </c>
      <c r="D1340" s="30">
        <f t="shared" si="40"/>
        <v>-5.0008203445447118E-2</v>
      </c>
      <c r="E1340" s="30">
        <f t="shared" si="41"/>
        <v>8.9410728928607155E-3</v>
      </c>
    </row>
    <row r="1341" spans="1:5" x14ac:dyDescent="0.35">
      <c r="A1341" s="27">
        <v>43711</v>
      </c>
      <c r="B1341" s="28">
        <v>6095</v>
      </c>
      <c r="C1341" s="29">
        <v>33438.94</v>
      </c>
      <c r="D1341" s="30">
        <f t="shared" si="40"/>
        <v>8.2101806239737272E-4</v>
      </c>
      <c r="E1341" s="30">
        <f t="shared" si="41"/>
        <v>-3.0086598479121471E-3</v>
      </c>
    </row>
    <row r="1342" spans="1:5" x14ac:dyDescent="0.35">
      <c r="A1342" s="27">
        <v>43707</v>
      </c>
      <c r="B1342" s="28">
        <v>6090</v>
      </c>
      <c r="C1342" s="29">
        <v>33539.85</v>
      </c>
      <c r="D1342" s="30">
        <f t="shared" si="40"/>
        <v>0.05</v>
      </c>
      <c r="E1342" s="30">
        <f t="shared" si="41"/>
        <v>-9.1238417569016496E-3</v>
      </c>
    </row>
    <row r="1343" spans="1:5" x14ac:dyDescent="0.35">
      <c r="A1343" s="27">
        <v>43706</v>
      </c>
      <c r="B1343" s="28">
        <v>5800</v>
      </c>
      <c r="C1343" s="29">
        <v>33848.68</v>
      </c>
      <c r="D1343" s="30">
        <f t="shared" si="40"/>
        <v>-1.2429763323684659E-2</v>
      </c>
      <c r="E1343" s="30">
        <f t="shared" si="41"/>
        <v>-5.0101237186618089E-3</v>
      </c>
    </row>
    <row r="1344" spans="1:5" x14ac:dyDescent="0.35">
      <c r="A1344" s="27">
        <v>43705</v>
      </c>
      <c r="B1344" s="28">
        <v>5873</v>
      </c>
      <c r="C1344" s="29">
        <v>34019.120000000003</v>
      </c>
      <c r="D1344" s="30">
        <f t="shared" si="40"/>
        <v>-4.9983824005176321E-2</v>
      </c>
      <c r="E1344" s="30">
        <f t="shared" si="41"/>
        <v>5.7535201544678862E-3</v>
      </c>
    </row>
    <row r="1345" spans="1:5" x14ac:dyDescent="0.35">
      <c r="A1345" s="27">
        <v>43704</v>
      </c>
      <c r="B1345" s="28">
        <v>6182</v>
      </c>
      <c r="C1345" s="29">
        <v>33824.51</v>
      </c>
      <c r="D1345" s="30">
        <f t="shared" si="40"/>
        <v>2.4810676699045164E-3</v>
      </c>
      <c r="E1345" s="30">
        <f t="shared" si="41"/>
        <v>-2.2669766815596553E-2</v>
      </c>
    </row>
    <row r="1346" spans="1:5" x14ac:dyDescent="0.35">
      <c r="A1346" s="27">
        <v>43703</v>
      </c>
      <c r="B1346" s="28">
        <v>6166.7</v>
      </c>
      <c r="C1346" s="29">
        <v>34609.089999999997</v>
      </c>
      <c r="D1346" s="30">
        <f t="shared" si="40"/>
        <v>-3.3777231883121961E-3</v>
      </c>
      <c r="E1346" s="30">
        <f t="shared" si="41"/>
        <v>-1.4788243646626342E-2</v>
      </c>
    </row>
    <row r="1347" spans="1:5" x14ac:dyDescent="0.35">
      <c r="A1347" s="27">
        <v>43699</v>
      </c>
      <c r="B1347" s="28">
        <v>6187.6</v>
      </c>
      <c r="C1347" s="29">
        <v>35128.58</v>
      </c>
      <c r="D1347" s="30">
        <f t="shared" si="40"/>
        <v>9.3964110929853767E-3</v>
      </c>
      <c r="E1347" s="30">
        <f t="shared" si="41"/>
        <v>1.8109184407963704E-3</v>
      </c>
    </row>
    <row r="1348" spans="1:5" x14ac:dyDescent="0.35">
      <c r="A1348" s="27">
        <v>43697</v>
      </c>
      <c r="B1348" s="28">
        <v>6130</v>
      </c>
      <c r="C1348" s="29">
        <v>35065.08</v>
      </c>
      <c r="D1348" s="30">
        <f t="shared" si="40"/>
        <v>2.5049329453864452E-2</v>
      </c>
      <c r="E1348" s="30">
        <f t="shared" si="41"/>
        <v>7.5130158949075158E-3</v>
      </c>
    </row>
    <row r="1349" spans="1:5" x14ac:dyDescent="0.35">
      <c r="A1349" s="27">
        <v>43696</v>
      </c>
      <c r="B1349" s="28">
        <v>5980.2</v>
      </c>
      <c r="C1349" s="29">
        <v>34803.599999999999</v>
      </c>
      <c r="D1349" s="30">
        <f t="shared" ref="D1349:D1412" si="42">(B1349-B1350)/B1350</f>
        <v>-5.0007942811755392E-2</v>
      </c>
      <c r="E1349" s="30">
        <f t="shared" ref="E1349:E1412" si="43">(C1349-C1350)/C1350</f>
        <v>1.554839383623994E-3</v>
      </c>
    </row>
    <row r="1350" spans="1:5" x14ac:dyDescent="0.35">
      <c r="A1350" s="27">
        <v>43693</v>
      </c>
      <c r="B1350" s="28">
        <v>6295</v>
      </c>
      <c r="C1350" s="29">
        <v>34749.57</v>
      </c>
      <c r="D1350" s="30">
        <f t="shared" si="42"/>
        <v>-7.9365079365079365E-4</v>
      </c>
      <c r="E1350" s="30">
        <f t="shared" si="43"/>
        <v>1.1619945258311296E-2</v>
      </c>
    </row>
    <row r="1351" spans="1:5" x14ac:dyDescent="0.35">
      <c r="A1351" s="27">
        <v>43686</v>
      </c>
      <c r="B1351" s="28">
        <v>6300</v>
      </c>
      <c r="C1351" s="29">
        <v>34350.42</v>
      </c>
      <c r="D1351" s="30">
        <f t="shared" si="42"/>
        <v>4.7729918509895226E-2</v>
      </c>
      <c r="E1351" s="30">
        <f t="shared" si="43"/>
        <v>6.7712230494155626E-3</v>
      </c>
    </row>
    <row r="1352" spans="1:5" x14ac:dyDescent="0.35">
      <c r="A1352" s="27">
        <v>43685</v>
      </c>
      <c r="B1352" s="28">
        <v>6013</v>
      </c>
      <c r="C1352" s="29">
        <v>34119.39</v>
      </c>
      <c r="D1352" s="30">
        <f t="shared" si="42"/>
        <v>1.9325309374470249E-2</v>
      </c>
      <c r="E1352" s="30">
        <f t="shared" si="43"/>
        <v>-8.1982080972238594E-3</v>
      </c>
    </row>
    <row r="1353" spans="1:5" x14ac:dyDescent="0.35">
      <c r="A1353" s="27">
        <v>43682</v>
      </c>
      <c r="B1353" s="28">
        <v>5899</v>
      </c>
      <c r="C1353" s="29">
        <v>34401.42</v>
      </c>
      <c r="D1353" s="30">
        <f t="shared" si="42"/>
        <v>3.4912280701754388E-2</v>
      </c>
      <c r="E1353" s="30">
        <f t="shared" si="43"/>
        <v>-1.9268746703183284E-4</v>
      </c>
    </row>
    <row r="1354" spans="1:5" x14ac:dyDescent="0.35">
      <c r="A1354" s="27">
        <v>43679</v>
      </c>
      <c r="B1354" s="28">
        <v>5700</v>
      </c>
      <c r="C1354" s="29">
        <v>34408.050000000003</v>
      </c>
      <c r="D1354" s="30">
        <f t="shared" si="42"/>
        <v>3.6363636363636362E-2</v>
      </c>
      <c r="E1354" s="30">
        <f t="shared" si="43"/>
        <v>1.1347961332045197E-2</v>
      </c>
    </row>
    <row r="1355" spans="1:5" x14ac:dyDescent="0.35">
      <c r="A1355" s="27">
        <v>43678</v>
      </c>
      <c r="B1355" s="28">
        <v>5500</v>
      </c>
      <c r="C1355" s="29">
        <v>34021.97</v>
      </c>
      <c r="D1355" s="30">
        <f t="shared" si="42"/>
        <v>-3.5087719298245612E-2</v>
      </c>
      <c r="E1355" s="30">
        <f t="shared" si="43"/>
        <v>2.6742325580298137E-3</v>
      </c>
    </row>
    <row r="1356" spans="1:5" x14ac:dyDescent="0.35">
      <c r="A1356" s="27">
        <v>43677</v>
      </c>
      <c r="B1356" s="28">
        <v>5700</v>
      </c>
      <c r="C1356" s="29">
        <v>33931.230000000003</v>
      </c>
      <c r="D1356" s="30">
        <f t="shared" si="42"/>
        <v>2.6102610261026102E-2</v>
      </c>
      <c r="E1356" s="30">
        <f t="shared" si="43"/>
        <v>6.9982804784746696E-3</v>
      </c>
    </row>
    <row r="1357" spans="1:5" x14ac:dyDescent="0.35">
      <c r="A1357" s="27">
        <v>43676</v>
      </c>
      <c r="B1357" s="28">
        <v>5555</v>
      </c>
      <c r="C1357" s="29">
        <v>33695.42</v>
      </c>
      <c r="D1357" s="30">
        <f t="shared" si="42"/>
        <v>-4.6875536186129475E-2</v>
      </c>
      <c r="E1357" s="30">
        <f t="shared" si="43"/>
        <v>-4.1726993336508094E-3</v>
      </c>
    </row>
    <row r="1358" spans="1:5" x14ac:dyDescent="0.35">
      <c r="A1358" s="27">
        <v>43672</v>
      </c>
      <c r="B1358" s="28">
        <v>5828.2</v>
      </c>
      <c r="C1358" s="29">
        <v>33836.61</v>
      </c>
      <c r="D1358" s="30">
        <f t="shared" si="42"/>
        <v>-5.0008149959250237E-2</v>
      </c>
      <c r="E1358" s="30">
        <f t="shared" si="43"/>
        <v>-2.8350142531666871E-3</v>
      </c>
    </row>
    <row r="1359" spans="1:5" x14ac:dyDescent="0.35">
      <c r="A1359" s="27">
        <v>43671</v>
      </c>
      <c r="B1359" s="28">
        <v>6135</v>
      </c>
      <c r="C1359" s="29">
        <v>33932.81</v>
      </c>
      <c r="D1359" s="30">
        <f t="shared" si="42"/>
        <v>4.8717948717948718E-2</v>
      </c>
      <c r="E1359" s="30">
        <f t="shared" si="43"/>
        <v>-6.6085943343615356E-3</v>
      </c>
    </row>
    <row r="1360" spans="1:5" x14ac:dyDescent="0.35">
      <c r="A1360" s="27">
        <v>43670</v>
      </c>
      <c r="B1360" s="28">
        <v>5850</v>
      </c>
      <c r="C1360" s="29">
        <v>34158.550000000003</v>
      </c>
      <c r="D1360" s="30">
        <f t="shared" si="42"/>
        <v>-4.6874236277432889E-2</v>
      </c>
      <c r="E1360" s="30">
        <f t="shared" si="43"/>
        <v>1.0459408779241683E-2</v>
      </c>
    </row>
    <row r="1361" spans="1:5" x14ac:dyDescent="0.35">
      <c r="A1361" s="27">
        <v>43669</v>
      </c>
      <c r="B1361" s="28">
        <v>6137.7</v>
      </c>
      <c r="C1361" s="29">
        <v>33804.97</v>
      </c>
      <c r="D1361" s="30">
        <f t="shared" si="42"/>
        <v>-4.9891640866873095E-2</v>
      </c>
      <c r="E1361" s="30">
        <f t="shared" si="43"/>
        <v>-5.9797114412851373E-3</v>
      </c>
    </row>
    <row r="1362" spans="1:5" x14ac:dyDescent="0.35">
      <c r="A1362" s="27">
        <v>43665</v>
      </c>
      <c r="B1362" s="28">
        <v>6460</v>
      </c>
      <c r="C1362" s="29">
        <v>34008.33</v>
      </c>
      <c r="D1362" s="30">
        <f t="shared" si="42"/>
        <v>-0.05</v>
      </c>
      <c r="E1362" s="30">
        <f t="shared" si="43"/>
        <v>6.017766655129886E-3</v>
      </c>
    </row>
    <row r="1363" spans="1:5" x14ac:dyDescent="0.35">
      <c r="A1363" s="27">
        <v>43664</v>
      </c>
      <c r="B1363" s="28">
        <v>6800</v>
      </c>
      <c r="C1363" s="29">
        <v>33804.9</v>
      </c>
      <c r="D1363" s="30">
        <f t="shared" si="42"/>
        <v>-4.2253521126760563E-2</v>
      </c>
      <c r="E1363" s="30">
        <f t="shared" si="43"/>
        <v>3.3199735019458195E-3</v>
      </c>
    </row>
    <row r="1364" spans="1:5" x14ac:dyDescent="0.35">
      <c r="A1364" s="27">
        <v>43663</v>
      </c>
      <c r="B1364" s="28">
        <v>7100</v>
      </c>
      <c r="C1364" s="29">
        <v>33693.040000000001</v>
      </c>
      <c r="D1364" s="30">
        <f t="shared" si="42"/>
        <v>4.4117647058823532E-2</v>
      </c>
      <c r="E1364" s="30">
        <f t="shared" si="43"/>
        <v>2.6789258822571328E-3</v>
      </c>
    </row>
    <row r="1365" spans="1:5" x14ac:dyDescent="0.35">
      <c r="A1365" s="27">
        <v>43662</v>
      </c>
      <c r="B1365" s="28">
        <v>6800</v>
      </c>
      <c r="C1365" s="29">
        <v>33603.019999999997</v>
      </c>
      <c r="D1365" s="30">
        <f t="shared" si="42"/>
        <v>0</v>
      </c>
      <c r="E1365" s="30">
        <f t="shared" si="43"/>
        <v>9.5911553341730595E-3</v>
      </c>
    </row>
    <row r="1366" spans="1:5" x14ac:dyDescent="0.35">
      <c r="A1366" s="27">
        <v>43656</v>
      </c>
      <c r="B1366" s="28">
        <v>6800</v>
      </c>
      <c r="C1366" s="29">
        <v>33283.79</v>
      </c>
      <c r="D1366" s="30">
        <f t="shared" si="42"/>
        <v>1.4708045300779526E-4</v>
      </c>
      <c r="E1366" s="30">
        <f t="shared" si="43"/>
        <v>4.8395304873883769E-4</v>
      </c>
    </row>
    <row r="1367" spans="1:5" x14ac:dyDescent="0.35">
      <c r="A1367" s="27">
        <v>43655</v>
      </c>
      <c r="B1367" s="28">
        <v>6799</v>
      </c>
      <c r="C1367" s="29">
        <v>33267.69</v>
      </c>
      <c r="D1367" s="30">
        <f t="shared" si="42"/>
        <v>-1.4705882352941175E-4</v>
      </c>
      <c r="E1367" s="30">
        <f t="shared" si="43"/>
        <v>-1.0950583951074328E-3</v>
      </c>
    </row>
    <row r="1368" spans="1:5" x14ac:dyDescent="0.35">
      <c r="A1368" s="27">
        <v>43654</v>
      </c>
      <c r="B1368" s="28">
        <v>6800</v>
      </c>
      <c r="C1368" s="29">
        <v>33304.160000000003</v>
      </c>
      <c r="D1368" s="30">
        <f t="shared" si="42"/>
        <v>0</v>
      </c>
      <c r="E1368" s="30">
        <f t="shared" si="43"/>
        <v>-1.2571683381670662E-2</v>
      </c>
    </row>
    <row r="1369" spans="1:5" x14ac:dyDescent="0.35">
      <c r="A1369" s="27">
        <v>43651</v>
      </c>
      <c r="B1369" s="28">
        <v>6800</v>
      </c>
      <c r="C1369" s="29">
        <v>33728.18</v>
      </c>
      <c r="D1369" s="30">
        <f t="shared" si="42"/>
        <v>7.556675062972292E-3</v>
      </c>
      <c r="E1369" s="30">
        <f t="shared" si="43"/>
        <v>-7.7831302262982459E-3</v>
      </c>
    </row>
    <row r="1370" spans="1:5" x14ac:dyDescent="0.35">
      <c r="A1370" s="27">
        <v>43649</v>
      </c>
      <c r="B1370" s="28">
        <v>6749</v>
      </c>
      <c r="C1370" s="29">
        <v>33992.75</v>
      </c>
      <c r="D1370" s="30">
        <f t="shared" si="42"/>
        <v>-1.4814814814814815E-4</v>
      </c>
      <c r="E1370" s="30">
        <f t="shared" si="43"/>
        <v>2.2440312483783943E-3</v>
      </c>
    </row>
    <row r="1371" spans="1:5" x14ac:dyDescent="0.35">
      <c r="A1371" s="27">
        <v>43648</v>
      </c>
      <c r="B1371" s="28">
        <v>6750</v>
      </c>
      <c r="C1371" s="29">
        <v>33916.639999999999</v>
      </c>
      <c r="D1371" s="30">
        <f t="shared" si="42"/>
        <v>-3.5576510930132879E-2</v>
      </c>
      <c r="E1371" s="30">
        <f t="shared" si="43"/>
        <v>-5.7165237438012361E-3</v>
      </c>
    </row>
    <row r="1372" spans="1:5" x14ac:dyDescent="0.35">
      <c r="A1372" s="27">
        <v>43647</v>
      </c>
      <c r="B1372" s="28">
        <v>6999</v>
      </c>
      <c r="C1372" s="29">
        <v>34111.64</v>
      </c>
      <c r="D1372" s="30">
        <f t="shared" si="42"/>
        <v>4.9813256536021297E-2</v>
      </c>
      <c r="E1372" s="30">
        <f t="shared" si="43"/>
        <v>2.873441893624756E-2</v>
      </c>
    </row>
    <row r="1373" spans="1:5" x14ac:dyDescent="0.35">
      <c r="A1373" s="27">
        <v>43643</v>
      </c>
      <c r="B1373" s="28">
        <v>6666.9</v>
      </c>
      <c r="C1373" s="29">
        <v>33158.839999999997</v>
      </c>
      <c r="D1373" s="30">
        <f t="shared" si="42"/>
        <v>-1.9429327842329806E-2</v>
      </c>
      <c r="E1373" s="30">
        <f t="shared" si="43"/>
        <v>1.859867743420876E-2</v>
      </c>
    </row>
    <row r="1374" spans="1:5" x14ac:dyDescent="0.35">
      <c r="A1374" s="27">
        <v>43642</v>
      </c>
      <c r="B1374" s="28">
        <v>6799</v>
      </c>
      <c r="C1374" s="29">
        <v>32553.39</v>
      </c>
      <c r="D1374" s="30">
        <f t="shared" si="42"/>
        <v>1.7007464137735004E-2</v>
      </c>
      <c r="E1374" s="30">
        <f t="shared" si="43"/>
        <v>7.3904743278341541E-3</v>
      </c>
    </row>
    <row r="1375" spans="1:5" x14ac:dyDescent="0.35">
      <c r="A1375" s="27">
        <v>43641</v>
      </c>
      <c r="B1375" s="28">
        <v>6685.3</v>
      </c>
      <c r="C1375" s="29">
        <v>32314.57</v>
      </c>
      <c r="D1375" s="30">
        <f t="shared" si="42"/>
        <v>-3.3567040115648691E-2</v>
      </c>
      <c r="E1375" s="30">
        <f t="shared" si="43"/>
        <v>-1.4991291328089162E-2</v>
      </c>
    </row>
    <row r="1376" spans="1:5" x14ac:dyDescent="0.35">
      <c r="A1376" s="27">
        <v>43640</v>
      </c>
      <c r="B1376" s="28">
        <v>6917.5</v>
      </c>
      <c r="C1376" s="29">
        <v>32806.379999999997</v>
      </c>
      <c r="D1376" s="30">
        <f t="shared" si="42"/>
        <v>1.0148948598130841E-2</v>
      </c>
      <c r="E1376" s="30">
        <f t="shared" si="43"/>
        <v>-1.3530860559688861E-3</v>
      </c>
    </row>
    <row r="1377" spans="1:5" x14ac:dyDescent="0.35">
      <c r="A1377" s="27">
        <v>43637</v>
      </c>
      <c r="B1377" s="28">
        <v>6848</v>
      </c>
      <c r="C1377" s="29">
        <v>32850.83</v>
      </c>
      <c r="D1377" s="30">
        <f t="shared" si="42"/>
        <v>2.208955223880597E-2</v>
      </c>
      <c r="E1377" s="30">
        <f t="shared" si="43"/>
        <v>1.190849128409952E-2</v>
      </c>
    </row>
    <row r="1378" spans="1:5" x14ac:dyDescent="0.35">
      <c r="A1378" s="27">
        <v>43636</v>
      </c>
      <c r="B1378" s="28">
        <v>6700</v>
      </c>
      <c r="C1378" s="29">
        <v>32464.23</v>
      </c>
      <c r="D1378" s="30">
        <f t="shared" si="42"/>
        <v>-2.1755000730033582E-2</v>
      </c>
      <c r="E1378" s="30">
        <f t="shared" si="43"/>
        <v>1.2768780516690806E-3</v>
      </c>
    </row>
    <row r="1379" spans="1:5" x14ac:dyDescent="0.35">
      <c r="A1379" s="27">
        <v>43635</v>
      </c>
      <c r="B1379" s="28">
        <v>6849</v>
      </c>
      <c r="C1379" s="29">
        <v>32422.83</v>
      </c>
      <c r="D1379" s="30">
        <f t="shared" si="42"/>
        <v>1.432104616204846E-2</v>
      </c>
      <c r="E1379" s="30">
        <f t="shared" si="43"/>
        <v>-3.2144216432111967E-2</v>
      </c>
    </row>
    <row r="1380" spans="1:5" x14ac:dyDescent="0.35">
      <c r="A1380" s="27">
        <v>43634</v>
      </c>
      <c r="B1380" s="28">
        <v>6752.3</v>
      </c>
      <c r="C1380" s="29">
        <v>33499.65</v>
      </c>
      <c r="D1380" s="30">
        <f t="shared" si="42"/>
        <v>-3.4005722460658055E-2</v>
      </c>
      <c r="E1380" s="30">
        <f t="shared" si="43"/>
        <v>2.0340626763722877E-2</v>
      </c>
    </row>
    <row r="1381" spans="1:5" x14ac:dyDescent="0.35">
      <c r="A1381" s="27">
        <v>43633</v>
      </c>
      <c r="B1381" s="28">
        <v>6990</v>
      </c>
      <c r="C1381" s="29">
        <v>32831.83</v>
      </c>
      <c r="D1381" s="30">
        <f t="shared" si="42"/>
        <v>-1.3687032594892056E-2</v>
      </c>
      <c r="E1381" s="30">
        <f t="shared" si="43"/>
        <v>4.7953906642502063E-2</v>
      </c>
    </row>
    <row r="1382" spans="1:5" x14ac:dyDescent="0.35">
      <c r="A1382" s="27">
        <v>43630</v>
      </c>
      <c r="B1382" s="28">
        <v>7087</v>
      </c>
      <c r="C1382" s="29">
        <v>31329.46</v>
      </c>
      <c r="D1382" s="30">
        <f t="shared" si="42"/>
        <v>2.0152583849143514E-2</v>
      </c>
      <c r="E1382" s="30">
        <f t="shared" si="43"/>
        <v>3.4180216086095428E-3</v>
      </c>
    </row>
    <row r="1383" spans="1:5" x14ac:dyDescent="0.35">
      <c r="A1383" s="27">
        <v>43626</v>
      </c>
      <c r="B1383" s="28">
        <v>6947</v>
      </c>
      <c r="C1383" s="29">
        <v>31222.74</v>
      </c>
      <c r="D1383" s="30">
        <f t="shared" si="42"/>
        <v>-2.8187731691963348E-2</v>
      </c>
      <c r="E1383" s="30">
        <f t="shared" si="43"/>
        <v>6.1144607722298109E-3</v>
      </c>
    </row>
    <row r="1384" spans="1:5" x14ac:dyDescent="0.35">
      <c r="A1384" s="27">
        <v>43615</v>
      </c>
      <c r="B1384" s="28">
        <v>7148.5</v>
      </c>
      <c r="C1384" s="29">
        <v>31032.99</v>
      </c>
      <c r="D1384" s="30">
        <f t="shared" si="42"/>
        <v>2.1199697147183557E-2</v>
      </c>
      <c r="E1384" s="30">
        <f t="shared" si="43"/>
        <v>-3.1224167426295191E-2</v>
      </c>
    </row>
    <row r="1385" spans="1:5" x14ac:dyDescent="0.35">
      <c r="A1385" s="27">
        <v>43614</v>
      </c>
      <c r="B1385" s="28">
        <v>7000.1</v>
      </c>
      <c r="C1385" s="29">
        <v>32033.200000000001</v>
      </c>
      <c r="D1385" s="30">
        <f t="shared" si="42"/>
        <v>-4.6307901907356896E-2</v>
      </c>
      <c r="E1385" s="30">
        <f t="shared" si="43"/>
        <v>6.1531599727364271E-3</v>
      </c>
    </row>
    <row r="1386" spans="1:5" x14ac:dyDescent="0.35">
      <c r="A1386" s="27">
        <v>43613</v>
      </c>
      <c r="B1386" s="28">
        <v>7340</v>
      </c>
      <c r="C1386" s="29">
        <v>31837.3</v>
      </c>
      <c r="D1386" s="30">
        <f t="shared" si="42"/>
        <v>3.5406968542812806E-2</v>
      </c>
      <c r="E1386" s="30">
        <f t="shared" si="43"/>
        <v>2.7962366412484823E-2</v>
      </c>
    </row>
    <row r="1387" spans="1:5" x14ac:dyDescent="0.35">
      <c r="A1387" s="27">
        <v>43609</v>
      </c>
      <c r="B1387" s="28">
        <v>7089</v>
      </c>
      <c r="C1387" s="29">
        <v>30971.27</v>
      </c>
      <c r="D1387" s="30">
        <f t="shared" si="42"/>
        <v>3.5646457268078892E-2</v>
      </c>
      <c r="E1387" s="30">
        <f t="shared" si="43"/>
        <v>-8.3338803229426276E-3</v>
      </c>
    </row>
    <row r="1388" spans="1:5" x14ac:dyDescent="0.35">
      <c r="A1388" s="27">
        <v>43608</v>
      </c>
      <c r="B1388" s="28">
        <v>6845</v>
      </c>
      <c r="C1388" s="29">
        <v>31231.55</v>
      </c>
      <c r="D1388" s="30">
        <f t="shared" si="42"/>
        <v>-2.754691784227644E-2</v>
      </c>
      <c r="E1388" s="30">
        <f t="shared" si="43"/>
        <v>2.1334798383866059E-2</v>
      </c>
    </row>
    <row r="1389" spans="1:5" x14ac:dyDescent="0.35">
      <c r="A1389" s="27">
        <v>43606</v>
      </c>
      <c r="B1389" s="28">
        <v>7038.9</v>
      </c>
      <c r="C1389" s="29">
        <v>30579.15</v>
      </c>
      <c r="D1389" s="30">
        <f t="shared" si="42"/>
        <v>-2.2103362045012554E-2</v>
      </c>
      <c r="E1389" s="30">
        <f t="shared" si="43"/>
        <v>-3.2972200498453737E-2</v>
      </c>
    </row>
    <row r="1390" spans="1:5" x14ac:dyDescent="0.35">
      <c r="A1390" s="27">
        <v>43605</v>
      </c>
      <c r="B1390" s="28">
        <v>7198</v>
      </c>
      <c r="C1390" s="29">
        <v>31621.79</v>
      </c>
      <c r="D1390" s="30">
        <f t="shared" si="42"/>
        <v>1.2519126443177077E-3</v>
      </c>
      <c r="E1390" s="30">
        <f t="shared" si="43"/>
        <v>2.7259827448310219E-2</v>
      </c>
    </row>
    <row r="1391" spans="1:5" x14ac:dyDescent="0.35">
      <c r="A1391" s="27">
        <v>43602</v>
      </c>
      <c r="B1391" s="28">
        <v>7189</v>
      </c>
      <c r="C1391" s="29">
        <v>30782.66</v>
      </c>
      <c r="D1391" s="30">
        <f t="shared" si="42"/>
        <v>-8.2770037246516753E-3</v>
      </c>
      <c r="E1391" s="30">
        <f t="shared" si="43"/>
        <v>4.3283014020742527E-2</v>
      </c>
    </row>
    <row r="1392" spans="1:5" x14ac:dyDescent="0.35">
      <c r="A1392" s="27">
        <v>43601</v>
      </c>
      <c r="B1392" s="28">
        <v>7249</v>
      </c>
      <c r="C1392" s="29">
        <v>29505.57</v>
      </c>
      <c r="D1392" s="30">
        <f t="shared" si="42"/>
        <v>7.9955503024403806E-3</v>
      </c>
      <c r="E1392" s="30">
        <f t="shared" si="43"/>
        <v>9.3713556171858593E-3</v>
      </c>
    </row>
    <row r="1393" spans="1:5" x14ac:dyDescent="0.35">
      <c r="A1393" s="27">
        <v>43600</v>
      </c>
      <c r="B1393" s="28">
        <v>7191.5</v>
      </c>
      <c r="C1393" s="29">
        <v>29231.63</v>
      </c>
      <c r="D1393" s="30">
        <f t="shared" si="42"/>
        <v>-0.05</v>
      </c>
      <c r="E1393" s="30">
        <f t="shared" si="43"/>
        <v>4.3115411804210753E-2</v>
      </c>
    </row>
    <row r="1394" spans="1:5" x14ac:dyDescent="0.35">
      <c r="A1394" s="27">
        <v>43595</v>
      </c>
      <c r="B1394" s="28">
        <v>7570</v>
      </c>
      <c r="C1394" s="29">
        <v>28023.39</v>
      </c>
      <c r="D1394" s="30">
        <f t="shared" si="42"/>
        <v>4.9566724436741767E-2</v>
      </c>
      <c r="E1394" s="30">
        <f t="shared" si="43"/>
        <v>-3.0658597765814378E-3</v>
      </c>
    </row>
    <row r="1395" spans="1:5" x14ac:dyDescent="0.35">
      <c r="A1395" s="27">
        <v>43594</v>
      </c>
      <c r="B1395" s="28">
        <v>7212.5</v>
      </c>
      <c r="C1395" s="29">
        <v>28109.57</v>
      </c>
      <c r="D1395" s="30">
        <f t="shared" si="42"/>
        <v>-3.3824514400535834E-2</v>
      </c>
      <c r="E1395" s="30">
        <f t="shared" si="43"/>
        <v>3.089316101396546E-2</v>
      </c>
    </row>
    <row r="1396" spans="1:5" x14ac:dyDescent="0.35">
      <c r="A1396" s="27">
        <v>43593</v>
      </c>
      <c r="B1396" s="28">
        <v>7465</v>
      </c>
      <c r="C1396" s="29">
        <v>27267.200000000001</v>
      </c>
      <c r="D1396" s="30">
        <f t="shared" si="42"/>
        <v>0</v>
      </c>
      <c r="E1396" s="30">
        <f t="shared" si="43"/>
        <v>-4.542754149070731E-2</v>
      </c>
    </row>
    <row r="1397" spans="1:5" x14ac:dyDescent="0.35">
      <c r="A1397" s="27">
        <v>43592</v>
      </c>
      <c r="B1397" s="28">
        <v>7465</v>
      </c>
      <c r="C1397" s="29">
        <v>28564.83</v>
      </c>
      <c r="D1397" s="30">
        <f t="shared" si="42"/>
        <v>3.1077348066298343E-2</v>
      </c>
      <c r="E1397" s="30">
        <f t="shared" si="43"/>
        <v>-6.8560729451883878E-2</v>
      </c>
    </row>
    <row r="1398" spans="1:5" x14ac:dyDescent="0.35">
      <c r="A1398" s="27">
        <v>43588</v>
      </c>
      <c r="B1398" s="28">
        <v>7240</v>
      </c>
      <c r="C1398" s="29">
        <v>30667.41</v>
      </c>
      <c r="D1398" s="30">
        <f t="shared" si="42"/>
        <v>-1.6638370118845502E-2</v>
      </c>
      <c r="E1398" s="30">
        <f t="shared" si="43"/>
        <v>1.7842118591442371E-2</v>
      </c>
    </row>
    <row r="1399" spans="1:5" x14ac:dyDescent="0.35">
      <c r="A1399" s="27">
        <v>43587</v>
      </c>
      <c r="B1399" s="28">
        <v>7362.5</v>
      </c>
      <c r="C1399" s="29">
        <v>30129.83</v>
      </c>
      <c r="D1399" s="30">
        <f t="shared" si="42"/>
        <v>-0.05</v>
      </c>
      <c r="E1399" s="30">
        <f t="shared" si="43"/>
        <v>-9.4101633841342826E-3</v>
      </c>
    </row>
    <row r="1400" spans="1:5" x14ac:dyDescent="0.35">
      <c r="A1400" s="27">
        <v>43585</v>
      </c>
      <c r="B1400" s="28">
        <v>7750</v>
      </c>
      <c r="C1400" s="29">
        <v>30416.05</v>
      </c>
      <c r="D1400" s="30">
        <f t="shared" si="42"/>
        <v>1.5727391874180863E-2</v>
      </c>
      <c r="E1400" s="30">
        <f t="shared" si="43"/>
        <v>-6.7476614138731045E-2</v>
      </c>
    </row>
    <row r="1401" spans="1:5" x14ac:dyDescent="0.35">
      <c r="A1401" s="27">
        <v>43584</v>
      </c>
      <c r="B1401" s="28">
        <v>7630</v>
      </c>
      <c r="C1401" s="29">
        <v>32616.93</v>
      </c>
      <c r="D1401" s="30">
        <f t="shared" si="42"/>
        <v>-5.2540317849367277E-3</v>
      </c>
      <c r="E1401" s="30">
        <f t="shared" si="43"/>
        <v>-3.1704997875903577E-2</v>
      </c>
    </row>
    <row r="1402" spans="1:5" x14ac:dyDescent="0.35">
      <c r="A1402" s="27">
        <v>43581</v>
      </c>
      <c r="B1402" s="28">
        <v>7670.3</v>
      </c>
      <c r="C1402" s="29">
        <v>33684.910000000003</v>
      </c>
      <c r="D1402" s="30">
        <f t="shared" si="42"/>
        <v>-3.8571428571428333E-3</v>
      </c>
      <c r="E1402" s="30">
        <f t="shared" si="43"/>
        <v>-6.5887743172102123E-2</v>
      </c>
    </row>
    <row r="1403" spans="1:5" x14ac:dyDescent="0.35">
      <c r="A1403" s="27">
        <v>43580</v>
      </c>
      <c r="B1403" s="28">
        <v>7700</v>
      </c>
      <c r="C1403" s="29">
        <v>36060.879999999997</v>
      </c>
      <c r="D1403" s="30">
        <f t="shared" si="42"/>
        <v>-3.7379672459057385E-2</v>
      </c>
      <c r="E1403" s="30">
        <f t="shared" si="43"/>
        <v>2.8976527038499663E-3</v>
      </c>
    </row>
    <row r="1404" spans="1:5" x14ac:dyDescent="0.35">
      <c r="A1404" s="27">
        <v>43579</v>
      </c>
      <c r="B1404" s="28">
        <v>7999</v>
      </c>
      <c r="C1404" s="29">
        <v>35956.69</v>
      </c>
      <c r="D1404" s="30">
        <f t="shared" si="42"/>
        <v>2.6829268292682926E-2</v>
      </c>
      <c r="E1404" s="30">
        <f t="shared" si="43"/>
        <v>-4.55644256866609E-2</v>
      </c>
    </row>
    <row r="1405" spans="1:5" x14ac:dyDescent="0.35">
      <c r="A1405" s="27">
        <v>43578</v>
      </c>
      <c r="B1405" s="28">
        <v>7790</v>
      </c>
      <c r="C1405" s="29">
        <v>37673.25</v>
      </c>
      <c r="D1405" s="30">
        <f t="shared" si="42"/>
        <v>1.2838618564642445E-4</v>
      </c>
      <c r="E1405" s="30">
        <f t="shared" si="43"/>
        <v>-5.9688426414118299E-4</v>
      </c>
    </row>
    <row r="1406" spans="1:5" x14ac:dyDescent="0.35">
      <c r="A1406" s="27">
        <v>43577</v>
      </c>
      <c r="B1406" s="28">
        <v>7789</v>
      </c>
      <c r="C1406" s="29">
        <v>37695.75</v>
      </c>
      <c r="D1406" s="30">
        <f t="shared" si="42"/>
        <v>-1.4050632911392405E-2</v>
      </c>
      <c r="E1406" s="30">
        <f t="shared" si="43"/>
        <v>1.7183433421616181E-2</v>
      </c>
    </row>
    <row r="1407" spans="1:5" x14ac:dyDescent="0.35">
      <c r="A1407" s="27">
        <v>43574</v>
      </c>
      <c r="B1407" s="28">
        <v>7900</v>
      </c>
      <c r="C1407" s="29">
        <v>37058.949999999997</v>
      </c>
      <c r="D1407" s="30">
        <f t="shared" si="42"/>
        <v>4.7814841833012801E-2</v>
      </c>
      <c r="E1407" s="30">
        <f t="shared" si="43"/>
        <v>-3.0369702302505523E-2</v>
      </c>
    </row>
    <row r="1408" spans="1:5" x14ac:dyDescent="0.35">
      <c r="A1408" s="27">
        <v>43573</v>
      </c>
      <c r="B1408" s="28">
        <v>7539.5</v>
      </c>
      <c r="C1408" s="29">
        <v>38219.67</v>
      </c>
      <c r="D1408" s="30">
        <f t="shared" si="42"/>
        <v>-8.2867477803354166E-3</v>
      </c>
      <c r="E1408" s="30">
        <f t="shared" si="43"/>
        <v>-2.9516955795410717E-2</v>
      </c>
    </row>
    <row r="1409" spans="1:5" x14ac:dyDescent="0.35">
      <c r="A1409" s="27">
        <v>43572</v>
      </c>
      <c r="B1409" s="28">
        <v>7602.5</v>
      </c>
      <c r="C1409" s="29">
        <v>39382.11</v>
      </c>
      <c r="D1409" s="30">
        <f t="shared" si="42"/>
        <v>-3.7536397012280037E-2</v>
      </c>
      <c r="E1409" s="30">
        <f t="shared" si="43"/>
        <v>1.2227037196965001E-2</v>
      </c>
    </row>
    <row r="1410" spans="1:5" x14ac:dyDescent="0.35">
      <c r="A1410" s="27">
        <v>43571</v>
      </c>
      <c r="B1410" s="28">
        <v>7899</v>
      </c>
      <c r="C1410" s="29">
        <v>38906.400000000001</v>
      </c>
      <c r="D1410" s="30">
        <f t="shared" si="42"/>
        <v>-1.9975186104218362E-2</v>
      </c>
      <c r="E1410" s="30">
        <f t="shared" si="43"/>
        <v>-7.4816937281120361E-3</v>
      </c>
    </row>
    <row r="1411" spans="1:5" x14ac:dyDescent="0.35">
      <c r="A1411" s="27">
        <v>43570</v>
      </c>
      <c r="B1411" s="28">
        <v>8060</v>
      </c>
      <c r="C1411" s="29">
        <v>39199.68</v>
      </c>
      <c r="D1411" s="30">
        <f t="shared" si="42"/>
        <v>3.5989717223650387E-2</v>
      </c>
      <c r="E1411" s="30">
        <f t="shared" si="43"/>
        <v>-2.4587556589297874E-3</v>
      </c>
    </row>
    <row r="1412" spans="1:5" x14ac:dyDescent="0.35">
      <c r="A1412" s="27">
        <v>43567</v>
      </c>
      <c r="B1412" s="28">
        <v>7780</v>
      </c>
      <c r="C1412" s="29">
        <v>39296.300000000003</v>
      </c>
      <c r="D1412" s="30">
        <f t="shared" si="42"/>
        <v>-1.1682992900335549E-3</v>
      </c>
      <c r="E1412" s="30">
        <f t="shared" si="43"/>
        <v>3.4559107320471301E-2</v>
      </c>
    </row>
    <row r="1413" spans="1:5" x14ac:dyDescent="0.35">
      <c r="A1413" s="27">
        <v>43566</v>
      </c>
      <c r="B1413" s="28">
        <v>7789.1</v>
      </c>
      <c r="C1413" s="29">
        <v>37983.620000000003</v>
      </c>
      <c r="D1413" s="30">
        <f t="shared" ref="D1413:D1455" si="44">(B1413-B1414)/B1414</f>
        <v>2.7162718846550416E-3</v>
      </c>
      <c r="E1413" s="30">
        <f t="shared" ref="E1413:E1455" si="45">(C1413-C1414)/C1414</f>
        <v>-2.7226909113058383E-3</v>
      </c>
    </row>
    <row r="1414" spans="1:5" x14ac:dyDescent="0.35">
      <c r="A1414" s="27">
        <v>43565</v>
      </c>
      <c r="B1414" s="28">
        <v>7768</v>
      </c>
      <c r="C1414" s="29">
        <v>38087.32</v>
      </c>
      <c r="D1414" s="30">
        <f t="shared" si="44"/>
        <v>3.7296192930682252E-2</v>
      </c>
      <c r="E1414" s="30">
        <f t="shared" si="45"/>
        <v>-6.5472335388631177E-3</v>
      </c>
    </row>
    <row r="1415" spans="1:5" x14ac:dyDescent="0.35">
      <c r="A1415" s="27">
        <v>43564</v>
      </c>
      <c r="B1415" s="28">
        <v>7488.7</v>
      </c>
      <c r="C1415" s="29">
        <v>38338.33</v>
      </c>
      <c r="D1415" s="30">
        <f t="shared" si="44"/>
        <v>6.2800641368249838E-4</v>
      </c>
      <c r="E1415" s="30">
        <f t="shared" si="45"/>
        <v>-1.3384990909313043E-2</v>
      </c>
    </row>
    <row r="1416" spans="1:5" x14ac:dyDescent="0.35">
      <c r="A1416" s="27">
        <v>43563</v>
      </c>
      <c r="B1416" s="28">
        <v>7484</v>
      </c>
      <c r="C1416" s="29">
        <v>38858.449999999997</v>
      </c>
      <c r="D1416" s="30">
        <f t="shared" si="44"/>
        <v>2.5992542224172018E-2</v>
      </c>
      <c r="E1416" s="30">
        <f t="shared" si="45"/>
        <v>-7.2880126651191923E-3</v>
      </c>
    </row>
    <row r="1417" spans="1:5" x14ac:dyDescent="0.35">
      <c r="A1417" s="27">
        <v>43560</v>
      </c>
      <c r="B1417" s="28">
        <v>7294.4</v>
      </c>
      <c r="C1417" s="29">
        <v>39143.730000000003</v>
      </c>
      <c r="D1417" s="30">
        <f t="shared" si="44"/>
        <v>3.2557612819206161E-2</v>
      </c>
      <c r="E1417" s="30">
        <f t="shared" si="45"/>
        <v>-2.7466122324854941E-2</v>
      </c>
    </row>
    <row r="1418" spans="1:5" x14ac:dyDescent="0.35">
      <c r="A1418" s="27">
        <v>43559</v>
      </c>
      <c r="B1418" s="28">
        <v>7064.4</v>
      </c>
      <c r="C1418" s="29">
        <v>40249.22</v>
      </c>
      <c r="D1418" s="30">
        <f t="shared" si="44"/>
        <v>-2.0906317097977431E-3</v>
      </c>
      <c r="E1418" s="30">
        <f t="shared" si="45"/>
        <v>-5.7416137929160562E-3</v>
      </c>
    </row>
    <row r="1419" spans="1:5" x14ac:dyDescent="0.35">
      <c r="A1419" s="27">
        <v>43558</v>
      </c>
      <c r="B1419" s="28">
        <v>7079.2</v>
      </c>
      <c r="C1419" s="29">
        <v>40481.65</v>
      </c>
      <c r="D1419" s="30">
        <f t="shared" si="44"/>
        <v>4.0217471163029879E-2</v>
      </c>
      <c r="E1419" s="30">
        <f t="shared" si="45"/>
        <v>-2.2888748899554537E-3</v>
      </c>
    </row>
    <row r="1420" spans="1:5" x14ac:dyDescent="0.35">
      <c r="A1420" s="27">
        <v>43557</v>
      </c>
      <c r="B1420" s="28">
        <v>6805.5</v>
      </c>
      <c r="C1420" s="29">
        <v>40574.519999999997</v>
      </c>
      <c r="D1420" s="30">
        <f t="shared" si="44"/>
        <v>-2.7785714285714285E-2</v>
      </c>
      <c r="E1420" s="30">
        <f t="shared" si="45"/>
        <v>9.9356943996753797E-3</v>
      </c>
    </row>
    <row r="1421" spans="1:5" x14ac:dyDescent="0.35">
      <c r="A1421" s="27">
        <v>43556</v>
      </c>
      <c r="B1421" s="28">
        <v>7000</v>
      </c>
      <c r="C1421" s="29">
        <v>40175.35</v>
      </c>
      <c r="D1421" s="30">
        <f t="shared" si="44"/>
        <v>-2.6669262215300783E-2</v>
      </c>
      <c r="E1421" s="30">
        <f t="shared" si="45"/>
        <v>-1.6874875444982214E-3</v>
      </c>
    </row>
    <row r="1422" spans="1:5" x14ac:dyDescent="0.35">
      <c r="A1422" s="27">
        <v>43553</v>
      </c>
      <c r="B1422" s="28">
        <v>7191.8</v>
      </c>
      <c r="C1422" s="29">
        <v>40243.26</v>
      </c>
      <c r="D1422" s="30">
        <f t="shared" si="44"/>
        <v>2.2724687144482392E-2</v>
      </c>
      <c r="E1422" s="30">
        <f t="shared" si="45"/>
        <v>-5.2447829018792101E-3</v>
      </c>
    </row>
    <row r="1423" spans="1:5" x14ac:dyDescent="0.35">
      <c r="A1423" s="27">
        <v>43552</v>
      </c>
      <c r="B1423" s="28">
        <v>7032</v>
      </c>
      <c r="C1423" s="29">
        <v>40455.440000000002</v>
      </c>
      <c r="D1423" s="30">
        <f t="shared" si="44"/>
        <v>4.6431887991999427E-3</v>
      </c>
      <c r="E1423" s="30">
        <f t="shared" si="45"/>
        <v>-1.867453485752681E-3</v>
      </c>
    </row>
    <row r="1424" spans="1:5" x14ac:dyDescent="0.35">
      <c r="A1424" s="27">
        <v>43551</v>
      </c>
      <c r="B1424" s="28">
        <v>6999.5</v>
      </c>
      <c r="C1424" s="29">
        <v>40531.129999999997</v>
      </c>
      <c r="D1424" s="30">
        <f t="shared" si="44"/>
        <v>-4.3927825053612209E-2</v>
      </c>
      <c r="E1424" s="30">
        <f t="shared" si="45"/>
        <v>2.0563542850639244E-2</v>
      </c>
    </row>
    <row r="1425" spans="1:5" x14ac:dyDescent="0.35">
      <c r="A1425" s="27">
        <v>43550</v>
      </c>
      <c r="B1425" s="28">
        <v>7321.1</v>
      </c>
      <c r="C1425" s="29">
        <v>39714.46</v>
      </c>
      <c r="D1425" s="30">
        <f t="shared" si="44"/>
        <v>-1.0608681550354073E-2</v>
      </c>
      <c r="E1425" s="30">
        <f t="shared" si="45"/>
        <v>1.0630918117806382E-2</v>
      </c>
    </row>
    <row r="1426" spans="1:5" x14ac:dyDescent="0.35">
      <c r="A1426" s="27">
        <v>43549</v>
      </c>
      <c r="B1426" s="28">
        <v>7399.6</v>
      </c>
      <c r="C1426" s="29">
        <v>39296.699999999997</v>
      </c>
      <c r="D1426" s="30">
        <f t="shared" si="44"/>
        <v>-5.000577730418148E-2</v>
      </c>
      <c r="E1426" s="30">
        <f t="shared" si="45"/>
        <v>-2.109749417279903E-2</v>
      </c>
    </row>
    <row r="1427" spans="1:5" x14ac:dyDescent="0.35">
      <c r="A1427" s="27">
        <v>43546</v>
      </c>
      <c r="B1427" s="28">
        <v>7789.1</v>
      </c>
      <c r="C1427" s="29">
        <v>40143.629999999997</v>
      </c>
      <c r="D1427" s="30">
        <f t="shared" si="44"/>
        <v>-4.9993901695328656E-2</v>
      </c>
      <c r="E1427" s="30">
        <f t="shared" si="45"/>
        <v>-1.4261225638382632E-2</v>
      </c>
    </row>
    <row r="1428" spans="1:5" x14ac:dyDescent="0.35">
      <c r="A1428" s="27">
        <v>43545</v>
      </c>
      <c r="B1428" s="28">
        <v>8199</v>
      </c>
      <c r="C1428" s="29">
        <v>40724.410000000003</v>
      </c>
      <c r="D1428" s="30">
        <f t="shared" si="44"/>
        <v>-1.2195121951219512E-4</v>
      </c>
      <c r="E1428" s="30">
        <f t="shared" si="45"/>
        <v>-3.9095739802001142E-3</v>
      </c>
    </row>
    <row r="1429" spans="1:5" x14ac:dyDescent="0.35">
      <c r="A1429" s="27">
        <v>43536</v>
      </c>
      <c r="B1429" s="28">
        <v>8200</v>
      </c>
      <c r="C1429" s="29">
        <v>40884.25</v>
      </c>
      <c r="D1429" s="30">
        <f t="shared" si="44"/>
        <v>0</v>
      </c>
      <c r="E1429" s="30">
        <f t="shared" si="45"/>
        <v>1.1751479483228959E-2</v>
      </c>
    </row>
    <row r="1430" spans="1:5" x14ac:dyDescent="0.35">
      <c r="A1430" s="27">
        <v>43531</v>
      </c>
      <c r="B1430" s="28">
        <v>8200</v>
      </c>
      <c r="C1430" s="29">
        <v>40409.379999999997</v>
      </c>
      <c r="D1430" s="30">
        <f t="shared" si="44"/>
        <v>0</v>
      </c>
      <c r="E1430" s="30">
        <f t="shared" si="45"/>
        <v>-2.9342599518531288E-2</v>
      </c>
    </row>
    <row r="1431" spans="1:5" x14ac:dyDescent="0.35">
      <c r="A1431" s="27">
        <v>43528</v>
      </c>
      <c r="B1431" s="28">
        <v>8200</v>
      </c>
      <c r="C1431" s="29">
        <v>41630.94</v>
      </c>
      <c r="D1431" s="30">
        <f t="shared" si="44"/>
        <v>0</v>
      </c>
      <c r="E1431" s="30">
        <f t="shared" si="45"/>
        <v>-6.5047056917188961E-3</v>
      </c>
    </row>
    <row r="1432" spans="1:5" x14ac:dyDescent="0.35">
      <c r="A1432" s="27">
        <v>43525</v>
      </c>
      <c r="B1432" s="28">
        <v>8200</v>
      </c>
      <c r="C1432" s="29">
        <v>41903.51</v>
      </c>
      <c r="D1432" s="30">
        <f t="shared" si="44"/>
        <v>0</v>
      </c>
      <c r="E1432" s="30">
        <f t="shared" si="45"/>
        <v>1.1480069787379914E-4</v>
      </c>
    </row>
    <row r="1433" spans="1:5" x14ac:dyDescent="0.35">
      <c r="A1433" s="27">
        <v>43524</v>
      </c>
      <c r="B1433" s="28">
        <v>8200</v>
      </c>
      <c r="C1433" s="29">
        <v>41898.699999999997</v>
      </c>
      <c r="D1433" s="30">
        <f t="shared" si="44"/>
        <v>-3.5294117647058823E-2</v>
      </c>
      <c r="E1433" s="30">
        <f t="shared" si="45"/>
        <v>-9.4680300024658909E-3</v>
      </c>
    </row>
    <row r="1434" spans="1:5" x14ac:dyDescent="0.35">
      <c r="A1434" s="27">
        <v>43522</v>
      </c>
      <c r="B1434" s="28">
        <v>8500</v>
      </c>
      <c r="C1434" s="29">
        <v>42299.19</v>
      </c>
      <c r="D1434" s="30">
        <f t="shared" si="44"/>
        <v>-1.1627906976744186E-2</v>
      </c>
      <c r="E1434" s="30">
        <f t="shared" si="45"/>
        <v>-5.6427913716350971E-3</v>
      </c>
    </row>
    <row r="1435" spans="1:5" x14ac:dyDescent="0.35">
      <c r="A1435" s="27">
        <v>43521</v>
      </c>
      <c r="B1435" s="28">
        <v>8600</v>
      </c>
      <c r="C1435" s="29">
        <v>42539.23</v>
      </c>
      <c r="D1435" s="30">
        <f t="shared" si="44"/>
        <v>-3.3707865168539325E-2</v>
      </c>
      <c r="E1435" s="30">
        <f t="shared" si="45"/>
        <v>-2.2001720262433996E-3</v>
      </c>
    </row>
    <row r="1436" spans="1:5" x14ac:dyDescent="0.35">
      <c r="A1436" s="27">
        <v>43514</v>
      </c>
      <c r="B1436" s="28">
        <v>8900</v>
      </c>
      <c r="C1436" s="29">
        <v>42633.03</v>
      </c>
      <c r="D1436" s="30">
        <f t="shared" si="44"/>
        <v>1.1363636363636364E-2</v>
      </c>
      <c r="E1436" s="30">
        <f t="shared" si="45"/>
        <v>2.9661031901842346E-3</v>
      </c>
    </row>
    <row r="1437" spans="1:5" x14ac:dyDescent="0.35">
      <c r="A1437" s="27">
        <v>43510</v>
      </c>
      <c r="B1437" s="28">
        <v>8800</v>
      </c>
      <c r="C1437" s="29">
        <v>42506.95</v>
      </c>
      <c r="D1437" s="30">
        <f t="shared" si="44"/>
        <v>0</v>
      </c>
      <c r="E1437" s="30">
        <f t="shared" si="45"/>
        <v>-1.2762777050590764E-3</v>
      </c>
    </row>
    <row r="1438" spans="1:5" x14ac:dyDescent="0.35">
      <c r="A1438" s="27">
        <v>43509</v>
      </c>
      <c r="B1438" s="28">
        <v>8800</v>
      </c>
      <c r="C1438" s="29">
        <v>42561.27</v>
      </c>
      <c r="D1438" s="30">
        <f t="shared" si="44"/>
        <v>0</v>
      </c>
      <c r="E1438" s="30">
        <f t="shared" si="45"/>
        <v>-1.5298002556159082E-3</v>
      </c>
    </row>
    <row r="1439" spans="1:5" x14ac:dyDescent="0.35">
      <c r="A1439" s="27">
        <v>43504</v>
      </c>
      <c r="B1439" s="28">
        <v>8800</v>
      </c>
      <c r="C1439" s="29">
        <v>42626.48</v>
      </c>
      <c r="D1439" s="30">
        <f t="shared" si="44"/>
        <v>0</v>
      </c>
      <c r="E1439" s="30">
        <f t="shared" si="45"/>
        <v>-2.8340752458088131E-3</v>
      </c>
    </row>
    <row r="1440" spans="1:5" x14ac:dyDescent="0.35">
      <c r="A1440" s="27">
        <v>43503</v>
      </c>
      <c r="B1440" s="28">
        <v>8800</v>
      </c>
      <c r="C1440" s="29">
        <v>42747.63</v>
      </c>
      <c r="D1440" s="30">
        <f t="shared" si="44"/>
        <v>-2.2222222222222223E-2</v>
      </c>
      <c r="E1440" s="30">
        <f t="shared" si="45"/>
        <v>-9.7327242060453768E-3</v>
      </c>
    </row>
    <row r="1441" spans="1:5" x14ac:dyDescent="0.35">
      <c r="A1441" s="27">
        <v>43502</v>
      </c>
      <c r="B1441" s="28">
        <v>9000</v>
      </c>
      <c r="C1441" s="29">
        <v>43167.77</v>
      </c>
      <c r="D1441" s="30">
        <f t="shared" si="44"/>
        <v>1.1235955056179775E-2</v>
      </c>
      <c r="E1441" s="30">
        <f t="shared" si="45"/>
        <v>2.3840650549980902E-3</v>
      </c>
    </row>
    <row r="1442" spans="1:5" x14ac:dyDescent="0.35">
      <c r="A1442" s="27">
        <v>43500</v>
      </c>
      <c r="B1442" s="28">
        <v>8900</v>
      </c>
      <c r="C1442" s="29">
        <v>43065.1</v>
      </c>
      <c r="D1442" s="30">
        <f t="shared" si="44"/>
        <v>4.5828437132784956E-2</v>
      </c>
      <c r="E1442" s="30">
        <f t="shared" si="45"/>
        <v>1.676318231117921E-3</v>
      </c>
    </row>
    <row r="1443" spans="1:5" x14ac:dyDescent="0.35">
      <c r="A1443" s="27">
        <v>43497</v>
      </c>
      <c r="B1443" s="28">
        <v>8510</v>
      </c>
      <c r="C1443" s="29">
        <v>42993.03</v>
      </c>
      <c r="D1443" s="30">
        <f t="shared" si="44"/>
        <v>-1.0465116279069767E-2</v>
      </c>
      <c r="E1443" s="30">
        <f t="shared" si="45"/>
        <v>-4.9531280087689884E-3</v>
      </c>
    </row>
    <row r="1444" spans="1:5" x14ac:dyDescent="0.35">
      <c r="A1444" s="27">
        <v>43495</v>
      </c>
      <c r="B1444" s="28">
        <v>8600</v>
      </c>
      <c r="C1444" s="29">
        <v>43207.040000000001</v>
      </c>
      <c r="D1444" s="30">
        <f t="shared" si="44"/>
        <v>4.878048780487805E-2</v>
      </c>
      <c r="E1444" s="30">
        <f t="shared" si="45"/>
        <v>-2.6909666586216979E-4</v>
      </c>
    </row>
    <row r="1445" spans="1:5" x14ac:dyDescent="0.35">
      <c r="A1445" s="27">
        <v>43494</v>
      </c>
      <c r="B1445" s="28">
        <v>8200</v>
      </c>
      <c r="C1445" s="29">
        <v>43218.67</v>
      </c>
      <c r="D1445" s="30">
        <f t="shared" si="44"/>
        <v>0</v>
      </c>
      <c r="E1445" s="30">
        <f t="shared" si="45"/>
        <v>2.6893759236039816E-4</v>
      </c>
    </row>
    <row r="1446" spans="1:5" x14ac:dyDescent="0.35">
      <c r="A1446" s="27">
        <v>43489</v>
      </c>
      <c r="B1446" s="28">
        <v>8200</v>
      </c>
      <c r="C1446" s="29">
        <v>43207.05</v>
      </c>
      <c r="D1446" s="30">
        <f t="shared" si="44"/>
        <v>1.2345679012345678E-2</v>
      </c>
      <c r="E1446" s="30">
        <f t="shared" si="45"/>
        <v>1.6084915788065236E-2</v>
      </c>
    </row>
    <row r="1447" spans="1:5" x14ac:dyDescent="0.35">
      <c r="A1447" s="27">
        <v>43487</v>
      </c>
      <c r="B1447" s="28">
        <v>8100</v>
      </c>
      <c r="C1447" s="29">
        <v>42523.07</v>
      </c>
      <c r="D1447" s="30">
        <f t="shared" si="44"/>
        <v>8.5917071348524474E-3</v>
      </c>
      <c r="E1447" s="30">
        <f t="shared" si="45"/>
        <v>2.8181304699793751E-2</v>
      </c>
    </row>
    <row r="1448" spans="1:5" x14ac:dyDescent="0.35">
      <c r="A1448" s="27">
        <v>43486</v>
      </c>
      <c r="B1448" s="28">
        <v>8031</v>
      </c>
      <c r="C1448" s="29">
        <v>41357.56</v>
      </c>
      <c r="D1448" s="30">
        <f t="shared" si="44"/>
        <v>1.6582278481012659E-2</v>
      </c>
      <c r="E1448" s="30">
        <f t="shared" si="45"/>
        <v>-1.305135227816993E-2</v>
      </c>
    </row>
    <row r="1449" spans="1:5" x14ac:dyDescent="0.35">
      <c r="A1449" s="27">
        <v>43483</v>
      </c>
      <c r="B1449" s="28">
        <v>7900</v>
      </c>
      <c r="C1449" s="29">
        <v>41904.47</v>
      </c>
      <c r="D1449" s="30">
        <f t="shared" si="44"/>
        <v>-2.4691358024691357E-2</v>
      </c>
      <c r="E1449" s="30">
        <f t="shared" si="45"/>
        <v>1.4728459540142232E-2</v>
      </c>
    </row>
    <row r="1450" spans="1:5" x14ac:dyDescent="0.35">
      <c r="A1450" s="27">
        <v>43480</v>
      </c>
      <c r="B1450" s="28">
        <v>8100</v>
      </c>
      <c r="C1450" s="29">
        <v>41296.239999999998</v>
      </c>
      <c r="D1450" s="30">
        <f t="shared" si="44"/>
        <v>-2.4096385542168676E-2</v>
      </c>
      <c r="E1450" s="30">
        <f t="shared" si="45"/>
        <v>-2.4267011315280352E-2</v>
      </c>
    </row>
    <row r="1451" spans="1:5" x14ac:dyDescent="0.35">
      <c r="A1451" s="27">
        <v>43474</v>
      </c>
      <c r="B1451" s="28">
        <v>8300</v>
      </c>
      <c r="C1451" s="29">
        <v>42323.3</v>
      </c>
      <c r="D1451" s="30">
        <f t="shared" si="44"/>
        <v>1.2318575436028784E-2</v>
      </c>
      <c r="E1451" s="30">
        <f t="shared" si="45"/>
        <v>-3.7066191847791594E-3</v>
      </c>
    </row>
    <row r="1452" spans="1:5" x14ac:dyDescent="0.35">
      <c r="A1452" s="27">
        <v>43473</v>
      </c>
      <c r="B1452" s="28">
        <v>8199</v>
      </c>
      <c r="C1452" s="29">
        <v>42480.76</v>
      </c>
      <c r="D1452" s="30">
        <f t="shared" si="44"/>
        <v>-1.2195121951219512E-4</v>
      </c>
      <c r="E1452" s="30">
        <f t="shared" si="45"/>
        <v>2.6105314009661883E-2</v>
      </c>
    </row>
    <row r="1453" spans="1:5" x14ac:dyDescent="0.35">
      <c r="A1453" s="27">
        <v>43469</v>
      </c>
      <c r="B1453" s="28">
        <v>8200</v>
      </c>
      <c r="C1453" s="29">
        <v>41400</v>
      </c>
      <c r="D1453" s="30">
        <f t="shared" si="44"/>
        <v>-3.5407599105987529E-2</v>
      </c>
      <c r="E1453" s="30">
        <f t="shared" si="45"/>
        <v>1.6323031647415404E-2</v>
      </c>
    </row>
    <row r="1454" spans="1:5" x14ac:dyDescent="0.35">
      <c r="A1454" s="27">
        <v>43468</v>
      </c>
      <c r="B1454" s="28">
        <v>8501</v>
      </c>
      <c r="C1454" s="29">
        <v>40735.08</v>
      </c>
      <c r="D1454" s="30">
        <f t="shared" si="44"/>
        <v>-4.8040313549832028E-2</v>
      </c>
      <c r="E1454" s="30">
        <f t="shared" si="45"/>
        <v>-3.7307135998622776E-3</v>
      </c>
    </row>
    <row r="1455" spans="1:5" x14ac:dyDescent="0.35">
      <c r="A1455" s="27">
        <v>43467</v>
      </c>
      <c r="B1455" s="28">
        <v>8930</v>
      </c>
      <c r="C1455" s="29">
        <v>40887.620000000003</v>
      </c>
      <c r="D1455" s="30">
        <f t="shared" si="44"/>
        <v>-0.05</v>
      </c>
      <c r="E1455" s="30">
        <f t="shared" si="45"/>
        <v>9.5694998081947589E-4</v>
      </c>
    </row>
    <row r="1456" spans="1:5" x14ac:dyDescent="0.35">
      <c r="A1456" s="27">
        <v>43466</v>
      </c>
      <c r="B1456" s="28">
        <v>9400</v>
      </c>
      <c r="C1456" s="29">
        <v>40848.53</v>
      </c>
      <c r="D1456" s="30">
        <v>0</v>
      </c>
      <c r="E1456" s="30">
        <v>0</v>
      </c>
    </row>
    <row r="1457" spans="1:5" x14ac:dyDescent="0.35">
      <c r="D1457" s="26"/>
    </row>
    <row r="1463" spans="1:5" x14ac:dyDescent="0.35">
      <c r="A1463" s="85" t="s">
        <v>10</v>
      </c>
      <c r="B1463" s="85"/>
      <c r="C1463" s="85"/>
      <c r="D1463" s="85"/>
      <c r="E1463" s="85"/>
    </row>
    <row r="1464" spans="1:5" x14ac:dyDescent="0.35">
      <c r="A1464" s="53" t="s">
        <v>1</v>
      </c>
      <c r="B1464" s="85" t="s">
        <v>19</v>
      </c>
      <c r="C1464" s="85"/>
      <c r="D1464" s="85" t="s">
        <v>2</v>
      </c>
      <c r="E1464" s="85"/>
    </row>
    <row r="1465" spans="1:5" x14ac:dyDescent="0.35">
      <c r="A1465" s="55" t="s">
        <v>15</v>
      </c>
      <c r="B1465" s="90">
        <f>AVERAGE(D3:D1454)</f>
        <v>1.3390790047947471E-4</v>
      </c>
      <c r="C1465" s="90"/>
      <c r="D1465" s="90">
        <f>AVERAGE(E3:E1454)</f>
        <v>1.070770405970703E-3</v>
      </c>
      <c r="E1465" s="90"/>
    </row>
    <row r="1466" spans="1:5" x14ac:dyDescent="0.35">
      <c r="A1466" s="55" t="s">
        <v>16</v>
      </c>
      <c r="B1466" s="90">
        <f>_xlfn.STDEV.S(D3:D1454)</f>
        <v>2.0733257992407154E-2</v>
      </c>
      <c r="C1466" s="90"/>
      <c r="D1466" s="90">
        <f>_xlfn.STDEV.S(E3:E1454)</f>
        <v>1.1995314841585602E-2</v>
      </c>
      <c r="E1466" s="90"/>
    </row>
    <row r="1467" spans="1:5" x14ac:dyDescent="0.35">
      <c r="A1467" s="55" t="s">
        <v>17</v>
      </c>
      <c r="B1467" s="94">
        <f>B1466/B1465</f>
        <v>154.8322236266047</v>
      </c>
      <c r="C1467" s="94"/>
      <c r="D1467" s="94">
        <f>D1466/D1465</f>
        <v>11.202508749493589</v>
      </c>
      <c r="E1467" s="94"/>
    </row>
    <row r="1468" spans="1:5" x14ac:dyDescent="0.35">
      <c r="A1468" s="55"/>
      <c r="B1468" s="55"/>
      <c r="C1468" s="55"/>
      <c r="D1468" s="55"/>
      <c r="E1468" s="55"/>
    </row>
    <row r="1469" spans="1:5" x14ac:dyDescent="0.35">
      <c r="A1469" s="55" t="s">
        <v>1061</v>
      </c>
      <c r="B1469" s="55">
        <f>SLOPE(D3:D1454,E3:E1454)</f>
        <v>5.5777467070034564E-3</v>
      </c>
      <c r="C1469" s="55"/>
      <c r="D1469" s="55"/>
      <c r="E1469" s="55"/>
    </row>
  </sheetData>
  <mergeCells count="11">
    <mergeCell ref="B1467:C1467"/>
    <mergeCell ref="D1465:E1465"/>
    <mergeCell ref="D1466:E1466"/>
    <mergeCell ref="D1467:E1467"/>
    <mergeCell ref="A1:E1"/>
    <mergeCell ref="A2:E2"/>
    <mergeCell ref="A1463:E1463"/>
    <mergeCell ref="B1464:C1464"/>
    <mergeCell ref="D1464:E1464"/>
    <mergeCell ref="B1465:C1465"/>
    <mergeCell ref="B1466:C1466"/>
  </mergeCells>
  <conditionalFormatting sqref="A4:E1456">
    <cfRule type="expression" dxfId="9" priority="1">
      <formula>MOD(ROW(),2)=0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52:AM67"/>
  <sheetViews>
    <sheetView topLeftCell="A32" zoomScale="70" zoomScaleNormal="70" workbookViewId="0">
      <selection activeCell="B67" sqref="B67:X67"/>
    </sheetView>
  </sheetViews>
  <sheetFormatPr defaultRowHeight="14.5" x14ac:dyDescent="0.35"/>
  <cols>
    <col min="2" max="2" width="3" customWidth="1"/>
  </cols>
  <sheetData>
    <row r="52" spans="2:39" ht="0.65" customHeight="1" x14ac:dyDescent="0.35"/>
    <row r="53" spans="2:39" ht="28.75" customHeight="1" x14ac:dyDescent="0.45">
      <c r="B53" s="98" t="s">
        <v>1109</v>
      </c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</row>
    <row r="54" spans="2:39" x14ac:dyDescent="0.35"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</row>
    <row r="55" spans="2:39" ht="20.5" x14ac:dyDescent="0.45">
      <c r="B55" s="52"/>
      <c r="C55" s="99" t="s">
        <v>1103</v>
      </c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</row>
    <row r="56" spans="2:39" ht="20.5" x14ac:dyDescent="0.45">
      <c r="B56" s="99" t="s">
        <v>1107</v>
      </c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</row>
    <row r="57" spans="2:39" x14ac:dyDescent="0.35"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</row>
    <row r="58" spans="2:39" ht="20.5" x14ac:dyDescent="0.45">
      <c r="B58" s="52"/>
      <c r="C58" s="99" t="s">
        <v>1104</v>
      </c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</row>
    <row r="59" spans="2:39" ht="20.5" x14ac:dyDescent="0.45">
      <c r="B59" s="97"/>
      <c r="C59" s="99" t="s">
        <v>1105</v>
      </c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</row>
    <row r="60" spans="2:39" ht="20.5" x14ac:dyDescent="0.45">
      <c r="B60" s="97"/>
      <c r="C60" s="99" t="s">
        <v>1106</v>
      </c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</row>
    <row r="61" spans="2:39" ht="20.5" x14ac:dyDescent="0.45"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41"/>
    </row>
    <row r="62" spans="2:39" ht="20.5" x14ac:dyDescent="0.45">
      <c r="B62" s="52"/>
      <c r="C62" s="99" t="s">
        <v>1100</v>
      </c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</row>
    <row r="63" spans="2:39" ht="21" customHeight="1" x14ac:dyDescent="0.35"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</row>
    <row r="64" spans="2:39" x14ac:dyDescent="0.35">
      <c r="B64" s="52"/>
      <c r="C64" s="99" t="s">
        <v>1101</v>
      </c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</row>
    <row r="65" spans="2:24" x14ac:dyDescent="0.35"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</row>
    <row r="66" spans="2:24" x14ac:dyDescent="0.35">
      <c r="B66" s="52"/>
      <c r="C66" s="99" t="s">
        <v>1102</v>
      </c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</row>
    <row r="67" spans="2:24" x14ac:dyDescent="0.35"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</row>
  </sheetData>
  <mergeCells count="16">
    <mergeCell ref="B67:X67"/>
    <mergeCell ref="B59:B60"/>
    <mergeCell ref="B53:X53"/>
    <mergeCell ref="C55:X55"/>
    <mergeCell ref="C58:X58"/>
    <mergeCell ref="C59:X59"/>
    <mergeCell ref="C60:X60"/>
    <mergeCell ref="C62:X62"/>
    <mergeCell ref="C64:X64"/>
    <mergeCell ref="B54:X54"/>
    <mergeCell ref="B57:X57"/>
    <mergeCell ref="B61:X61"/>
    <mergeCell ref="B63:X63"/>
    <mergeCell ref="B65:X65"/>
    <mergeCell ref="C66:X66"/>
    <mergeCell ref="B56:X5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1"/>
  <sheetViews>
    <sheetView zoomScale="85" zoomScaleNormal="85" workbookViewId="0">
      <selection activeCell="H15" sqref="H15"/>
    </sheetView>
  </sheetViews>
  <sheetFormatPr defaultRowHeight="14.5" x14ac:dyDescent="0.35"/>
  <cols>
    <col min="1" max="1" width="10.90625" customWidth="1"/>
    <col min="2" max="2" width="13.08984375" customWidth="1"/>
    <col min="3" max="3" width="18.08984375" customWidth="1"/>
    <col min="4" max="4" width="16" customWidth="1"/>
    <col min="5" max="5" width="19.1796875" customWidth="1"/>
    <col min="6" max="6" width="30.36328125" customWidth="1"/>
    <col min="7" max="7" width="12.81640625" customWidth="1"/>
    <col min="8" max="8" width="11.54296875" customWidth="1"/>
  </cols>
  <sheetData>
    <row r="1" spans="1:10" x14ac:dyDescent="0.35">
      <c r="A1" s="102" t="s">
        <v>1069</v>
      </c>
      <c r="B1" s="102"/>
      <c r="C1" s="102"/>
      <c r="D1" s="31"/>
      <c r="F1" s="103" t="s">
        <v>1074</v>
      </c>
      <c r="G1" s="104"/>
      <c r="H1" s="104"/>
      <c r="I1" s="104"/>
      <c r="J1" s="104"/>
    </row>
    <row r="2" spans="1:10" x14ac:dyDescent="0.35">
      <c r="A2" s="106" t="s">
        <v>1065</v>
      </c>
      <c r="B2" s="106"/>
      <c r="C2" s="71">
        <v>0.3</v>
      </c>
      <c r="F2" s="100" t="s">
        <v>1065</v>
      </c>
      <c r="G2" s="101"/>
      <c r="H2" s="69">
        <v>0.25</v>
      </c>
      <c r="I2" s="63" t="s">
        <v>1084</v>
      </c>
      <c r="J2" s="63">
        <f>C6</f>
        <v>0.50947308838379546</v>
      </c>
    </row>
    <row r="3" spans="1:10" x14ac:dyDescent="0.35">
      <c r="A3" s="106" t="s">
        <v>1067</v>
      </c>
      <c r="B3" s="106"/>
      <c r="C3" s="72">
        <v>0.3</v>
      </c>
      <c r="F3" s="100" t="s">
        <v>1067</v>
      </c>
      <c r="G3" s="101"/>
      <c r="H3" s="69">
        <v>0.15</v>
      </c>
      <c r="I3" s="63" t="s">
        <v>1085</v>
      </c>
      <c r="J3" s="63">
        <v>0.76900000000000002</v>
      </c>
    </row>
    <row r="4" spans="1:10" x14ac:dyDescent="0.35">
      <c r="A4" s="106" t="s">
        <v>1068</v>
      </c>
      <c r="B4" s="106"/>
      <c r="C4" s="72">
        <v>0.2</v>
      </c>
      <c r="F4" s="100" t="s">
        <v>1068</v>
      </c>
      <c r="G4" s="101"/>
      <c r="H4" s="69">
        <v>0.4</v>
      </c>
      <c r="I4" s="63" t="s">
        <v>1086</v>
      </c>
      <c r="J4" s="63">
        <v>0.98499999999999999</v>
      </c>
    </row>
    <row r="5" spans="1:10" x14ac:dyDescent="0.35">
      <c r="A5" s="106" t="s">
        <v>1066</v>
      </c>
      <c r="B5" s="106"/>
      <c r="C5" s="72">
        <v>0.1</v>
      </c>
      <c r="F5" s="100" t="s">
        <v>1066</v>
      </c>
      <c r="G5" s="101"/>
      <c r="H5" s="69">
        <v>0.2</v>
      </c>
      <c r="I5" s="63" t="s">
        <v>1087</v>
      </c>
      <c r="J5" s="63">
        <v>1.423</v>
      </c>
    </row>
    <row r="6" spans="1:10" x14ac:dyDescent="0.35">
      <c r="A6" s="106" t="s">
        <v>1064</v>
      </c>
      <c r="B6" s="106"/>
      <c r="C6" s="73">
        <f>C2*sheet1!B1688+C3*sheet2!B1707+C4*sheet3!B1720+C5*sheet4!B1469</f>
        <v>0.50947308838379546</v>
      </c>
      <c r="F6" s="100" t="s">
        <v>1064</v>
      </c>
      <c r="G6" s="101"/>
      <c r="H6" s="100">
        <f>H2*J2+H3*J3+H4*J4+H5*J5</f>
        <v>0.92131827209594896</v>
      </c>
      <c r="I6" s="105"/>
      <c r="J6" s="101"/>
    </row>
    <row r="8" spans="1:10" x14ac:dyDescent="0.35">
      <c r="A8" s="102" t="s">
        <v>1070</v>
      </c>
      <c r="B8" s="102"/>
      <c r="C8" s="102"/>
      <c r="F8" s="102" t="s">
        <v>1070</v>
      </c>
      <c r="G8" s="102"/>
      <c r="H8" s="102"/>
    </row>
    <row r="9" spans="1:10" x14ac:dyDescent="0.35">
      <c r="A9" s="107" t="s">
        <v>1071</v>
      </c>
      <c r="B9" s="107"/>
      <c r="C9" s="74">
        <v>0.11890000000000001</v>
      </c>
      <c r="F9" s="100" t="s">
        <v>1071</v>
      </c>
      <c r="G9" s="101"/>
      <c r="H9" s="60">
        <v>0.11890000000000001</v>
      </c>
    </row>
    <row r="10" spans="1:10" x14ac:dyDescent="0.35">
      <c r="A10" s="107" t="s">
        <v>1064</v>
      </c>
      <c r="B10" s="107"/>
      <c r="C10" s="63">
        <f>C6</f>
        <v>0.50947308838379546</v>
      </c>
      <c r="F10" s="100" t="s">
        <v>1064</v>
      </c>
      <c r="G10" s="101"/>
      <c r="H10" s="63">
        <f>H6</f>
        <v>0.92131827209594896</v>
      </c>
    </row>
    <row r="11" spans="1:10" x14ac:dyDescent="0.35">
      <c r="A11" s="107" t="s">
        <v>1072</v>
      </c>
      <c r="B11" s="107"/>
      <c r="C11" s="70">
        <f xml:space="preserve"> (1 + sheet4!D1465)^252 - 1</f>
        <v>0.3095581367724356</v>
      </c>
      <c r="F11" s="100" t="s">
        <v>1072</v>
      </c>
      <c r="G11" s="101"/>
      <c r="H11" s="70">
        <f>C11</f>
        <v>0.3095581367724356</v>
      </c>
    </row>
    <row r="12" spans="1:10" x14ac:dyDescent="0.35">
      <c r="A12" s="107" t="s">
        <v>1073</v>
      </c>
      <c r="B12" s="107"/>
      <c r="C12" s="70">
        <f>C9+C10*(C11-C9)</f>
        <v>0.21603518976695285</v>
      </c>
      <c r="F12" s="100" t="s">
        <v>1073</v>
      </c>
      <c r="G12" s="101"/>
      <c r="H12" s="70">
        <f>H9+H10*(H11-H9)</f>
        <v>0.29455682513221348</v>
      </c>
    </row>
    <row r="15" spans="1:10" ht="23" customHeight="1" x14ac:dyDescent="0.35">
      <c r="C15" s="42" t="s">
        <v>1088</v>
      </c>
      <c r="D15" s="43" t="s">
        <v>1089</v>
      </c>
      <c r="E15" s="43" t="s">
        <v>1091</v>
      </c>
      <c r="F15" s="43" t="s">
        <v>1090</v>
      </c>
      <c r="G15" s="44" t="s">
        <v>1097</v>
      </c>
    </row>
    <row r="16" spans="1:10" x14ac:dyDescent="0.35">
      <c r="C16" s="57" t="s">
        <v>1092</v>
      </c>
      <c r="D16" s="58">
        <f>sheet1!B1688</f>
        <v>0.67435377338311397</v>
      </c>
      <c r="E16" s="59">
        <f>C$9+(C$11-C$9)*D16</f>
        <v>0.24747103395868578</v>
      </c>
      <c r="F16" s="60">
        <f xml:space="preserve"> (1 + sheet1!B1683)^252 - 1</f>
        <v>0.14465255209860262</v>
      </c>
      <c r="G16" s="61" t="s">
        <v>1098</v>
      </c>
    </row>
    <row r="17" spans="3:7" x14ac:dyDescent="0.35">
      <c r="C17" s="57" t="s">
        <v>1093</v>
      </c>
      <c r="D17" s="58">
        <f>sheet2!B1707</f>
        <v>0.56470357415118699</v>
      </c>
      <c r="E17" s="59">
        <f>C$9+(C$11-C$9)*D17</f>
        <v>0.22656533127640024</v>
      </c>
      <c r="F17" s="60">
        <f xml:space="preserve"> (1 + sheet2!B1703)^252 - 1</f>
        <v>0.12799845042668512</v>
      </c>
      <c r="G17" s="61" t="s">
        <v>1098</v>
      </c>
    </row>
    <row r="18" spans="3:7" x14ac:dyDescent="0.35">
      <c r="C18" s="57" t="s">
        <v>1094</v>
      </c>
      <c r="D18" s="58">
        <f>sheet3!B1720</f>
        <v>0.68599054726402375</v>
      </c>
      <c r="E18" s="59">
        <f>C$9+(C$11-C$9)*D18</f>
        <v>0.24968967958486218</v>
      </c>
      <c r="F18" s="60">
        <f xml:space="preserve"> (1 +sheet3!B1716)^252 - 1</f>
        <v>0.28992933055822201</v>
      </c>
      <c r="G18" s="61" t="s">
        <v>1099</v>
      </c>
    </row>
    <row r="19" spans="3:7" x14ac:dyDescent="0.35">
      <c r="C19" s="57" t="s">
        <v>1095</v>
      </c>
      <c r="D19" s="58">
        <f>sheet4!B1469</f>
        <v>5.5777467070034564E-3</v>
      </c>
      <c r="E19" s="59">
        <f>C$9+(C$11-C$9)*D19</f>
        <v>0.11996344279454588</v>
      </c>
      <c r="F19" s="60">
        <f xml:space="preserve"> (1 + sheet4!B1465)^252 - 1</f>
        <v>3.4318268354565529E-2</v>
      </c>
      <c r="G19" s="61" t="s">
        <v>1098</v>
      </c>
    </row>
    <row r="20" spans="3:7" x14ac:dyDescent="0.35">
      <c r="C20" s="57" t="s">
        <v>1071</v>
      </c>
      <c r="D20" s="62">
        <v>0</v>
      </c>
      <c r="E20" s="59">
        <f>C9</f>
        <v>0.11890000000000001</v>
      </c>
      <c r="F20" s="63"/>
      <c r="G20" s="61"/>
    </row>
    <row r="21" spans="3:7" x14ac:dyDescent="0.35">
      <c r="C21" s="64" t="s">
        <v>1096</v>
      </c>
      <c r="D21" s="65">
        <v>1</v>
      </c>
      <c r="E21" s="66">
        <f>C11</f>
        <v>0.3095581367724356</v>
      </c>
      <c r="F21" s="67"/>
      <c r="G21" s="68"/>
    </row>
  </sheetData>
  <mergeCells count="23">
    <mergeCell ref="A12:B12"/>
    <mergeCell ref="A9:B9"/>
    <mergeCell ref="A8:C8"/>
    <mergeCell ref="A10:B10"/>
    <mergeCell ref="A11:B11"/>
    <mergeCell ref="F1:J1"/>
    <mergeCell ref="H6:J6"/>
    <mergeCell ref="A1:C1"/>
    <mergeCell ref="F2:G2"/>
    <mergeCell ref="F3:G3"/>
    <mergeCell ref="F4:G4"/>
    <mergeCell ref="F5:G5"/>
    <mergeCell ref="A2:B2"/>
    <mergeCell ref="A3:B3"/>
    <mergeCell ref="A4:B4"/>
    <mergeCell ref="A5:B5"/>
    <mergeCell ref="A6:B6"/>
    <mergeCell ref="F6:G6"/>
    <mergeCell ref="F11:G11"/>
    <mergeCell ref="F12:G12"/>
    <mergeCell ref="F8:H8"/>
    <mergeCell ref="F9:G9"/>
    <mergeCell ref="F10:G10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INTRO</vt:lpstr>
      <vt:lpstr>sheet1</vt:lpstr>
      <vt:lpstr>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2026-04-23T14:50:05Z</dcterms:created>
  <dcterms:modified xsi:type="dcterms:W3CDTF">2026-06-23T12:47:16Z</dcterms:modified>
  <dc:language>en-US</dc:language>
</cp:coreProperties>
</file>